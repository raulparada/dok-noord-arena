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gentbe-my.sharepoint.com/personal/luca_giordano_ugent_be/Documents/Documents/Dok Noord/"/>
    </mc:Choice>
  </mc:AlternateContent>
  <xr:revisionPtr revIDLastSave="2471" documentId="14_{C66FAD2D-5D57-4695-9E72-74946E76E6CB}" xr6:coauthVersionLast="47" xr6:coauthVersionMax="47" xr10:uidLastSave="{7157FFF8-CE81-4DA7-B3A2-936D12D44E45}"/>
  <bookViews>
    <workbookView xWindow="-109" yWindow="-109" windowWidth="26301" windowHeight="14305" activeTab="2" xr2:uid="{00000000-000D-0000-FFFF-FFFF00000000}"/>
  </bookViews>
  <sheets>
    <sheet name="Stats" sheetId="1" r:id="rId1"/>
    <sheet name="Database" sheetId="2" r:id="rId2"/>
    <sheet name="Teams Split" sheetId="3" r:id="rId3"/>
    <sheet name="Teams Split | Tournament" sheetId="5" r:id="rId4"/>
    <sheet name="Chemistry" sheetId="6" r:id="rId5"/>
    <sheet name="How to Run" sheetId="7" r:id="rId6"/>
  </sheets>
  <definedNames>
    <definedName name="_xlnm._FilterDatabase" localSheetId="1" hidden="1">Database!$B$2:$J$312</definedName>
    <definedName name="_xlnm._FilterDatabase" localSheetId="0" hidden="1">Stats!$Z$3:$Z$64</definedName>
    <definedName name="_xlnm._FilterDatabase" localSheetId="2" hidden="1">'Teams Split'!$A$1:$C$11</definedName>
    <definedName name="_xlnm._FilterDatabase" localSheetId="3" hidden="1">'Teams Split | Tournament'!$A$1:$C$11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700" i="2" l="1"/>
  <c r="B700" i="2"/>
  <c r="J699" i="2"/>
  <c r="I699" i="2"/>
  <c r="H699" i="2"/>
  <c r="G699" i="2"/>
  <c r="F699" i="2"/>
  <c r="B699" i="2"/>
  <c r="J698" i="2"/>
  <c r="H698" i="2"/>
  <c r="G698" i="2"/>
  <c r="F698" i="2"/>
  <c r="B698" i="2"/>
  <c r="J697" i="2"/>
  <c r="G697" i="2"/>
  <c r="F697" i="2"/>
  <c r="B697" i="2"/>
  <c r="J696" i="2"/>
  <c r="F696" i="2"/>
  <c r="B696" i="2"/>
  <c r="J695" i="2"/>
  <c r="B695" i="2"/>
  <c r="J694" i="2"/>
  <c r="I694" i="2"/>
  <c r="H694" i="2"/>
  <c r="G694" i="2"/>
  <c r="F694" i="2"/>
  <c r="B694" i="2"/>
  <c r="J693" i="2"/>
  <c r="H693" i="2"/>
  <c r="G693" i="2"/>
  <c r="F693" i="2"/>
  <c r="B693" i="2"/>
  <c r="J692" i="2"/>
  <c r="G692" i="2"/>
  <c r="F692" i="2"/>
  <c r="B692" i="2"/>
  <c r="J691" i="2"/>
  <c r="F691" i="2"/>
  <c r="C691" i="2"/>
  <c r="C692" i="2" s="1"/>
  <c r="C693" i="2" s="1"/>
  <c r="C694" i="2" s="1"/>
  <c r="C695" i="2" s="1"/>
  <c r="C696" i="2" s="1"/>
  <c r="C697" i="2" s="1"/>
  <c r="C698" i="2" s="1"/>
  <c r="C699" i="2" s="1"/>
  <c r="C700" i="2" s="1"/>
  <c r="B691" i="2"/>
  <c r="C681" i="2"/>
  <c r="J690" i="2"/>
  <c r="B690" i="2"/>
  <c r="J689" i="2"/>
  <c r="I689" i="2"/>
  <c r="H689" i="2"/>
  <c r="G689" i="2"/>
  <c r="F689" i="2"/>
  <c r="B689" i="2"/>
  <c r="J688" i="2"/>
  <c r="H688" i="2"/>
  <c r="G688" i="2"/>
  <c r="F688" i="2"/>
  <c r="B688" i="2"/>
  <c r="J687" i="2"/>
  <c r="G687" i="2"/>
  <c r="F687" i="2"/>
  <c r="B687" i="2"/>
  <c r="J686" i="2"/>
  <c r="F686" i="2"/>
  <c r="B686" i="2"/>
  <c r="J685" i="2"/>
  <c r="B685" i="2"/>
  <c r="J684" i="2"/>
  <c r="I684" i="2"/>
  <c r="H684" i="2"/>
  <c r="G684" i="2"/>
  <c r="F684" i="2"/>
  <c r="B684" i="2"/>
  <c r="J683" i="2"/>
  <c r="H683" i="2"/>
  <c r="G683" i="2"/>
  <c r="F683" i="2"/>
  <c r="B683" i="2"/>
  <c r="J682" i="2"/>
  <c r="G682" i="2"/>
  <c r="F682" i="2"/>
  <c r="B682" i="2"/>
  <c r="J681" i="2"/>
  <c r="F681" i="2"/>
  <c r="C682" i="2"/>
  <c r="C683" i="2" s="1"/>
  <c r="C684" i="2" s="1"/>
  <c r="C685" i="2" s="1"/>
  <c r="C686" i="2" s="1"/>
  <c r="C687" i="2" s="1"/>
  <c r="C688" i="2" s="1"/>
  <c r="C689" i="2" s="1"/>
  <c r="C690" i="2" s="1"/>
  <c r="B681" i="2"/>
  <c r="E5" i="1"/>
  <c r="E16" i="1"/>
  <c r="E17" i="1"/>
  <c r="E18" i="1"/>
  <c r="E19" i="1"/>
  <c r="E20" i="1"/>
  <c r="E21" i="1"/>
  <c r="E22" i="1"/>
  <c r="E30" i="1"/>
  <c r="E49" i="1"/>
  <c r="D16" i="1"/>
  <c r="D11" i="1"/>
  <c r="D25" i="1"/>
  <c r="D26" i="1"/>
  <c r="D27" i="1"/>
  <c r="D28" i="1"/>
  <c r="D29" i="1"/>
  <c r="D30" i="1"/>
  <c r="D15" i="1"/>
  <c r="D32" i="1"/>
  <c r="D39" i="1"/>
  <c r="C16" i="1"/>
  <c r="C30" i="1"/>
  <c r="E4" i="1"/>
  <c r="L5" i="1"/>
  <c r="L10" i="1"/>
  <c r="L6" i="1"/>
  <c r="L16" i="1"/>
  <c r="L7" i="1"/>
  <c r="L8" i="1"/>
  <c r="L11" i="1"/>
  <c r="L17" i="1"/>
  <c r="L18" i="1"/>
  <c r="L19" i="1"/>
  <c r="L20" i="1"/>
  <c r="L21" i="1"/>
  <c r="L22" i="1"/>
  <c r="L9" i="1"/>
  <c r="L23" i="1"/>
  <c r="L24" i="1"/>
  <c r="L31" i="1"/>
  <c r="L12" i="1"/>
  <c r="L25" i="1"/>
  <c r="L26" i="1"/>
  <c r="L27" i="1"/>
  <c r="L28" i="1"/>
  <c r="L13" i="1"/>
  <c r="L14" i="1"/>
  <c r="L29" i="1"/>
  <c r="L30" i="1"/>
  <c r="L15" i="1"/>
  <c r="L34" i="1"/>
  <c r="L33" i="1"/>
  <c r="L32" i="1"/>
  <c r="L56" i="1"/>
  <c r="L35" i="1"/>
  <c r="L38" i="1"/>
  <c r="L64" i="1"/>
  <c r="L59" i="1"/>
  <c r="L43" i="1"/>
  <c r="L49" i="1"/>
  <c r="L42" i="1"/>
  <c r="L60" i="1"/>
  <c r="L62" i="1"/>
  <c r="L44" i="1"/>
  <c r="L41" i="1"/>
  <c r="L50" i="1"/>
  <c r="L63" i="1"/>
  <c r="L51" i="1"/>
  <c r="L52" i="1"/>
  <c r="L45" i="1"/>
  <c r="L53" i="1"/>
  <c r="L61" i="1"/>
  <c r="L57" i="1"/>
  <c r="L58" i="1"/>
  <c r="L54" i="1"/>
  <c r="L37" i="1"/>
  <c r="L46" i="1"/>
  <c r="L36" i="1"/>
  <c r="L47" i="1"/>
  <c r="L55" i="1"/>
  <c r="L40" i="1"/>
  <c r="L39" i="1"/>
  <c r="L48" i="1"/>
  <c r="K5" i="1"/>
  <c r="K10" i="1"/>
  <c r="K6" i="1"/>
  <c r="K16" i="1"/>
  <c r="K7" i="1"/>
  <c r="K8" i="1"/>
  <c r="K11" i="1"/>
  <c r="K17" i="1"/>
  <c r="K18" i="1"/>
  <c r="K19" i="1"/>
  <c r="K20" i="1"/>
  <c r="K21" i="1"/>
  <c r="K22" i="1"/>
  <c r="K9" i="1"/>
  <c r="K23" i="1"/>
  <c r="K24" i="1"/>
  <c r="K31" i="1"/>
  <c r="K12" i="1"/>
  <c r="K25" i="1"/>
  <c r="K26" i="1"/>
  <c r="K27" i="1"/>
  <c r="K28" i="1"/>
  <c r="K13" i="1"/>
  <c r="K14" i="1"/>
  <c r="K29" i="1"/>
  <c r="K30" i="1"/>
  <c r="K15" i="1"/>
  <c r="K34" i="1"/>
  <c r="K33" i="1"/>
  <c r="K32" i="1"/>
  <c r="K56" i="1"/>
  <c r="K35" i="1"/>
  <c r="K38" i="1"/>
  <c r="K64" i="1"/>
  <c r="K59" i="1"/>
  <c r="K43" i="1"/>
  <c r="K49" i="1"/>
  <c r="K42" i="1"/>
  <c r="K60" i="1"/>
  <c r="K62" i="1"/>
  <c r="K44" i="1"/>
  <c r="K41" i="1"/>
  <c r="K50" i="1"/>
  <c r="K63" i="1"/>
  <c r="K51" i="1"/>
  <c r="K52" i="1"/>
  <c r="K45" i="1"/>
  <c r="K53" i="1"/>
  <c r="K61" i="1"/>
  <c r="K57" i="1"/>
  <c r="K58" i="1"/>
  <c r="K54" i="1"/>
  <c r="K37" i="1"/>
  <c r="K46" i="1"/>
  <c r="K36" i="1"/>
  <c r="K47" i="1"/>
  <c r="K55" i="1"/>
  <c r="K40" i="1"/>
  <c r="K39" i="1"/>
  <c r="K48" i="1"/>
  <c r="J5" i="1"/>
  <c r="O5" i="1" s="1"/>
  <c r="J10" i="1"/>
  <c r="J6" i="1"/>
  <c r="J16" i="1"/>
  <c r="O16" i="1" s="1"/>
  <c r="J7" i="1"/>
  <c r="J8" i="1"/>
  <c r="J11" i="1"/>
  <c r="O11" i="1" s="1"/>
  <c r="J17" i="1"/>
  <c r="J18" i="1"/>
  <c r="J19" i="1"/>
  <c r="J20" i="1"/>
  <c r="J21" i="1"/>
  <c r="J22" i="1"/>
  <c r="J9" i="1"/>
  <c r="J23" i="1"/>
  <c r="O23" i="1" s="1"/>
  <c r="J24" i="1"/>
  <c r="J31" i="1"/>
  <c r="O31" i="1" s="1"/>
  <c r="J12" i="1"/>
  <c r="J25" i="1"/>
  <c r="J26" i="1"/>
  <c r="J27" i="1"/>
  <c r="J28" i="1"/>
  <c r="J13" i="1"/>
  <c r="O13" i="1" s="1"/>
  <c r="J14" i="1"/>
  <c r="J29" i="1"/>
  <c r="O29" i="1" s="1"/>
  <c r="J30" i="1"/>
  <c r="J15" i="1"/>
  <c r="Z15" i="1" s="1"/>
  <c r="J34" i="1"/>
  <c r="J33" i="1"/>
  <c r="J32" i="1"/>
  <c r="O32" i="1" s="1"/>
  <c r="J56" i="1"/>
  <c r="J35" i="1"/>
  <c r="J38" i="1"/>
  <c r="O38" i="1" s="1"/>
  <c r="J64" i="1"/>
  <c r="O64" i="1" s="1"/>
  <c r="J59" i="1"/>
  <c r="O59" i="1" s="1"/>
  <c r="J43" i="1"/>
  <c r="J49" i="1"/>
  <c r="J42" i="1"/>
  <c r="J60" i="1"/>
  <c r="J62" i="1"/>
  <c r="J44" i="1"/>
  <c r="O44" i="1" s="1"/>
  <c r="J41" i="1"/>
  <c r="J50" i="1"/>
  <c r="J63" i="1"/>
  <c r="J51" i="1"/>
  <c r="O51" i="1" s="1"/>
  <c r="J52" i="1"/>
  <c r="J45" i="1"/>
  <c r="J53" i="1"/>
  <c r="J61" i="1"/>
  <c r="J57" i="1"/>
  <c r="J58" i="1"/>
  <c r="J54" i="1"/>
  <c r="O54" i="1" s="1"/>
  <c r="J37" i="1"/>
  <c r="J46" i="1"/>
  <c r="J36" i="1"/>
  <c r="J47" i="1"/>
  <c r="J55" i="1"/>
  <c r="J40" i="1"/>
  <c r="J39" i="1"/>
  <c r="J48" i="1"/>
  <c r="L4" i="1"/>
  <c r="K4" i="1"/>
  <c r="J4" i="1"/>
  <c r="Z4" i="1" s="1"/>
  <c r="O61" i="1" l="1"/>
  <c r="Z18" i="1"/>
  <c r="Z54" i="1"/>
  <c r="N63" i="1"/>
  <c r="Z29" i="1"/>
  <c r="Z21" i="1"/>
  <c r="Z28" i="1"/>
  <c r="Z19" i="1"/>
  <c r="Z40" i="1"/>
  <c r="Z46" i="1"/>
  <c r="Z26" i="1"/>
  <c r="Z37" i="1"/>
  <c r="Z50" i="1"/>
  <c r="Z12" i="1"/>
  <c r="Z41" i="1"/>
  <c r="Z25" i="1"/>
  <c r="Z57" i="1"/>
  <c r="Z48" i="1"/>
  <c r="Z52" i="1"/>
  <c r="Z35" i="1"/>
  <c r="Z31" i="1"/>
  <c r="Z17" i="1"/>
  <c r="Z58" i="1"/>
  <c r="Z10" i="1"/>
  <c r="Z62" i="1"/>
  <c r="Z30" i="1"/>
  <c r="Z39" i="1"/>
  <c r="Z61" i="1"/>
  <c r="Z47" i="1"/>
  <c r="Z43" i="1"/>
  <c r="Z60" i="1"/>
  <c r="Z22" i="1"/>
  <c r="Z59" i="1"/>
  <c r="Z7" i="1"/>
  <c r="O14" i="1"/>
  <c r="Z55" i="1"/>
  <c r="Z14" i="1"/>
  <c r="Z45" i="1"/>
  <c r="Z64" i="1"/>
  <c r="Z6" i="1"/>
  <c r="Z27" i="1"/>
  <c r="Z38" i="1"/>
  <c r="N43" i="1"/>
  <c r="O62" i="1"/>
  <c r="O17" i="1"/>
  <c r="O10" i="1"/>
  <c r="N40" i="1"/>
  <c r="N64" i="1"/>
  <c r="N30" i="1"/>
  <c r="N19" i="1"/>
  <c r="N10" i="1"/>
  <c r="O46" i="1"/>
  <c r="O52" i="1"/>
  <c r="O42" i="1"/>
  <c r="O28" i="1"/>
  <c r="O9" i="1"/>
  <c r="O8" i="1"/>
  <c r="O53" i="1"/>
  <c r="O21" i="1"/>
  <c r="O41" i="1"/>
  <c r="M53" i="1"/>
  <c r="N9" i="1"/>
  <c r="N46" i="1"/>
  <c r="N45" i="1"/>
  <c r="N23" i="1"/>
  <c r="N11" i="1"/>
  <c r="M20" i="1"/>
  <c r="M6" i="1"/>
  <c r="O24" i="1"/>
  <c r="O47" i="1"/>
  <c r="N27" i="1"/>
  <c r="M22" i="1"/>
  <c r="M7" i="1"/>
  <c r="M38" i="1"/>
  <c r="O18" i="1"/>
  <c r="N8" i="1"/>
  <c r="N28" i="1"/>
  <c r="Z11" i="1"/>
  <c r="Z44" i="1"/>
  <c r="O6" i="1"/>
  <c r="O19" i="1"/>
  <c r="O12" i="1"/>
  <c r="O30" i="1"/>
  <c r="O43" i="1"/>
  <c r="N53" i="1"/>
  <c r="M63" i="1"/>
  <c r="N16" i="1"/>
  <c r="N26" i="1"/>
  <c r="N34" i="1"/>
  <c r="Z56" i="1"/>
  <c r="N21" i="1"/>
  <c r="O26" i="1"/>
  <c r="O34" i="1"/>
  <c r="N57" i="1"/>
  <c r="N12" i="1"/>
  <c r="Z5" i="1"/>
  <c r="O35" i="1"/>
  <c r="N41" i="1"/>
  <c r="O57" i="1"/>
  <c r="N37" i="1"/>
  <c r="N33" i="1"/>
  <c r="N22" i="1"/>
  <c r="N7" i="1"/>
  <c r="M61" i="1"/>
  <c r="M44" i="1"/>
  <c r="M29" i="1"/>
  <c r="M31" i="1"/>
  <c r="M18" i="1"/>
  <c r="M5" i="1"/>
  <c r="M37" i="1"/>
  <c r="M51" i="1"/>
  <c r="M49" i="1"/>
  <c r="M27" i="1"/>
  <c r="O22" i="1"/>
  <c r="Z13" i="1"/>
  <c r="O20" i="1"/>
  <c r="O15" i="1"/>
  <c r="O63" i="1"/>
  <c r="N42" i="1"/>
  <c r="Z63" i="1"/>
  <c r="O33" i="1"/>
  <c r="N47" i="1"/>
  <c r="N62" i="1"/>
  <c r="N35" i="1"/>
  <c r="N14" i="1"/>
  <c r="N24" i="1"/>
  <c r="N17" i="1"/>
  <c r="N20" i="1"/>
  <c r="N48" i="1"/>
  <c r="N52" i="1"/>
  <c r="Z49" i="1"/>
  <c r="O25" i="1"/>
  <c r="Z24" i="1"/>
  <c r="Z16" i="1"/>
  <c r="Z42" i="1"/>
  <c r="Z9" i="1"/>
  <c r="O50" i="1"/>
  <c r="Z23" i="1"/>
  <c r="Z8" i="1"/>
  <c r="N6" i="1"/>
  <c r="N32" i="1"/>
  <c r="N54" i="1"/>
  <c r="M39" i="1"/>
  <c r="M58" i="1"/>
  <c r="M50" i="1"/>
  <c r="M59" i="1"/>
  <c r="N15" i="1"/>
  <c r="N25" i="1"/>
  <c r="M36" i="1"/>
  <c r="M45" i="1"/>
  <c r="M56" i="1"/>
  <c r="M23" i="1"/>
  <c r="M11" i="1"/>
  <c r="Z53" i="1"/>
  <c r="N51" i="1"/>
  <c r="O49" i="1"/>
  <c r="Z20" i="1"/>
  <c r="Z36" i="1"/>
  <c r="Z51" i="1"/>
  <c r="M33" i="1"/>
  <c r="O45" i="1"/>
  <c r="O56" i="1"/>
  <c r="O27" i="1"/>
  <c r="O36" i="1"/>
  <c r="O60" i="1"/>
  <c r="M25" i="1"/>
  <c r="O39" i="1"/>
  <c r="O58" i="1"/>
  <c r="M60" i="1"/>
  <c r="M13" i="1"/>
  <c r="N58" i="1"/>
  <c r="N50" i="1"/>
  <c r="N59" i="1"/>
  <c r="M15" i="1"/>
  <c r="O40" i="1"/>
  <c r="N13" i="1"/>
  <c r="N44" i="1"/>
  <c r="O37" i="1"/>
  <c r="N36" i="1"/>
  <c r="N29" i="1"/>
  <c r="N39" i="1"/>
  <c r="N38" i="1"/>
  <c r="N56" i="1"/>
  <c r="N61" i="1"/>
  <c r="N31" i="1"/>
  <c r="N60" i="1"/>
  <c r="N55" i="1"/>
  <c r="N49" i="1"/>
  <c r="O55" i="1"/>
  <c r="O48" i="1"/>
  <c r="N4" i="1"/>
  <c r="O4" i="1"/>
  <c r="M10" i="1"/>
  <c r="M8" i="1"/>
  <c r="M19" i="1"/>
  <c r="M9" i="1"/>
  <c r="M12" i="1"/>
  <c r="M28" i="1"/>
  <c r="M30" i="1"/>
  <c r="M32" i="1"/>
  <c r="M64" i="1"/>
  <c r="M42" i="1"/>
  <c r="M41" i="1"/>
  <c r="B2" i="3" s="1"/>
  <c r="M52" i="1"/>
  <c r="M57" i="1"/>
  <c r="B3" i="3" s="1"/>
  <c r="M46" i="1"/>
  <c r="M40" i="1"/>
  <c r="M55" i="1"/>
  <c r="N18" i="1"/>
  <c r="N5" i="1"/>
  <c r="M4" i="1"/>
  <c r="M16" i="1"/>
  <c r="O7" i="1"/>
  <c r="M17" i="1"/>
  <c r="M21" i="1"/>
  <c r="M24" i="1"/>
  <c r="M26" i="1"/>
  <c r="M14" i="1"/>
  <c r="M34" i="1"/>
  <c r="M35" i="1"/>
  <c r="M43" i="1"/>
  <c r="M62" i="1"/>
  <c r="M54" i="1"/>
  <c r="M47" i="1"/>
  <c r="M48" i="1"/>
  <c r="B5" i="3" l="1"/>
  <c r="B9" i="3"/>
  <c r="B8" i="3"/>
  <c r="B10" i="3"/>
  <c r="B11" i="3"/>
  <c r="B6" i="3"/>
  <c r="B4" i="3"/>
  <c r="B7" i="3"/>
  <c r="J680" i="2"/>
  <c r="B680" i="2"/>
  <c r="J679" i="2"/>
  <c r="I679" i="2"/>
  <c r="H679" i="2"/>
  <c r="G679" i="2"/>
  <c r="F679" i="2"/>
  <c r="B679" i="2"/>
  <c r="J678" i="2"/>
  <c r="H678" i="2"/>
  <c r="G678" i="2"/>
  <c r="F678" i="2"/>
  <c r="B678" i="2"/>
  <c r="J677" i="2"/>
  <c r="G677" i="2"/>
  <c r="F677" i="2"/>
  <c r="B677" i="2"/>
  <c r="J676" i="2"/>
  <c r="F676" i="2"/>
  <c r="B676" i="2"/>
  <c r="J675" i="2"/>
  <c r="B675" i="2"/>
  <c r="J674" i="2"/>
  <c r="I674" i="2"/>
  <c r="H674" i="2"/>
  <c r="G674" i="2"/>
  <c r="F674" i="2"/>
  <c r="B674" i="2"/>
  <c r="J673" i="2"/>
  <c r="H673" i="2"/>
  <c r="G673" i="2"/>
  <c r="F673" i="2"/>
  <c r="B673" i="2"/>
  <c r="J672" i="2"/>
  <c r="G672" i="2"/>
  <c r="F672" i="2"/>
  <c r="B672" i="2"/>
  <c r="J671" i="2"/>
  <c r="F671" i="2"/>
  <c r="B671" i="2"/>
  <c r="J670" i="2"/>
  <c r="B670" i="2"/>
  <c r="J669" i="2"/>
  <c r="I669" i="2"/>
  <c r="H669" i="2"/>
  <c r="G669" i="2"/>
  <c r="F669" i="2"/>
  <c r="B669" i="2"/>
  <c r="J668" i="2"/>
  <c r="H668" i="2"/>
  <c r="G668" i="2"/>
  <c r="F668" i="2"/>
  <c r="B668" i="2"/>
  <c r="J667" i="2"/>
  <c r="G667" i="2"/>
  <c r="F667" i="2"/>
  <c r="B667" i="2"/>
  <c r="J666" i="2"/>
  <c r="F666" i="2"/>
  <c r="B666" i="2"/>
  <c r="J665" i="2"/>
  <c r="B665" i="2"/>
  <c r="J664" i="2"/>
  <c r="I664" i="2"/>
  <c r="H664" i="2"/>
  <c r="G664" i="2"/>
  <c r="F664" i="2"/>
  <c r="B664" i="2"/>
  <c r="J663" i="2"/>
  <c r="H663" i="2"/>
  <c r="G663" i="2"/>
  <c r="F663" i="2"/>
  <c r="B663" i="2"/>
  <c r="J662" i="2"/>
  <c r="G662" i="2"/>
  <c r="F662" i="2"/>
  <c r="B662" i="2"/>
  <c r="J661" i="2"/>
  <c r="F661" i="2"/>
  <c r="B661" i="2"/>
  <c r="J660" i="2"/>
  <c r="B660" i="2"/>
  <c r="J659" i="2"/>
  <c r="I659" i="2"/>
  <c r="H659" i="2"/>
  <c r="G659" i="2"/>
  <c r="F659" i="2"/>
  <c r="B659" i="2"/>
  <c r="J658" i="2"/>
  <c r="H658" i="2"/>
  <c r="G658" i="2"/>
  <c r="F658" i="2"/>
  <c r="B658" i="2"/>
  <c r="J657" i="2"/>
  <c r="G657" i="2"/>
  <c r="F657" i="2"/>
  <c r="B657" i="2"/>
  <c r="J656" i="2"/>
  <c r="F656" i="2"/>
  <c r="B656" i="2"/>
  <c r="J655" i="2"/>
  <c r="B655" i="2"/>
  <c r="J654" i="2"/>
  <c r="I654" i="2"/>
  <c r="H654" i="2"/>
  <c r="G654" i="2"/>
  <c r="F654" i="2"/>
  <c r="B654" i="2"/>
  <c r="J653" i="2"/>
  <c r="H653" i="2"/>
  <c r="G653" i="2"/>
  <c r="F653" i="2"/>
  <c r="B653" i="2"/>
  <c r="J652" i="2"/>
  <c r="G652" i="2"/>
  <c r="F652" i="2"/>
  <c r="B652" i="2"/>
  <c r="J651" i="2"/>
  <c r="F651" i="2"/>
  <c r="B651" i="2"/>
  <c r="J650" i="2"/>
  <c r="B650" i="2"/>
  <c r="J649" i="2"/>
  <c r="I649" i="2"/>
  <c r="H649" i="2"/>
  <c r="G649" i="2"/>
  <c r="F649" i="2"/>
  <c r="B649" i="2"/>
  <c r="J648" i="2"/>
  <c r="H648" i="2"/>
  <c r="G648" i="2"/>
  <c r="F648" i="2"/>
  <c r="B648" i="2"/>
  <c r="J647" i="2"/>
  <c r="G647" i="2"/>
  <c r="F647" i="2"/>
  <c r="B647" i="2"/>
  <c r="J646" i="2"/>
  <c r="F646" i="2"/>
  <c r="B646" i="2"/>
  <c r="J645" i="2"/>
  <c r="B645" i="2"/>
  <c r="J644" i="2"/>
  <c r="I644" i="2"/>
  <c r="H644" i="2"/>
  <c r="G644" i="2"/>
  <c r="F644" i="2"/>
  <c r="B644" i="2"/>
  <c r="J643" i="2"/>
  <c r="H643" i="2"/>
  <c r="G643" i="2"/>
  <c r="F643" i="2"/>
  <c r="B643" i="2"/>
  <c r="J642" i="2"/>
  <c r="G642" i="2"/>
  <c r="F642" i="2"/>
  <c r="B642" i="2"/>
  <c r="J641" i="2"/>
  <c r="F641" i="2"/>
  <c r="B641" i="2"/>
  <c r="J640" i="2"/>
  <c r="B640" i="2"/>
  <c r="J639" i="2"/>
  <c r="I639" i="2"/>
  <c r="H639" i="2"/>
  <c r="G639" i="2"/>
  <c r="F639" i="2"/>
  <c r="B639" i="2"/>
  <c r="J638" i="2"/>
  <c r="H638" i="2"/>
  <c r="G638" i="2"/>
  <c r="F638" i="2"/>
  <c r="B638" i="2"/>
  <c r="J637" i="2"/>
  <c r="G637" i="2"/>
  <c r="F637" i="2"/>
  <c r="B637" i="2"/>
  <c r="J636" i="2"/>
  <c r="F636" i="2"/>
  <c r="B636" i="2"/>
  <c r="J635" i="2"/>
  <c r="B635" i="2"/>
  <c r="J634" i="2"/>
  <c r="I634" i="2"/>
  <c r="H634" i="2"/>
  <c r="G634" i="2"/>
  <c r="F634" i="2"/>
  <c r="B634" i="2"/>
  <c r="J633" i="2"/>
  <c r="H633" i="2"/>
  <c r="G633" i="2"/>
  <c r="F633" i="2"/>
  <c r="B633" i="2"/>
  <c r="J632" i="2"/>
  <c r="G632" i="2"/>
  <c r="F632" i="2"/>
  <c r="B632" i="2"/>
  <c r="J631" i="2"/>
  <c r="F631" i="2"/>
  <c r="B631" i="2"/>
  <c r="J630" i="2"/>
  <c r="B630" i="2"/>
  <c r="J629" i="2"/>
  <c r="I629" i="2"/>
  <c r="H629" i="2"/>
  <c r="G629" i="2"/>
  <c r="F629" i="2"/>
  <c r="B629" i="2"/>
  <c r="J628" i="2"/>
  <c r="H628" i="2"/>
  <c r="G628" i="2"/>
  <c r="F628" i="2"/>
  <c r="B628" i="2"/>
  <c r="J627" i="2"/>
  <c r="G627" i="2"/>
  <c r="F627" i="2"/>
  <c r="B627" i="2"/>
  <c r="J626" i="2"/>
  <c r="F626" i="2"/>
  <c r="B626" i="2"/>
  <c r="J625" i="2"/>
  <c r="B625" i="2"/>
  <c r="J624" i="2"/>
  <c r="I624" i="2"/>
  <c r="H624" i="2"/>
  <c r="G624" i="2"/>
  <c r="F624" i="2"/>
  <c r="B624" i="2"/>
  <c r="J623" i="2"/>
  <c r="H623" i="2"/>
  <c r="G623" i="2"/>
  <c r="F623" i="2"/>
  <c r="B623" i="2"/>
  <c r="J622" i="2"/>
  <c r="G622" i="2"/>
  <c r="F622" i="2"/>
  <c r="B622" i="2"/>
  <c r="J621" i="2"/>
  <c r="F621" i="2"/>
  <c r="B621" i="2"/>
  <c r="J620" i="2"/>
  <c r="B620" i="2"/>
  <c r="J619" i="2"/>
  <c r="I619" i="2"/>
  <c r="H619" i="2"/>
  <c r="G619" i="2"/>
  <c r="F619" i="2"/>
  <c r="B619" i="2"/>
  <c r="J618" i="2"/>
  <c r="H618" i="2"/>
  <c r="G618" i="2"/>
  <c r="F618" i="2"/>
  <c r="B618" i="2"/>
  <c r="J617" i="2"/>
  <c r="G617" i="2"/>
  <c r="F617" i="2"/>
  <c r="B617" i="2"/>
  <c r="J616" i="2"/>
  <c r="F616" i="2"/>
  <c r="B616" i="2"/>
  <c r="J615" i="2"/>
  <c r="B615" i="2"/>
  <c r="J614" i="2"/>
  <c r="I614" i="2"/>
  <c r="H614" i="2"/>
  <c r="G614" i="2"/>
  <c r="F614" i="2"/>
  <c r="B614" i="2"/>
  <c r="J613" i="2"/>
  <c r="H613" i="2"/>
  <c r="G613" i="2"/>
  <c r="F613" i="2"/>
  <c r="B613" i="2"/>
  <c r="J612" i="2"/>
  <c r="G612" i="2"/>
  <c r="F612" i="2"/>
  <c r="B612" i="2"/>
  <c r="J611" i="2"/>
  <c r="F611" i="2"/>
  <c r="B611" i="2"/>
  <c r="J610" i="2"/>
  <c r="B610" i="2"/>
  <c r="J609" i="2"/>
  <c r="I609" i="2"/>
  <c r="H609" i="2"/>
  <c r="G609" i="2"/>
  <c r="F609" i="2"/>
  <c r="B609" i="2"/>
  <c r="J608" i="2"/>
  <c r="H608" i="2"/>
  <c r="G608" i="2"/>
  <c r="F608" i="2"/>
  <c r="B608" i="2"/>
  <c r="J607" i="2"/>
  <c r="G607" i="2"/>
  <c r="F607" i="2"/>
  <c r="B607" i="2"/>
  <c r="J606" i="2"/>
  <c r="F606" i="2"/>
  <c r="B606" i="2"/>
  <c r="J605" i="2"/>
  <c r="B605" i="2"/>
  <c r="J604" i="2"/>
  <c r="I604" i="2"/>
  <c r="H604" i="2"/>
  <c r="G604" i="2"/>
  <c r="F604" i="2"/>
  <c r="B604" i="2"/>
  <c r="J603" i="2"/>
  <c r="H603" i="2"/>
  <c r="G603" i="2"/>
  <c r="F603" i="2"/>
  <c r="B603" i="2"/>
  <c r="J602" i="2"/>
  <c r="G602" i="2"/>
  <c r="F602" i="2"/>
  <c r="B602" i="2"/>
  <c r="J601" i="2"/>
  <c r="F601" i="2"/>
  <c r="B601" i="2"/>
  <c r="J600" i="2"/>
  <c r="B600" i="2"/>
  <c r="J599" i="2"/>
  <c r="I599" i="2"/>
  <c r="H599" i="2"/>
  <c r="G599" i="2"/>
  <c r="F599" i="2"/>
  <c r="B599" i="2"/>
  <c r="J598" i="2"/>
  <c r="H598" i="2"/>
  <c r="G598" i="2"/>
  <c r="F598" i="2"/>
  <c r="B598" i="2"/>
  <c r="J597" i="2"/>
  <c r="G597" i="2"/>
  <c r="F597" i="2"/>
  <c r="B597" i="2"/>
  <c r="J596" i="2"/>
  <c r="F596" i="2"/>
  <c r="B596" i="2"/>
  <c r="J595" i="2"/>
  <c r="B595" i="2"/>
  <c r="J594" i="2"/>
  <c r="I594" i="2"/>
  <c r="H594" i="2"/>
  <c r="G594" i="2"/>
  <c r="F594" i="2"/>
  <c r="B594" i="2"/>
  <c r="J593" i="2"/>
  <c r="H593" i="2"/>
  <c r="G593" i="2"/>
  <c r="F593" i="2"/>
  <c r="B593" i="2"/>
  <c r="J592" i="2"/>
  <c r="G592" i="2"/>
  <c r="F592" i="2"/>
  <c r="B592" i="2"/>
  <c r="J591" i="2"/>
  <c r="F591" i="2"/>
  <c r="B591" i="2"/>
  <c r="J590" i="2"/>
  <c r="B590" i="2"/>
  <c r="J589" i="2"/>
  <c r="I589" i="2"/>
  <c r="H589" i="2"/>
  <c r="G589" i="2"/>
  <c r="F589" i="2"/>
  <c r="B589" i="2"/>
  <c r="J588" i="2"/>
  <c r="H588" i="2"/>
  <c r="G588" i="2"/>
  <c r="F588" i="2"/>
  <c r="B588" i="2"/>
  <c r="J587" i="2"/>
  <c r="G587" i="2"/>
  <c r="F587" i="2"/>
  <c r="B587" i="2"/>
  <c r="J586" i="2"/>
  <c r="F586" i="2"/>
  <c r="B586" i="2"/>
  <c r="J585" i="2"/>
  <c r="B585" i="2"/>
  <c r="J584" i="2"/>
  <c r="I584" i="2"/>
  <c r="H584" i="2"/>
  <c r="G584" i="2"/>
  <c r="F584" i="2"/>
  <c r="B584" i="2"/>
  <c r="J583" i="2"/>
  <c r="H583" i="2"/>
  <c r="G583" i="2"/>
  <c r="F583" i="2"/>
  <c r="B583" i="2"/>
  <c r="J582" i="2"/>
  <c r="G582" i="2"/>
  <c r="F582" i="2"/>
  <c r="B582" i="2"/>
  <c r="J581" i="2"/>
  <c r="F581" i="2"/>
  <c r="B581" i="2"/>
  <c r="J580" i="2"/>
  <c r="B580" i="2"/>
  <c r="J579" i="2"/>
  <c r="I579" i="2"/>
  <c r="H579" i="2"/>
  <c r="G579" i="2"/>
  <c r="F579" i="2"/>
  <c r="B579" i="2"/>
  <c r="J578" i="2"/>
  <c r="H578" i="2"/>
  <c r="G578" i="2"/>
  <c r="F578" i="2"/>
  <c r="B578" i="2"/>
  <c r="J577" i="2"/>
  <c r="G577" i="2"/>
  <c r="F577" i="2"/>
  <c r="B577" i="2"/>
  <c r="J576" i="2"/>
  <c r="F576" i="2"/>
  <c r="B576" i="2"/>
  <c r="J575" i="2"/>
  <c r="B575" i="2"/>
  <c r="J574" i="2"/>
  <c r="I574" i="2"/>
  <c r="H574" i="2"/>
  <c r="G574" i="2"/>
  <c r="F574" i="2"/>
  <c r="B574" i="2"/>
  <c r="J573" i="2"/>
  <c r="H573" i="2"/>
  <c r="G573" i="2"/>
  <c r="F573" i="2"/>
  <c r="B573" i="2"/>
  <c r="J572" i="2"/>
  <c r="G572" i="2"/>
  <c r="F572" i="2"/>
  <c r="B572" i="2"/>
  <c r="J571" i="2"/>
  <c r="F571" i="2"/>
  <c r="B571" i="2"/>
  <c r="J570" i="2"/>
  <c r="B570" i="2"/>
  <c r="J569" i="2"/>
  <c r="I569" i="2"/>
  <c r="H569" i="2"/>
  <c r="G569" i="2"/>
  <c r="F569" i="2"/>
  <c r="B569" i="2"/>
  <c r="J568" i="2"/>
  <c r="H568" i="2"/>
  <c r="G568" i="2"/>
  <c r="F568" i="2"/>
  <c r="B568" i="2"/>
  <c r="J567" i="2"/>
  <c r="G567" i="2"/>
  <c r="F567" i="2"/>
  <c r="B567" i="2"/>
  <c r="J566" i="2"/>
  <c r="F566" i="2"/>
  <c r="B566" i="2"/>
  <c r="J565" i="2"/>
  <c r="B565" i="2"/>
  <c r="J564" i="2"/>
  <c r="I564" i="2"/>
  <c r="H564" i="2"/>
  <c r="G564" i="2"/>
  <c r="F564" i="2"/>
  <c r="B564" i="2"/>
  <c r="J563" i="2"/>
  <c r="H563" i="2"/>
  <c r="G563" i="2"/>
  <c r="F563" i="2"/>
  <c r="B563" i="2"/>
  <c r="J562" i="2"/>
  <c r="G562" i="2"/>
  <c r="F562" i="2"/>
  <c r="B562" i="2"/>
  <c r="J561" i="2"/>
  <c r="F561" i="2"/>
  <c r="B561" i="2"/>
  <c r="J560" i="2"/>
  <c r="B560" i="2"/>
  <c r="J559" i="2"/>
  <c r="I559" i="2"/>
  <c r="H559" i="2"/>
  <c r="G559" i="2"/>
  <c r="F559" i="2"/>
  <c r="B559" i="2"/>
  <c r="J558" i="2"/>
  <c r="H558" i="2"/>
  <c r="G558" i="2"/>
  <c r="F558" i="2"/>
  <c r="B558" i="2"/>
  <c r="J557" i="2"/>
  <c r="G557" i="2"/>
  <c r="F557" i="2"/>
  <c r="B557" i="2"/>
  <c r="J556" i="2"/>
  <c r="F556" i="2"/>
  <c r="B556" i="2"/>
  <c r="J555" i="2"/>
  <c r="B555" i="2"/>
  <c r="J554" i="2"/>
  <c r="I554" i="2"/>
  <c r="H554" i="2"/>
  <c r="G554" i="2"/>
  <c r="F554" i="2"/>
  <c r="B554" i="2"/>
  <c r="J553" i="2"/>
  <c r="H553" i="2"/>
  <c r="G553" i="2"/>
  <c r="F553" i="2"/>
  <c r="B553" i="2"/>
  <c r="J552" i="2"/>
  <c r="G552" i="2"/>
  <c r="F552" i="2"/>
  <c r="B552" i="2"/>
  <c r="J551" i="2"/>
  <c r="F551" i="2"/>
  <c r="B551" i="2"/>
  <c r="J550" i="2"/>
  <c r="B550" i="2"/>
  <c r="J549" i="2"/>
  <c r="I549" i="2"/>
  <c r="H549" i="2"/>
  <c r="G549" i="2"/>
  <c r="F549" i="2"/>
  <c r="B549" i="2"/>
  <c r="J548" i="2"/>
  <c r="H548" i="2"/>
  <c r="G548" i="2"/>
  <c r="F548" i="2"/>
  <c r="B548" i="2"/>
  <c r="J547" i="2"/>
  <c r="G547" i="2"/>
  <c r="F547" i="2"/>
  <c r="B547" i="2"/>
  <c r="J546" i="2"/>
  <c r="F546" i="2"/>
  <c r="B546" i="2"/>
  <c r="J545" i="2"/>
  <c r="B545" i="2"/>
  <c r="J544" i="2"/>
  <c r="I544" i="2"/>
  <c r="H544" i="2"/>
  <c r="G544" i="2"/>
  <c r="F544" i="2"/>
  <c r="B544" i="2"/>
  <c r="J543" i="2"/>
  <c r="H543" i="2"/>
  <c r="G543" i="2"/>
  <c r="F543" i="2"/>
  <c r="B543" i="2"/>
  <c r="J542" i="2"/>
  <c r="G542" i="2"/>
  <c r="F542" i="2"/>
  <c r="B542" i="2"/>
  <c r="J541" i="2"/>
  <c r="F541" i="2"/>
  <c r="B541" i="2"/>
  <c r="J540" i="2"/>
  <c r="B540" i="2"/>
  <c r="J539" i="2"/>
  <c r="I539" i="2"/>
  <c r="H539" i="2"/>
  <c r="G539" i="2"/>
  <c r="F539" i="2"/>
  <c r="B539" i="2"/>
  <c r="J538" i="2"/>
  <c r="H538" i="2"/>
  <c r="G538" i="2"/>
  <c r="F538" i="2"/>
  <c r="B538" i="2"/>
  <c r="J537" i="2"/>
  <c r="G537" i="2"/>
  <c r="F537" i="2"/>
  <c r="B537" i="2"/>
  <c r="J536" i="2"/>
  <c r="F536" i="2"/>
  <c r="B536" i="2"/>
  <c r="J535" i="2"/>
  <c r="B535" i="2"/>
  <c r="J534" i="2"/>
  <c r="I534" i="2"/>
  <c r="H534" i="2"/>
  <c r="G534" i="2"/>
  <c r="F534" i="2"/>
  <c r="B534" i="2"/>
  <c r="J533" i="2"/>
  <c r="H533" i="2"/>
  <c r="G533" i="2"/>
  <c r="F533" i="2"/>
  <c r="B533" i="2"/>
  <c r="J532" i="2"/>
  <c r="G532" i="2"/>
  <c r="F532" i="2"/>
  <c r="B532" i="2"/>
  <c r="J531" i="2"/>
  <c r="F531" i="2"/>
  <c r="B531" i="2"/>
  <c r="J530" i="2"/>
  <c r="B530" i="2"/>
  <c r="J529" i="2"/>
  <c r="I529" i="2"/>
  <c r="H529" i="2"/>
  <c r="G529" i="2"/>
  <c r="F529" i="2"/>
  <c r="B529" i="2"/>
  <c r="J528" i="2"/>
  <c r="H528" i="2"/>
  <c r="G528" i="2"/>
  <c r="F528" i="2"/>
  <c r="B528" i="2"/>
  <c r="J527" i="2"/>
  <c r="G527" i="2"/>
  <c r="F527" i="2"/>
  <c r="B527" i="2"/>
  <c r="J526" i="2"/>
  <c r="F526" i="2"/>
  <c r="B526" i="2"/>
  <c r="J525" i="2"/>
  <c r="B525" i="2"/>
  <c r="J524" i="2"/>
  <c r="I524" i="2"/>
  <c r="H524" i="2"/>
  <c r="G524" i="2"/>
  <c r="F524" i="2"/>
  <c r="B524" i="2"/>
  <c r="J523" i="2"/>
  <c r="H523" i="2"/>
  <c r="G523" i="2"/>
  <c r="F523" i="2"/>
  <c r="B523" i="2"/>
  <c r="J522" i="2"/>
  <c r="G522" i="2"/>
  <c r="F522" i="2"/>
  <c r="B522" i="2"/>
  <c r="J521" i="2"/>
  <c r="F521" i="2"/>
  <c r="B521" i="2"/>
  <c r="J520" i="2"/>
  <c r="B520" i="2"/>
  <c r="J519" i="2"/>
  <c r="I519" i="2"/>
  <c r="H519" i="2"/>
  <c r="G519" i="2"/>
  <c r="F519" i="2"/>
  <c r="B519" i="2"/>
  <c r="J518" i="2"/>
  <c r="H518" i="2"/>
  <c r="G518" i="2"/>
  <c r="F518" i="2"/>
  <c r="B518" i="2"/>
  <c r="J517" i="2"/>
  <c r="G517" i="2"/>
  <c r="F517" i="2"/>
  <c r="B517" i="2"/>
  <c r="J516" i="2"/>
  <c r="F516" i="2"/>
  <c r="B516" i="2"/>
  <c r="J515" i="2"/>
  <c r="B515" i="2"/>
  <c r="J514" i="2"/>
  <c r="I514" i="2"/>
  <c r="H514" i="2"/>
  <c r="G514" i="2"/>
  <c r="F514" i="2"/>
  <c r="B514" i="2"/>
  <c r="J513" i="2"/>
  <c r="H513" i="2"/>
  <c r="G513" i="2"/>
  <c r="F513" i="2"/>
  <c r="B513" i="2"/>
  <c r="J512" i="2"/>
  <c r="G512" i="2"/>
  <c r="F512" i="2"/>
  <c r="B512" i="2"/>
  <c r="J511" i="2"/>
  <c r="F511" i="2"/>
  <c r="B511" i="2"/>
  <c r="J510" i="2"/>
  <c r="B510" i="2"/>
  <c r="J509" i="2"/>
  <c r="I509" i="2"/>
  <c r="H509" i="2"/>
  <c r="G509" i="2"/>
  <c r="F509" i="2"/>
  <c r="B509" i="2"/>
  <c r="J508" i="2"/>
  <c r="H508" i="2"/>
  <c r="G508" i="2"/>
  <c r="F508" i="2"/>
  <c r="B508" i="2"/>
  <c r="J507" i="2"/>
  <c r="G507" i="2"/>
  <c r="F507" i="2"/>
  <c r="B507" i="2"/>
  <c r="J506" i="2"/>
  <c r="F506" i="2"/>
  <c r="B506" i="2"/>
  <c r="J505" i="2"/>
  <c r="B505" i="2"/>
  <c r="J504" i="2"/>
  <c r="I504" i="2"/>
  <c r="H504" i="2"/>
  <c r="G504" i="2"/>
  <c r="F504" i="2"/>
  <c r="B504" i="2"/>
  <c r="J503" i="2"/>
  <c r="H503" i="2"/>
  <c r="G503" i="2"/>
  <c r="F503" i="2"/>
  <c r="B503" i="2"/>
  <c r="J502" i="2"/>
  <c r="G502" i="2"/>
  <c r="F502" i="2"/>
  <c r="B502" i="2"/>
  <c r="J501" i="2"/>
  <c r="F501" i="2"/>
  <c r="B501" i="2"/>
  <c r="J500" i="2"/>
  <c r="B500" i="2"/>
  <c r="J499" i="2"/>
  <c r="I499" i="2"/>
  <c r="H499" i="2"/>
  <c r="G499" i="2"/>
  <c r="F499" i="2"/>
  <c r="B499" i="2"/>
  <c r="J498" i="2"/>
  <c r="H498" i="2"/>
  <c r="G498" i="2"/>
  <c r="F498" i="2"/>
  <c r="B498" i="2"/>
  <c r="J497" i="2"/>
  <c r="G497" i="2"/>
  <c r="F497" i="2"/>
  <c r="B497" i="2"/>
  <c r="J496" i="2"/>
  <c r="F496" i="2"/>
  <c r="B496" i="2"/>
  <c r="J495" i="2"/>
  <c r="B495" i="2"/>
  <c r="J494" i="2"/>
  <c r="I494" i="2"/>
  <c r="H494" i="2"/>
  <c r="G494" i="2"/>
  <c r="F494" i="2"/>
  <c r="B494" i="2"/>
  <c r="J493" i="2"/>
  <c r="H493" i="2"/>
  <c r="G493" i="2"/>
  <c r="F493" i="2"/>
  <c r="B493" i="2"/>
  <c r="J492" i="2"/>
  <c r="G492" i="2"/>
  <c r="F492" i="2"/>
  <c r="B492" i="2"/>
  <c r="J491" i="2"/>
  <c r="F491" i="2"/>
  <c r="B491" i="2"/>
  <c r="J490" i="2"/>
  <c r="B490" i="2"/>
  <c r="J489" i="2"/>
  <c r="I489" i="2"/>
  <c r="H489" i="2"/>
  <c r="G489" i="2"/>
  <c r="F489" i="2"/>
  <c r="B489" i="2"/>
  <c r="J488" i="2"/>
  <c r="H488" i="2"/>
  <c r="G488" i="2"/>
  <c r="F488" i="2"/>
  <c r="B488" i="2"/>
  <c r="J487" i="2"/>
  <c r="G487" i="2"/>
  <c r="F487" i="2"/>
  <c r="B487" i="2"/>
  <c r="J486" i="2"/>
  <c r="F486" i="2"/>
  <c r="B486" i="2"/>
  <c r="J485" i="2"/>
  <c r="B485" i="2"/>
  <c r="J484" i="2"/>
  <c r="I484" i="2"/>
  <c r="H484" i="2"/>
  <c r="G484" i="2"/>
  <c r="F484" i="2"/>
  <c r="B484" i="2"/>
  <c r="J483" i="2"/>
  <c r="H483" i="2"/>
  <c r="G483" i="2"/>
  <c r="F483" i="2"/>
  <c r="B483" i="2"/>
  <c r="J482" i="2"/>
  <c r="G482" i="2"/>
  <c r="F482" i="2"/>
  <c r="B482" i="2"/>
  <c r="J481" i="2"/>
  <c r="F481" i="2"/>
  <c r="B481" i="2"/>
  <c r="J480" i="2"/>
  <c r="B480" i="2"/>
  <c r="J479" i="2"/>
  <c r="I479" i="2"/>
  <c r="H479" i="2"/>
  <c r="G479" i="2"/>
  <c r="F479" i="2"/>
  <c r="B479" i="2"/>
  <c r="J478" i="2"/>
  <c r="H478" i="2"/>
  <c r="G478" i="2"/>
  <c r="F478" i="2"/>
  <c r="B478" i="2"/>
  <c r="J477" i="2"/>
  <c r="G477" i="2"/>
  <c r="F477" i="2"/>
  <c r="B477" i="2"/>
  <c r="J476" i="2"/>
  <c r="F476" i="2"/>
  <c r="B476" i="2"/>
  <c r="J475" i="2"/>
  <c r="B475" i="2"/>
  <c r="J474" i="2"/>
  <c r="I474" i="2"/>
  <c r="H474" i="2"/>
  <c r="G474" i="2"/>
  <c r="F474" i="2"/>
  <c r="B474" i="2"/>
  <c r="J473" i="2"/>
  <c r="H473" i="2"/>
  <c r="G473" i="2"/>
  <c r="F473" i="2"/>
  <c r="B473" i="2"/>
  <c r="J472" i="2"/>
  <c r="G472" i="2"/>
  <c r="F472" i="2"/>
  <c r="B472" i="2"/>
  <c r="J471" i="2"/>
  <c r="F471" i="2"/>
  <c r="B471" i="2"/>
  <c r="J470" i="2"/>
  <c r="B470" i="2"/>
  <c r="J469" i="2"/>
  <c r="I469" i="2"/>
  <c r="H469" i="2"/>
  <c r="G469" i="2"/>
  <c r="F469" i="2"/>
  <c r="B469" i="2"/>
  <c r="J468" i="2"/>
  <c r="H468" i="2"/>
  <c r="G468" i="2"/>
  <c r="F468" i="2"/>
  <c r="B468" i="2"/>
  <c r="J467" i="2"/>
  <c r="G467" i="2"/>
  <c r="F467" i="2"/>
  <c r="B467" i="2"/>
  <c r="J466" i="2"/>
  <c r="F466" i="2"/>
  <c r="B466" i="2"/>
  <c r="J465" i="2"/>
  <c r="B465" i="2"/>
  <c r="J464" i="2"/>
  <c r="I464" i="2"/>
  <c r="H464" i="2"/>
  <c r="G464" i="2"/>
  <c r="F464" i="2"/>
  <c r="B464" i="2"/>
  <c r="J463" i="2"/>
  <c r="H463" i="2"/>
  <c r="G463" i="2"/>
  <c r="F463" i="2"/>
  <c r="B463" i="2"/>
  <c r="J462" i="2"/>
  <c r="G462" i="2"/>
  <c r="F462" i="2"/>
  <c r="B462" i="2"/>
  <c r="J461" i="2"/>
  <c r="F461" i="2"/>
  <c r="C461" i="2"/>
  <c r="C462" i="2" s="1"/>
  <c r="C463" i="2" s="1"/>
  <c r="C464" i="2" s="1"/>
  <c r="C465" i="2" s="1"/>
  <c r="B461" i="2"/>
  <c r="C451" i="2"/>
  <c r="C452" i="2" s="1"/>
  <c r="C453" i="2" s="1"/>
  <c r="C454" i="2" s="1"/>
  <c r="C455" i="2" s="1"/>
  <c r="C456" i="2" s="1"/>
  <c r="C457" i="2" s="1"/>
  <c r="C458" i="2" s="1"/>
  <c r="C459" i="2" s="1"/>
  <c r="C460" i="2" s="1"/>
  <c r="B451" i="2"/>
  <c r="F451" i="2"/>
  <c r="J451" i="2"/>
  <c r="B452" i="2"/>
  <c r="F452" i="2"/>
  <c r="G452" i="2"/>
  <c r="J452" i="2"/>
  <c r="B453" i="2"/>
  <c r="F453" i="2"/>
  <c r="G453" i="2"/>
  <c r="H453" i="2"/>
  <c r="J453" i="2"/>
  <c r="B454" i="2"/>
  <c r="F454" i="2"/>
  <c r="G454" i="2"/>
  <c r="H454" i="2"/>
  <c r="I454" i="2"/>
  <c r="J454" i="2"/>
  <c r="B455" i="2"/>
  <c r="J455" i="2"/>
  <c r="B456" i="2"/>
  <c r="F456" i="2"/>
  <c r="J456" i="2"/>
  <c r="B457" i="2"/>
  <c r="F457" i="2"/>
  <c r="G457" i="2"/>
  <c r="J457" i="2"/>
  <c r="B458" i="2"/>
  <c r="F458" i="2"/>
  <c r="G458" i="2"/>
  <c r="H458" i="2"/>
  <c r="J458" i="2"/>
  <c r="B459" i="2"/>
  <c r="F459" i="2"/>
  <c r="G459" i="2"/>
  <c r="H459" i="2"/>
  <c r="I459" i="2"/>
  <c r="J459" i="2"/>
  <c r="B460" i="2"/>
  <c r="J460" i="2"/>
  <c r="J450" i="2"/>
  <c r="B450" i="2"/>
  <c r="J449" i="2"/>
  <c r="I449" i="2"/>
  <c r="H449" i="2"/>
  <c r="G449" i="2"/>
  <c r="F449" i="2"/>
  <c r="B449" i="2"/>
  <c r="J448" i="2"/>
  <c r="H448" i="2"/>
  <c r="G448" i="2"/>
  <c r="F448" i="2"/>
  <c r="B448" i="2"/>
  <c r="J447" i="2"/>
  <c r="G447" i="2"/>
  <c r="F447" i="2"/>
  <c r="B447" i="2"/>
  <c r="J446" i="2"/>
  <c r="F446" i="2"/>
  <c r="B446" i="2"/>
  <c r="J445" i="2"/>
  <c r="B445" i="2"/>
  <c r="J444" i="2"/>
  <c r="I444" i="2"/>
  <c r="H444" i="2"/>
  <c r="G444" i="2"/>
  <c r="F444" i="2"/>
  <c r="B444" i="2"/>
  <c r="J443" i="2"/>
  <c r="H443" i="2"/>
  <c r="G443" i="2"/>
  <c r="F443" i="2"/>
  <c r="B443" i="2"/>
  <c r="J442" i="2"/>
  <c r="G442" i="2"/>
  <c r="F442" i="2"/>
  <c r="B442" i="2"/>
  <c r="J441" i="2"/>
  <c r="F441" i="2"/>
  <c r="C442" i="2"/>
  <c r="C443" i="2" s="1"/>
  <c r="C444" i="2" s="1"/>
  <c r="C445" i="2" s="1"/>
  <c r="B441" i="2"/>
  <c r="C471" i="2" l="1"/>
  <c r="C466" i="2"/>
  <c r="C467" i="2" s="1"/>
  <c r="C468" i="2" s="1"/>
  <c r="C469" i="2" s="1"/>
  <c r="C470" i="2" s="1"/>
  <c r="D20" i="1"/>
  <c r="C20" i="1"/>
  <c r="C446" i="2"/>
  <c r="C447" i="2" s="1"/>
  <c r="C448" i="2" s="1"/>
  <c r="C449" i="2" s="1"/>
  <c r="C450" i="2" s="1"/>
  <c r="H439" i="2"/>
  <c r="B440" i="2"/>
  <c r="J440" i="2"/>
  <c r="F439" i="2"/>
  <c r="F433" i="2"/>
  <c r="F434" i="2"/>
  <c r="F435" i="2"/>
  <c r="G434" i="2"/>
  <c r="J439" i="2"/>
  <c r="G439" i="2"/>
  <c r="B439" i="2"/>
  <c r="J438" i="2"/>
  <c r="G438" i="2"/>
  <c r="F438" i="2"/>
  <c r="B438" i="2"/>
  <c r="J437" i="2"/>
  <c r="F437" i="2"/>
  <c r="B437" i="2"/>
  <c r="J436" i="2"/>
  <c r="B436" i="2"/>
  <c r="J435" i="2"/>
  <c r="H435" i="2"/>
  <c r="G435" i="2"/>
  <c r="B435" i="2"/>
  <c r="J434" i="2"/>
  <c r="B434" i="2"/>
  <c r="J433" i="2"/>
  <c r="B433" i="2"/>
  <c r="J432" i="2"/>
  <c r="B432" i="2"/>
  <c r="J431" i="2"/>
  <c r="I431" i="2"/>
  <c r="H431" i="2"/>
  <c r="G431" i="2"/>
  <c r="F431" i="2"/>
  <c r="B431" i="2"/>
  <c r="J430" i="2"/>
  <c r="H430" i="2"/>
  <c r="G430" i="2"/>
  <c r="F430" i="2"/>
  <c r="B430" i="2"/>
  <c r="J429" i="2"/>
  <c r="G429" i="2"/>
  <c r="F429" i="2"/>
  <c r="B429" i="2"/>
  <c r="J428" i="2"/>
  <c r="F428" i="2"/>
  <c r="B428" i="2"/>
  <c r="J427" i="2"/>
  <c r="B427" i="2"/>
  <c r="J426" i="2"/>
  <c r="I426" i="2"/>
  <c r="H426" i="2"/>
  <c r="G426" i="2"/>
  <c r="F426" i="2"/>
  <c r="B426" i="2"/>
  <c r="J425" i="2"/>
  <c r="H425" i="2"/>
  <c r="G425" i="2"/>
  <c r="F425" i="2"/>
  <c r="B425" i="2"/>
  <c r="J424" i="2"/>
  <c r="G424" i="2"/>
  <c r="F424" i="2"/>
  <c r="B424" i="2"/>
  <c r="J423" i="2"/>
  <c r="F423" i="2"/>
  <c r="B423" i="2"/>
  <c r="J422" i="2"/>
  <c r="B422" i="2"/>
  <c r="J421" i="2"/>
  <c r="I421" i="2"/>
  <c r="H421" i="2"/>
  <c r="G421" i="2"/>
  <c r="F421" i="2"/>
  <c r="B421" i="2"/>
  <c r="J420" i="2"/>
  <c r="H420" i="2"/>
  <c r="G420" i="2"/>
  <c r="F420" i="2"/>
  <c r="B420" i="2"/>
  <c r="J419" i="2"/>
  <c r="G419" i="2"/>
  <c r="F419" i="2"/>
  <c r="B419" i="2"/>
  <c r="J418" i="2"/>
  <c r="F418" i="2"/>
  <c r="B418" i="2"/>
  <c r="J417" i="2"/>
  <c r="B417" i="2"/>
  <c r="J416" i="2"/>
  <c r="I416" i="2"/>
  <c r="H416" i="2"/>
  <c r="G416" i="2"/>
  <c r="F416" i="2"/>
  <c r="B416" i="2"/>
  <c r="J415" i="2"/>
  <c r="H415" i="2"/>
  <c r="G415" i="2"/>
  <c r="F415" i="2"/>
  <c r="B415" i="2"/>
  <c r="J414" i="2"/>
  <c r="G414" i="2"/>
  <c r="F414" i="2"/>
  <c r="B414" i="2"/>
  <c r="J413" i="2"/>
  <c r="F413" i="2"/>
  <c r="B413" i="2"/>
  <c r="J412" i="2"/>
  <c r="B412" i="2"/>
  <c r="J411" i="2"/>
  <c r="I411" i="2"/>
  <c r="H411" i="2"/>
  <c r="G411" i="2"/>
  <c r="F411" i="2"/>
  <c r="B411" i="2"/>
  <c r="J410" i="2"/>
  <c r="H410" i="2"/>
  <c r="G410" i="2"/>
  <c r="F410" i="2"/>
  <c r="B410" i="2"/>
  <c r="J409" i="2"/>
  <c r="G409" i="2"/>
  <c r="F409" i="2"/>
  <c r="B409" i="2"/>
  <c r="J408" i="2"/>
  <c r="F408" i="2"/>
  <c r="B408" i="2"/>
  <c r="J407" i="2"/>
  <c r="B407" i="2"/>
  <c r="J406" i="2"/>
  <c r="I406" i="2"/>
  <c r="H406" i="2"/>
  <c r="G406" i="2"/>
  <c r="F406" i="2"/>
  <c r="B406" i="2"/>
  <c r="J405" i="2"/>
  <c r="H405" i="2"/>
  <c r="G405" i="2"/>
  <c r="F405" i="2"/>
  <c r="B405" i="2"/>
  <c r="J404" i="2"/>
  <c r="G404" i="2"/>
  <c r="F404" i="2"/>
  <c r="B404" i="2"/>
  <c r="J403" i="2"/>
  <c r="F403" i="2"/>
  <c r="B403" i="2"/>
  <c r="J402" i="2"/>
  <c r="B402" i="2"/>
  <c r="J401" i="2"/>
  <c r="I401" i="2"/>
  <c r="H401" i="2"/>
  <c r="G401" i="2"/>
  <c r="F401" i="2"/>
  <c r="B401" i="2"/>
  <c r="J400" i="2"/>
  <c r="H400" i="2"/>
  <c r="G400" i="2"/>
  <c r="F400" i="2"/>
  <c r="B400" i="2"/>
  <c r="J399" i="2"/>
  <c r="G399" i="2"/>
  <c r="F399" i="2"/>
  <c r="B399" i="2"/>
  <c r="J398" i="2"/>
  <c r="F398" i="2"/>
  <c r="B398" i="2"/>
  <c r="J397" i="2"/>
  <c r="B397" i="2"/>
  <c r="J396" i="2"/>
  <c r="I396" i="2"/>
  <c r="H396" i="2"/>
  <c r="G396" i="2"/>
  <c r="F396" i="2"/>
  <c r="B396" i="2"/>
  <c r="J395" i="2"/>
  <c r="H395" i="2"/>
  <c r="G395" i="2"/>
  <c r="F395" i="2"/>
  <c r="B395" i="2"/>
  <c r="J394" i="2"/>
  <c r="G394" i="2"/>
  <c r="F394" i="2"/>
  <c r="B394" i="2"/>
  <c r="J393" i="2"/>
  <c r="F393" i="2"/>
  <c r="B393" i="2"/>
  <c r="J392" i="2"/>
  <c r="B392" i="2"/>
  <c r="J391" i="2"/>
  <c r="I391" i="2"/>
  <c r="H391" i="2"/>
  <c r="G391" i="2"/>
  <c r="F391" i="2"/>
  <c r="B391" i="2"/>
  <c r="J390" i="2"/>
  <c r="H390" i="2"/>
  <c r="G390" i="2"/>
  <c r="F390" i="2"/>
  <c r="B390" i="2"/>
  <c r="J389" i="2"/>
  <c r="G389" i="2"/>
  <c r="F389" i="2"/>
  <c r="B389" i="2"/>
  <c r="J388" i="2"/>
  <c r="F388" i="2"/>
  <c r="B388" i="2"/>
  <c r="J387" i="2"/>
  <c r="B387" i="2"/>
  <c r="J386" i="2"/>
  <c r="I386" i="2"/>
  <c r="H386" i="2"/>
  <c r="G386" i="2"/>
  <c r="F386" i="2"/>
  <c r="B386" i="2"/>
  <c r="J385" i="2"/>
  <c r="H385" i="2"/>
  <c r="G385" i="2"/>
  <c r="F385" i="2"/>
  <c r="B385" i="2"/>
  <c r="J384" i="2"/>
  <c r="G384" i="2"/>
  <c r="F384" i="2"/>
  <c r="B384" i="2"/>
  <c r="J383" i="2"/>
  <c r="F383" i="2"/>
  <c r="B383" i="2"/>
  <c r="J382" i="2"/>
  <c r="B382" i="2"/>
  <c r="J381" i="2"/>
  <c r="I381" i="2"/>
  <c r="H381" i="2"/>
  <c r="G381" i="2"/>
  <c r="F381" i="2"/>
  <c r="B381" i="2"/>
  <c r="J380" i="2"/>
  <c r="H380" i="2"/>
  <c r="G380" i="2"/>
  <c r="F380" i="2"/>
  <c r="B380" i="2"/>
  <c r="J379" i="2"/>
  <c r="G379" i="2"/>
  <c r="F379" i="2"/>
  <c r="B379" i="2"/>
  <c r="J378" i="2"/>
  <c r="F378" i="2"/>
  <c r="B378" i="2"/>
  <c r="J377" i="2"/>
  <c r="B377" i="2"/>
  <c r="J376" i="2"/>
  <c r="I376" i="2"/>
  <c r="H376" i="2"/>
  <c r="G376" i="2"/>
  <c r="F376" i="2"/>
  <c r="B376" i="2"/>
  <c r="J375" i="2"/>
  <c r="H375" i="2"/>
  <c r="G375" i="2"/>
  <c r="F375" i="2"/>
  <c r="B375" i="2"/>
  <c r="J374" i="2"/>
  <c r="G374" i="2"/>
  <c r="F374" i="2"/>
  <c r="B374" i="2"/>
  <c r="J373" i="2"/>
  <c r="F373" i="2"/>
  <c r="B373" i="2"/>
  <c r="J372" i="2"/>
  <c r="B372" i="2"/>
  <c r="J371" i="2"/>
  <c r="I371" i="2"/>
  <c r="H371" i="2"/>
  <c r="G371" i="2"/>
  <c r="F371" i="2"/>
  <c r="B371" i="2"/>
  <c r="J370" i="2"/>
  <c r="H370" i="2"/>
  <c r="G370" i="2"/>
  <c r="F370" i="2"/>
  <c r="B370" i="2"/>
  <c r="J369" i="2"/>
  <c r="G369" i="2"/>
  <c r="F369" i="2"/>
  <c r="B369" i="2"/>
  <c r="J368" i="2"/>
  <c r="F368" i="2"/>
  <c r="B368" i="2"/>
  <c r="J367" i="2"/>
  <c r="B367" i="2"/>
  <c r="J366" i="2"/>
  <c r="I366" i="2"/>
  <c r="H366" i="2"/>
  <c r="G366" i="2"/>
  <c r="F366" i="2"/>
  <c r="B366" i="2"/>
  <c r="J365" i="2"/>
  <c r="H365" i="2"/>
  <c r="G365" i="2"/>
  <c r="F365" i="2"/>
  <c r="B365" i="2"/>
  <c r="J364" i="2"/>
  <c r="G364" i="2"/>
  <c r="F364" i="2"/>
  <c r="B364" i="2"/>
  <c r="J363" i="2"/>
  <c r="F363" i="2"/>
  <c r="B363" i="2"/>
  <c r="J362" i="2"/>
  <c r="B362" i="2"/>
  <c r="J361" i="2"/>
  <c r="I361" i="2"/>
  <c r="H361" i="2"/>
  <c r="G361" i="2"/>
  <c r="F361" i="2"/>
  <c r="B361" i="2"/>
  <c r="J360" i="2"/>
  <c r="H360" i="2"/>
  <c r="G360" i="2"/>
  <c r="F360" i="2"/>
  <c r="B360" i="2"/>
  <c r="J359" i="2"/>
  <c r="G359" i="2"/>
  <c r="F359" i="2"/>
  <c r="B359" i="2"/>
  <c r="J358" i="2"/>
  <c r="F358" i="2"/>
  <c r="B358" i="2"/>
  <c r="J357" i="2"/>
  <c r="B357" i="2"/>
  <c r="J356" i="2"/>
  <c r="I356" i="2"/>
  <c r="H356" i="2"/>
  <c r="G356" i="2"/>
  <c r="F356" i="2"/>
  <c r="B356" i="2"/>
  <c r="J355" i="2"/>
  <c r="H355" i="2"/>
  <c r="G355" i="2"/>
  <c r="F355" i="2"/>
  <c r="B355" i="2"/>
  <c r="J354" i="2"/>
  <c r="G354" i="2"/>
  <c r="F354" i="2"/>
  <c r="B354" i="2"/>
  <c r="J353" i="2"/>
  <c r="F353" i="2"/>
  <c r="B353" i="2"/>
  <c r="B343" i="2"/>
  <c r="F343" i="2"/>
  <c r="J343" i="2"/>
  <c r="B344" i="2"/>
  <c r="F344" i="2"/>
  <c r="G344" i="2"/>
  <c r="J344" i="2"/>
  <c r="B345" i="2"/>
  <c r="F345" i="2"/>
  <c r="G345" i="2"/>
  <c r="H345" i="2"/>
  <c r="J345" i="2"/>
  <c r="B346" i="2"/>
  <c r="F346" i="2"/>
  <c r="G346" i="2"/>
  <c r="H346" i="2"/>
  <c r="I346" i="2"/>
  <c r="J346" i="2"/>
  <c r="B347" i="2"/>
  <c r="J347" i="2"/>
  <c r="B348" i="2"/>
  <c r="F348" i="2"/>
  <c r="J348" i="2"/>
  <c r="B349" i="2"/>
  <c r="F349" i="2"/>
  <c r="G349" i="2"/>
  <c r="J349" i="2"/>
  <c r="B350" i="2"/>
  <c r="F350" i="2"/>
  <c r="G350" i="2"/>
  <c r="H350" i="2"/>
  <c r="J350" i="2"/>
  <c r="B351" i="2"/>
  <c r="F351" i="2"/>
  <c r="G351" i="2"/>
  <c r="H351" i="2"/>
  <c r="I351" i="2"/>
  <c r="J351" i="2"/>
  <c r="B352" i="2"/>
  <c r="J352" i="2"/>
  <c r="J342" i="2"/>
  <c r="B342" i="2"/>
  <c r="J341" i="2"/>
  <c r="I341" i="2"/>
  <c r="H341" i="2"/>
  <c r="G341" i="2"/>
  <c r="F341" i="2"/>
  <c r="B341" i="2"/>
  <c r="J340" i="2"/>
  <c r="H340" i="2"/>
  <c r="G340" i="2"/>
  <c r="F340" i="2"/>
  <c r="B340" i="2"/>
  <c r="J339" i="2"/>
  <c r="G339" i="2"/>
  <c r="F339" i="2"/>
  <c r="B339" i="2"/>
  <c r="J338" i="2"/>
  <c r="F338" i="2"/>
  <c r="B338" i="2"/>
  <c r="J337" i="2"/>
  <c r="B337" i="2"/>
  <c r="J336" i="2"/>
  <c r="I336" i="2"/>
  <c r="H336" i="2"/>
  <c r="G336" i="2"/>
  <c r="F336" i="2"/>
  <c r="B336" i="2"/>
  <c r="J335" i="2"/>
  <c r="H335" i="2"/>
  <c r="G335" i="2"/>
  <c r="F335" i="2"/>
  <c r="B335" i="2"/>
  <c r="J334" i="2"/>
  <c r="G334" i="2"/>
  <c r="F334" i="2"/>
  <c r="B334" i="2"/>
  <c r="J333" i="2"/>
  <c r="F333" i="2"/>
  <c r="B333" i="2"/>
  <c r="AD1" i="5"/>
  <c r="AC1" i="5"/>
  <c r="AB1" i="5"/>
  <c r="AA1" i="5"/>
  <c r="Z1" i="5"/>
  <c r="Y1" i="5"/>
  <c r="X1" i="5"/>
  <c r="W1" i="5"/>
  <c r="V1" i="5"/>
  <c r="U1" i="5"/>
  <c r="T1" i="5"/>
  <c r="J19" i="5"/>
  <c r="J20" i="5"/>
  <c r="J21" i="5"/>
  <c r="J11" i="5"/>
  <c r="J12" i="5"/>
  <c r="J13" i="5"/>
  <c r="J14" i="5"/>
  <c r="J15" i="5"/>
  <c r="J16" i="5"/>
  <c r="J17" i="5"/>
  <c r="J18" i="5"/>
  <c r="J10" i="5"/>
  <c r="J9" i="5"/>
  <c r="J8" i="5"/>
  <c r="J7" i="5"/>
  <c r="J6" i="5"/>
  <c r="J5" i="5"/>
  <c r="J4" i="5"/>
  <c r="J3" i="5"/>
  <c r="J2" i="5"/>
  <c r="S1" i="5"/>
  <c r="R1" i="5"/>
  <c r="Q1" i="5"/>
  <c r="P1" i="5"/>
  <c r="O1" i="5"/>
  <c r="N1" i="5"/>
  <c r="M1" i="5"/>
  <c r="L1" i="5"/>
  <c r="K1" i="5"/>
  <c r="J332" i="2"/>
  <c r="B332" i="2"/>
  <c r="J331" i="2"/>
  <c r="I331" i="2"/>
  <c r="H331" i="2"/>
  <c r="G331" i="2"/>
  <c r="F331" i="2"/>
  <c r="B331" i="2"/>
  <c r="J330" i="2"/>
  <c r="H330" i="2"/>
  <c r="G330" i="2"/>
  <c r="F330" i="2"/>
  <c r="B330" i="2"/>
  <c r="J329" i="2"/>
  <c r="G329" i="2"/>
  <c r="F329" i="2"/>
  <c r="B329" i="2"/>
  <c r="J328" i="2"/>
  <c r="F328" i="2"/>
  <c r="B328" i="2"/>
  <c r="J327" i="2"/>
  <c r="B327" i="2"/>
  <c r="J326" i="2"/>
  <c r="I326" i="2"/>
  <c r="H326" i="2"/>
  <c r="G326" i="2"/>
  <c r="F326" i="2"/>
  <c r="B326" i="2"/>
  <c r="J325" i="2"/>
  <c r="H325" i="2"/>
  <c r="G325" i="2"/>
  <c r="F325" i="2"/>
  <c r="B325" i="2"/>
  <c r="J324" i="2"/>
  <c r="G324" i="2"/>
  <c r="F324" i="2"/>
  <c r="B324" i="2"/>
  <c r="J323" i="2"/>
  <c r="F323" i="2"/>
  <c r="B323" i="2"/>
  <c r="J322" i="2"/>
  <c r="B322" i="2"/>
  <c r="J321" i="2"/>
  <c r="I321" i="2"/>
  <c r="H321" i="2"/>
  <c r="G321" i="2"/>
  <c r="F321" i="2"/>
  <c r="B321" i="2"/>
  <c r="J320" i="2"/>
  <c r="H320" i="2"/>
  <c r="G320" i="2"/>
  <c r="F320" i="2"/>
  <c r="B320" i="2"/>
  <c r="J319" i="2"/>
  <c r="G319" i="2"/>
  <c r="F319" i="2"/>
  <c r="B319" i="2"/>
  <c r="J318" i="2"/>
  <c r="F318" i="2"/>
  <c r="B318" i="2"/>
  <c r="J317" i="2"/>
  <c r="B317" i="2"/>
  <c r="J316" i="2"/>
  <c r="I316" i="2"/>
  <c r="H316" i="2"/>
  <c r="G316" i="2"/>
  <c r="F316" i="2"/>
  <c r="B316" i="2"/>
  <c r="J315" i="2"/>
  <c r="H315" i="2"/>
  <c r="G315" i="2"/>
  <c r="F315" i="2"/>
  <c r="B315" i="2"/>
  <c r="J314" i="2"/>
  <c r="G314" i="2"/>
  <c r="F314" i="2"/>
  <c r="B314" i="2"/>
  <c r="J313" i="2"/>
  <c r="F313" i="2"/>
  <c r="B313" i="2"/>
  <c r="J312" i="2"/>
  <c r="B312" i="2"/>
  <c r="J311" i="2"/>
  <c r="I311" i="2"/>
  <c r="H311" i="2"/>
  <c r="G311" i="2"/>
  <c r="F311" i="2"/>
  <c r="B311" i="2"/>
  <c r="J310" i="2"/>
  <c r="H310" i="2"/>
  <c r="G310" i="2"/>
  <c r="F310" i="2"/>
  <c r="B310" i="2"/>
  <c r="J309" i="2"/>
  <c r="G309" i="2"/>
  <c r="F309" i="2"/>
  <c r="B309" i="2"/>
  <c r="J308" i="2"/>
  <c r="F308" i="2"/>
  <c r="B308" i="2"/>
  <c r="J307" i="2"/>
  <c r="B307" i="2"/>
  <c r="J306" i="2"/>
  <c r="I306" i="2"/>
  <c r="H306" i="2"/>
  <c r="G306" i="2"/>
  <c r="F306" i="2"/>
  <c r="B306" i="2"/>
  <c r="J305" i="2"/>
  <c r="H305" i="2"/>
  <c r="G305" i="2"/>
  <c r="F305" i="2"/>
  <c r="B305" i="2"/>
  <c r="J304" i="2"/>
  <c r="G304" i="2"/>
  <c r="F304" i="2"/>
  <c r="B304" i="2"/>
  <c r="J303" i="2"/>
  <c r="F303" i="2"/>
  <c r="B303" i="2"/>
  <c r="J302" i="2"/>
  <c r="B302" i="2"/>
  <c r="J301" i="2"/>
  <c r="I301" i="2"/>
  <c r="H301" i="2"/>
  <c r="G301" i="2"/>
  <c r="F301" i="2"/>
  <c r="B301" i="2"/>
  <c r="J300" i="2"/>
  <c r="H300" i="2"/>
  <c r="G300" i="2"/>
  <c r="F300" i="2"/>
  <c r="B300" i="2"/>
  <c r="J299" i="2"/>
  <c r="G299" i="2"/>
  <c r="F299" i="2"/>
  <c r="B299" i="2"/>
  <c r="J298" i="2"/>
  <c r="F298" i="2"/>
  <c r="B298" i="2"/>
  <c r="J297" i="2"/>
  <c r="B297" i="2"/>
  <c r="J296" i="2"/>
  <c r="I296" i="2"/>
  <c r="H296" i="2"/>
  <c r="G296" i="2"/>
  <c r="F296" i="2"/>
  <c r="B296" i="2"/>
  <c r="J295" i="2"/>
  <c r="H295" i="2"/>
  <c r="G295" i="2"/>
  <c r="F295" i="2"/>
  <c r="B295" i="2"/>
  <c r="J294" i="2"/>
  <c r="G294" i="2"/>
  <c r="F294" i="2"/>
  <c r="B294" i="2"/>
  <c r="J293" i="2"/>
  <c r="F293" i="2"/>
  <c r="B293" i="2"/>
  <c r="T1" i="3"/>
  <c r="S1" i="3"/>
  <c r="R1" i="3"/>
  <c r="Q1" i="3"/>
  <c r="P1" i="3"/>
  <c r="O1" i="3"/>
  <c r="N1" i="3"/>
  <c r="M1" i="3"/>
  <c r="L1" i="3"/>
  <c r="J11" i="3"/>
  <c r="J10" i="3"/>
  <c r="J9" i="3"/>
  <c r="J8" i="3"/>
  <c r="J7" i="3"/>
  <c r="J6" i="3"/>
  <c r="J5" i="3"/>
  <c r="J4" i="3"/>
  <c r="J3" i="3"/>
  <c r="J2" i="3"/>
  <c r="K1" i="3"/>
  <c r="J292" i="2"/>
  <c r="B292" i="2"/>
  <c r="J291" i="2"/>
  <c r="I291" i="2"/>
  <c r="H291" i="2"/>
  <c r="G291" i="2"/>
  <c r="F291" i="2"/>
  <c r="B291" i="2"/>
  <c r="J290" i="2"/>
  <c r="H290" i="2"/>
  <c r="G290" i="2"/>
  <c r="F290" i="2"/>
  <c r="B290" i="2"/>
  <c r="J289" i="2"/>
  <c r="G289" i="2"/>
  <c r="F289" i="2"/>
  <c r="B289" i="2"/>
  <c r="J288" i="2"/>
  <c r="F288" i="2"/>
  <c r="B288" i="2"/>
  <c r="J287" i="2"/>
  <c r="B287" i="2"/>
  <c r="J286" i="2"/>
  <c r="I286" i="2"/>
  <c r="H286" i="2"/>
  <c r="G286" i="2"/>
  <c r="F286" i="2"/>
  <c r="B286" i="2"/>
  <c r="J285" i="2"/>
  <c r="H285" i="2"/>
  <c r="G285" i="2"/>
  <c r="F285" i="2"/>
  <c r="B285" i="2"/>
  <c r="J284" i="2"/>
  <c r="G284" i="2"/>
  <c r="F284" i="2"/>
  <c r="B284" i="2"/>
  <c r="J283" i="2"/>
  <c r="F283" i="2"/>
  <c r="B283" i="2"/>
  <c r="C273" i="2"/>
  <c r="C283" i="2" s="1"/>
  <c r="C293" i="2" s="1"/>
  <c r="C303" i="2" s="1"/>
  <c r="C313" i="2" s="1"/>
  <c r="J282" i="2"/>
  <c r="B282" i="2"/>
  <c r="J281" i="2"/>
  <c r="I281" i="2"/>
  <c r="H281" i="2"/>
  <c r="G281" i="2"/>
  <c r="F281" i="2"/>
  <c r="B281" i="2"/>
  <c r="J280" i="2"/>
  <c r="H280" i="2"/>
  <c r="G280" i="2"/>
  <c r="F280" i="2"/>
  <c r="B280" i="2"/>
  <c r="J279" i="2"/>
  <c r="G279" i="2"/>
  <c r="F279" i="2"/>
  <c r="B279" i="2"/>
  <c r="J278" i="2"/>
  <c r="F278" i="2"/>
  <c r="B278" i="2"/>
  <c r="J277" i="2"/>
  <c r="B277" i="2"/>
  <c r="J276" i="2"/>
  <c r="I276" i="2"/>
  <c r="H276" i="2"/>
  <c r="G276" i="2"/>
  <c r="F276" i="2"/>
  <c r="B276" i="2"/>
  <c r="J275" i="2"/>
  <c r="H275" i="2"/>
  <c r="G275" i="2"/>
  <c r="F275" i="2"/>
  <c r="B275" i="2"/>
  <c r="J274" i="2"/>
  <c r="G274" i="2"/>
  <c r="F274" i="2"/>
  <c r="B274" i="2"/>
  <c r="J273" i="2"/>
  <c r="F273" i="2"/>
  <c r="B273" i="2"/>
  <c r="J272" i="2"/>
  <c r="B272" i="2"/>
  <c r="J271" i="2"/>
  <c r="I271" i="2"/>
  <c r="H271" i="2"/>
  <c r="G271" i="2"/>
  <c r="F271" i="2"/>
  <c r="B271" i="2"/>
  <c r="J270" i="2"/>
  <c r="H270" i="2"/>
  <c r="G270" i="2"/>
  <c r="F270" i="2"/>
  <c r="B270" i="2"/>
  <c r="J269" i="2"/>
  <c r="G269" i="2"/>
  <c r="F269" i="2"/>
  <c r="B269" i="2"/>
  <c r="J268" i="2"/>
  <c r="F268" i="2"/>
  <c r="B268" i="2"/>
  <c r="J267" i="2"/>
  <c r="B267" i="2"/>
  <c r="J266" i="2"/>
  <c r="I266" i="2"/>
  <c r="H266" i="2"/>
  <c r="G266" i="2"/>
  <c r="F266" i="2"/>
  <c r="B266" i="2"/>
  <c r="J265" i="2"/>
  <c r="H265" i="2"/>
  <c r="G265" i="2"/>
  <c r="F265" i="2"/>
  <c r="B265" i="2"/>
  <c r="J264" i="2"/>
  <c r="G264" i="2"/>
  <c r="F264" i="2"/>
  <c r="B264" i="2"/>
  <c r="J263" i="2"/>
  <c r="F263" i="2"/>
  <c r="B263" i="2"/>
  <c r="J262" i="2"/>
  <c r="B262" i="2"/>
  <c r="J261" i="2"/>
  <c r="I261" i="2"/>
  <c r="H261" i="2"/>
  <c r="G261" i="2"/>
  <c r="F261" i="2"/>
  <c r="B261" i="2"/>
  <c r="J260" i="2"/>
  <c r="H260" i="2"/>
  <c r="G260" i="2"/>
  <c r="F260" i="2"/>
  <c r="B260" i="2"/>
  <c r="J259" i="2"/>
  <c r="G259" i="2"/>
  <c r="F259" i="2"/>
  <c r="B259" i="2"/>
  <c r="J258" i="2"/>
  <c r="F258" i="2"/>
  <c r="B258" i="2"/>
  <c r="J257" i="2"/>
  <c r="B257" i="2"/>
  <c r="J256" i="2"/>
  <c r="I256" i="2"/>
  <c r="H256" i="2"/>
  <c r="G256" i="2"/>
  <c r="F256" i="2"/>
  <c r="B256" i="2"/>
  <c r="J255" i="2"/>
  <c r="H255" i="2"/>
  <c r="G255" i="2"/>
  <c r="F255" i="2"/>
  <c r="B255" i="2"/>
  <c r="J254" i="2"/>
  <c r="G254" i="2"/>
  <c r="F254" i="2"/>
  <c r="B254" i="2"/>
  <c r="J253" i="2"/>
  <c r="F253" i="2"/>
  <c r="B253" i="2"/>
  <c r="J252" i="2"/>
  <c r="B252" i="2"/>
  <c r="J251" i="2"/>
  <c r="I251" i="2"/>
  <c r="H251" i="2"/>
  <c r="G251" i="2"/>
  <c r="F251" i="2"/>
  <c r="B251" i="2"/>
  <c r="J250" i="2"/>
  <c r="H250" i="2"/>
  <c r="G250" i="2"/>
  <c r="F250" i="2"/>
  <c r="B250" i="2"/>
  <c r="J249" i="2"/>
  <c r="G249" i="2"/>
  <c r="F249" i="2"/>
  <c r="B249" i="2"/>
  <c r="J248" i="2"/>
  <c r="F248" i="2"/>
  <c r="B248" i="2"/>
  <c r="J247" i="2"/>
  <c r="B247" i="2"/>
  <c r="J246" i="2"/>
  <c r="I246" i="2"/>
  <c r="H246" i="2"/>
  <c r="G246" i="2"/>
  <c r="F246" i="2"/>
  <c r="B246" i="2"/>
  <c r="J245" i="2"/>
  <c r="H245" i="2"/>
  <c r="G245" i="2"/>
  <c r="F245" i="2"/>
  <c r="B245" i="2"/>
  <c r="J244" i="2"/>
  <c r="G244" i="2"/>
  <c r="F244" i="2"/>
  <c r="B244" i="2"/>
  <c r="J243" i="2"/>
  <c r="F243" i="2"/>
  <c r="B243" i="2"/>
  <c r="J242" i="2"/>
  <c r="B242" i="2"/>
  <c r="J241" i="2"/>
  <c r="I241" i="2"/>
  <c r="H241" i="2"/>
  <c r="G241" i="2"/>
  <c r="F241" i="2"/>
  <c r="B241" i="2"/>
  <c r="J240" i="2"/>
  <c r="H240" i="2"/>
  <c r="G240" i="2"/>
  <c r="F240" i="2"/>
  <c r="B240" i="2"/>
  <c r="J239" i="2"/>
  <c r="G239" i="2"/>
  <c r="F239" i="2"/>
  <c r="B239" i="2"/>
  <c r="J238" i="2"/>
  <c r="F238" i="2"/>
  <c r="B238" i="2"/>
  <c r="J237" i="2"/>
  <c r="B237" i="2"/>
  <c r="J236" i="2"/>
  <c r="I236" i="2"/>
  <c r="H236" i="2"/>
  <c r="G236" i="2"/>
  <c r="F236" i="2"/>
  <c r="B236" i="2"/>
  <c r="J235" i="2"/>
  <c r="H235" i="2"/>
  <c r="G235" i="2"/>
  <c r="F235" i="2"/>
  <c r="B235" i="2"/>
  <c r="J234" i="2"/>
  <c r="G234" i="2"/>
  <c r="F234" i="2"/>
  <c r="B234" i="2"/>
  <c r="J233" i="2"/>
  <c r="F233" i="2"/>
  <c r="B233" i="2"/>
  <c r="J232" i="2"/>
  <c r="B232" i="2"/>
  <c r="J231" i="2"/>
  <c r="I231" i="2"/>
  <c r="H231" i="2"/>
  <c r="G231" i="2"/>
  <c r="F231" i="2"/>
  <c r="B231" i="2"/>
  <c r="J230" i="2"/>
  <c r="H230" i="2"/>
  <c r="G230" i="2"/>
  <c r="F230" i="2"/>
  <c r="B230" i="2"/>
  <c r="J229" i="2"/>
  <c r="G229" i="2"/>
  <c r="F229" i="2"/>
  <c r="B229" i="2"/>
  <c r="J228" i="2"/>
  <c r="F228" i="2"/>
  <c r="B228" i="2"/>
  <c r="J227" i="2"/>
  <c r="B227" i="2"/>
  <c r="J226" i="2"/>
  <c r="I226" i="2"/>
  <c r="H226" i="2"/>
  <c r="G226" i="2"/>
  <c r="F226" i="2"/>
  <c r="B226" i="2"/>
  <c r="J225" i="2"/>
  <c r="H225" i="2"/>
  <c r="G225" i="2"/>
  <c r="F225" i="2"/>
  <c r="B225" i="2"/>
  <c r="J224" i="2"/>
  <c r="G224" i="2"/>
  <c r="F224" i="2"/>
  <c r="B224" i="2"/>
  <c r="J223" i="2"/>
  <c r="F223" i="2"/>
  <c r="B223" i="2"/>
  <c r="C213" i="2"/>
  <c r="C223" i="2" s="1"/>
  <c r="C224" i="2" s="1"/>
  <c r="C225" i="2" s="1"/>
  <c r="J222" i="2"/>
  <c r="B222" i="2"/>
  <c r="J221" i="2"/>
  <c r="I221" i="2"/>
  <c r="H221" i="2"/>
  <c r="G221" i="2"/>
  <c r="F221" i="2"/>
  <c r="B221" i="2"/>
  <c r="J220" i="2"/>
  <c r="H220" i="2"/>
  <c r="G220" i="2"/>
  <c r="F220" i="2"/>
  <c r="B220" i="2"/>
  <c r="J219" i="2"/>
  <c r="G219" i="2"/>
  <c r="F219" i="2"/>
  <c r="B219" i="2"/>
  <c r="J218" i="2"/>
  <c r="F218" i="2"/>
  <c r="B218" i="2"/>
  <c r="J217" i="2"/>
  <c r="B217" i="2"/>
  <c r="J216" i="2"/>
  <c r="I216" i="2"/>
  <c r="H216" i="2"/>
  <c r="G216" i="2"/>
  <c r="F216" i="2"/>
  <c r="B216" i="2"/>
  <c r="J215" i="2"/>
  <c r="H215" i="2"/>
  <c r="G215" i="2"/>
  <c r="F215" i="2"/>
  <c r="B215" i="2"/>
  <c r="J214" i="2"/>
  <c r="G214" i="2"/>
  <c r="F214" i="2"/>
  <c r="B214" i="2"/>
  <c r="J213" i="2"/>
  <c r="F213" i="2"/>
  <c r="B213" i="2"/>
  <c r="X3" i="1"/>
  <c r="J212" i="2"/>
  <c r="B212" i="2"/>
  <c r="J211" i="2"/>
  <c r="I211" i="2"/>
  <c r="H211" i="2"/>
  <c r="G211" i="2"/>
  <c r="F211" i="2"/>
  <c r="B211" i="2"/>
  <c r="J210" i="2"/>
  <c r="H210" i="2"/>
  <c r="G210" i="2"/>
  <c r="F210" i="2"/>
  <c r="B210" i="2"/>
  <c r="J209" i="2"/>
  <c r="G209" i="2"/>
  <c r="F209" i="2"/>
  <c r="B209" i="2"/>
  <c r="J208" i="2"/>
  <c r="F208" i="2"/>
  <c r="B208" i="2"/>
  <c r="J207" i="2"/>
  <c r="B207" i="2"/>
  <c r="J206" i="2"/>
  <c r="I206" i="2"/>
  <c r="H206" i="2"/>
  <c r="G206" i="2"/>
  <c r="F206" i="2"/>
  <c r="B206" i="2"/>
  <c r="J205" i="2"/>
  <c r="H205" i="2"/>
  <c r="G205" i="2"/>
  <c r="F205" i="2"/>
  <c r="B205" i="2"/>
  <c r="J204" i="2"/>
  <c r="G204" i="2"/>
  <c r="F204" i="2"/>
  <c r="B204" i="2"/>
  <c r="J203" i="2"/>
  <c r="F203" i="2"/>
  <c r="B203" i="2"/>
  <c r="J202" i="2"/>
  <c r="B202" i="2"/>
  <c r="J201" i="2"/>
  <c r="I201" i="2"/>
  <c r="H201" i="2"/>
  <c r="G201" i="2"/>
  <c r="F201" i="2"/>
  <c r="B201" i="2"/>
  <c r="J200" i="2"/>
  <c r="H200" i="2"/>
  <c r="G200" i="2"/>
  <c r="F200" i="2"/>
  <c r="B200" i="2"/>
  <c r="J199" i="2"/>
  <c r="G199" i="2"/>
  <c r="F199" i="2"/>
  <c r="B199" i="2"/>
  <c r="J198" i="2"/>
  <c r="F198" i="2"/>
  <c r="B198" i="2"/>
  <c r="J197" i="2"/>
  <c r="B197" i="2"/>
  <c r="J196" i="2"/>
  <c r="I196" i="2"/>
  <c r="H196" i="2"/>
  <c r="G196" i="2"/>
  <c r="F196" i="2"/>
  <c r="B196" i="2"/>
  <c r="J195" i="2"/>
  <c r="H195" i="2"/>
  <c r="G195" i="2"/>
  <c r="F195" i="2"/>
  <c r="B195" i="2"/>
  <c r="J194" i="2"/>
  <c r="G194" i="2"/>
  <c r="F194" i="2"/>
  <c r="B194" i="2"/>
  <c r="J193" i="2"/>
  <c r="F193" i="2"/>
  <c r="B193" i="2"/>
  <c r="J192" i="2"/>
  <c r="B192" i="2"/>
  <c r="J191" i="2"/>
  <c r="I191" i="2"/>
  <c r="H191" i="2"/>
  <c r="G191" i="2"/>
  <c r="F191" i="2"/>
  <c r="B191" i="2"/>
  <c r="J190" i="2"/>
  <c r="H190" i="2"/>
  <c r="G190" i="2"/>
  <c r="F190" i="2"/>
  <c r="B190" i="2"/>
  <c r="J189" i="2"/>
  <c r="G189" i="2"/>
  <c r="F189" i="2"/>
  <c r="B189" i="2"/>
  <c r="J188" i="2"/>
  <c r="F188" i="2"/>
  <c r="B188" i="2"/>
  <c r="J187" i="2"/>
  <c r="B187" i="2"/>
  <c r="J186" i="2"/>
  <c r="I186" i="2"/>
  <c r="H186" i="2"/>
  <c r="G186" i="2"/>
  <c r="F186" i="2"/>
  <c r="B186" i="2"/>
  <c r="J185" i="2"/>
  <c r="H185" i="2"/>
  <c r="G185" i="2"/>
  <c r="F185" i="2"/>
  <c r="B185" i="2"/>
  <c r="J184" i="2"/>
  <c r="G184" i="2"/>
  <c r="F184" i="2"/>
  <c r="B184" i="2"/>
  <c r="J183" i="2"/>
  <c r="F183" i="2"/>
  <c r="B183" i="2"/>
  <c r="J182" i="2"/>
  <c r="B182" i="2"/>
  <c r="J181" i="2"/>
  <c r="I181" i="2"/>
  <c r="H181" i="2"/>
  <c r="G181" i="2"/>
  <c r="F181" i="2"/>
  <c r="B181" i="2"/>
  <c r="J180" i="2"/>
  <c r="H180" i="2"/>
  <c r="G180" i="2"/>
  <c r="F180" i="2"/>
  <c r="B180" i="2"/>
  <c r="J179" i="2"/>
  <c r="G179" i="2"/>
  <c r="F179" i="2"/>
  <c r="B179" i="2"/>
  <c r="J178" i="2"/>
  <c r="F178" i="2"/>
  <c r="B178" i="2"/>
  <c r="J177" i="2"/>
  <c r="B177" i="2"/>
  <c r="J176" i="2"/>
  <c r="I176" i="2"/>
  <c r="H176" i="2"/>
  <c r="G176" i="2"/>
  <c r="F176" i="2"/>
  <c r="B176" i="2"/>
  <c r="J175" i="2"/>
  <c r="H175" i="2"/>
  <c r="G175" i="2"/>
  <c r="F175" i="2"/>
  <c r="B175" i="2"/>
  <c r="J174" i="2"/>
  <c r="G174" i="2"/>
  <c r="F174" i="2"/>
  <c r="B174" i="2"/>
  <c r="J173" i="2"/>
  <c r="F173" i="2"/>
  <c r="B173" i="2"/>
  <c r="H20" i="5"/>
  <c r="H19" i="5"/>
  <c r="H18" i="5"/>
  <c r="H17" i="5"/>
  <c r="H16" i="5"/>
  <c r="H15" i="5"/>
  <c r="H14" i="5"/>
  <c r="H13" i="5"/>
  <c r="H12" i="5"/>
  <c r="H11" i="5"/>
  <c r="H21" i="5"/>
  <c r="H10" i="5"/>
  <c r="H9" i="5"/>
  <c r="H8" i="5"/>
  <c r="H7" i="5"/>
  <c r="H6" i="5"/>
  <c r="H5" i="5"/>
  <c r="H4" i="5"/>
  <c r="H3" i="5"/>
  <c r="H2" i="5"/>
  <c r="H11" i="3"/>
  <c r="H10" i="3"/>
  <c r="H9" i="3"/>
  <c r="H8" i="3"/>
  <c r="H7" i="3"/>
  <c r="H6" i="3"/>
  <c r="H5" i="3"/>
  <c r="H4" i="3"/>
  <c r="H3" i="3"/>
  <c r="H2" i="3"/>
  <c r="J172" i="2"/>
  <c r="B172" i="2"/>
  <c r="J171" i="2"/>
  <c r="I171" i="2"/>
  <c r="H171" i="2"/>
  <c r="G171" i="2"/>
  <c r="F171" i="2"/>
  <c r="B171" i="2"/>
  <c r="J170" i="2"/>
  <c r="H170" i="2"/>
  <c r="G170" i="2"/>
  <c r="F170" i="2"/>
  <c r="B170" i="2"/>
  <c r="J169" i="2"/>
  <c r="G169" i="2"/>
  <c r="F169" i="2"/>
  <c r="B169" i="2"/>
  <c r="J168" i="2"/>
  <c r="F168" i="2"/>
  <c r="B168" i="2"/>
  <c r="J167" i="2"/>
  <c r="B167" i="2"/>
  <c r="J166" i="2"/>
  <c r="I166" i="2"/>
  <c r="H166" i="2"/>
  <c r="G166" i="2"/>
  <c r="F166" i="2"/>
  <c r="B166" i="2"/>
  <c r="J165" i="2"/>
  <c r="H165" i="2"/>
  <c r="G165" i="2"/>
  <c r="F165" i="2"/>
  <c r="B165" i="2"/>
  <c r="J164" i="2"/>
  <c r="G164" i="2"/>
  <c r="F164" i="2"/>
  <c r="B164" i="2"/>
  <c r="J163" i="2"/>
  <c r="F163" i="2"/>
  <c r="B163" i="2"/>
  <c r="J162" i="2"/>
  <c r="J161" i="2"/>
  <c r="J160" i="2"/>
  <c r="J159" i="2"/>
  <c r="J158" i="2"/>
  <c r="J157" i="2"/>
  <c r="J156" i="2"/>
  <c r="J155" i="2"/>
  <c r="J154" i="2"/>
  <c r="J153" i="2"/>
  <c r="B162" i="2"/>
  <c r="I161" i="2"/>
  <c r="H161" i="2"/>
  <c r="G161" i="2"/>
  <c r="F161" i="2"/>
  <c r="B161" i="2"/>
  <c r="H160" i="2"/>
  <c r="G160" i="2"/>
  <c r="F160" i="2"/>
  <c r="B160" i="2"/>
  <c r="G159" i="2"/>
  <c r="F159" i="2"/>
  <c r="B159" i="2"/>
  <c r="F158" i="2"/>
  <c r="B158" i="2"/>
  <c r="B157" i="2"/>
  <c r="I156" i="2"/>
  <c r="H156" i="2"/>
  <c r="G156" i="2"/>
  <c r="F156" i="2"/>
  <c r="B156" i="2"/>
  <c r="H155" i="2"/>
  <c r="G155" i="2"/>
  <c r="F155" i="2"/>
  <c r="B155" i="2"/>
  <c r="G154" i="2"/>
  <c r="F154" i="2"/>
  <c r="B154" i="2"/>
  <c r="F153" i="2"/>
  <c r="B153" i="2"/>
  <c r="J152" i="2"/>
  <c r="B152" i="2"/>
  <c r="J151" i="2"/>
  <c r="I151" i="2"/>
  <c r="H151" i="2"/>
  <c r="G151" i="2"/>
  <c r="F151" i="2"/>
  <c r="B151" i="2"/>
  <c r="J150" i="2"/>
  <c r="H150" i="2"/>
  <c r="G150" i="2"/>
  <c r="F150" i="2"/>
  <c r="B150" i="2"/>
  <c r="J149" i="2"/>
  <c r="G149" i="2"/>
  <c r="F149" i="2"/>
  <c r="B149" i="2"/>
  <c r="J148" i="2"/>
  <c r="F148" i="2"/>
  <c r="B148" i="2"/>
  <c r="J147" i="2"/>
  <c r="B147" i="2"/>
  <c r="J146" i="2"/>
  <c r="I146" i="2"/>
  <c r="H146" i="2"/>
  <c r="G146" i="2"/>
  <c r="F146" i="2"/>
  <c r="B146" i="2"/>
  <c r="J145" i="2"/>
  <c r="H145" i="2"/>
  <c r="G145" i="2"/>
  <c r="F145" i="2"/>
  <c r="B145" i="2"/>
  <c r="J144" i="2"/>
  <c r="G144" i="2"/>
  <c r="F144" i="2"/>
  <c r="B144" i="2"/>
  <c r="J143" i="2"/>
  <c r="F143" i="2"/>
  <c r="B143" i="2"/>
  <c r="J142" i="2"/>
  <c r="B142" i="2"/>
  <c r="J141" i="2"/>
  <c r="I141" i="2"/>
  <c r="H141" i="2"/>
  <c r="G141" i="2"/>
  <c r="F141" i="2"/>
  <c r="B141" i="2"/>
  <c r="J140" i="2"/>
  <c r="H140" i="2"/>
  <c r="G140" i="2"/>
  <c r="F140" i="2"/>
  <c r="B140" i="2"/>
  <c r="J139" i="2"/>
  <c r="G139" i="2"/>
  <c r="F139" i="2"/>
  <c r="B139" i="2"/>
  <c r="J138" i="2"/>
  <c r="F138" i="2"/>
  <c r="B138" i="2"/>
  <c r="J137" i="2"/>
  <c r="B137" i="2"/>
  <c r="J136" i="2"/>
  <c r="I136" i="2"/>
  <c r="H136" i="2"/>
  <c r="G136" i="2"/>
  <c r="F136" i="2"/>
  <c r="B136" i="2"/>
  <c r="J135" i="2"/>
  <c r="H135" i="2"/>
  <c r="G135" i="2"/>
  <c r="F135" i="2"/>
  <c r="B135" i="2"/>
  <c r="J134" i="2"/>
  <c r="G134" i="2"/>
  <c r="F134" i="2"/>
  <c r="B134" i="2"/>
  <c r="J133" i="2"/>
  <c r="F133" i="2"/>
  <c r="B133" i="2"/>
  <c r="J132" i="2"/>
  <c r="B132" i="2"/>
  <c r="J131" i="2"/>
  <c r="I131" i="2"/>
  <c r="H131" i="2"/>
  <c r="G131" i="2"/>
  <c r="F131" i="2"/>
  <c r="B131" i="2"/>
  <c r="J130" i="2"/>
  <c r="H130" i="2"/>
  <c r="G130" i="2"/>
  <c r="F130" i="2"/>
  <c r="B130" i="2"/>
  <c r="J129" i="2"/>
  <c r="G129" i="2"/>
  <c r="F129" i="2"/>
  <c r="B129" i="2"/>
  <c r="J128" i="2"/>
  <c r="F128" i="2"/>
  <c r="B128" i="2"/>
  <c r="J127" i="2"/>
  <c r="B127" i="2"/>
  <c r="J126" i="2"/>
  <c r="I126" i="2"/>
  <c r="H126" i="2"/>
  <c r="G126" i="2"/>
  <c r="F126" i="2"/>
  <c r="B126" i="2"/>
  <c r="J125" i="2"/>
  <c r="H125" i="2"/>
  <c r="G125" i="2"/>
  <c r="F125" i="2"/>
  <c r="B125" i="2"/>
  <c r="J124" i="2"/>
  <c r="G124" i="2"/>
  <c r="F124" i="2"/>
  <c r="B124" i="2"/>
  <c r="J123" i="2"/>
  <c r="F123" i="2"/>
  <c r="B123" i="2"/>
  <c r="J122" i="2"/>
  <c r="B122" i="2"/>
  <c r="J121" i="2"/>
  <c r="I121" i="2"/>
  <c r="H121" i="2"/>
  <c r="G121" i="2"/>
  <c r="F121" i="2"/>
  <c r="B121" i="2"/>
  <c r="J120" i="2"/>
  <c r="H120" i="2"/>
  <c r="G120" i="2"/>
  <c r="F120" i="2"/>
  <c r="B120" i="2"/>
  <c r="J119" i="2"/>
  <c r="G119" i="2"/>
  <c r="F119" i="2"/>
  <c r="B119" i="2"/>
  <c r="J118" i="2"/>
  <c r="F118" i="2"/>
  <c r="B118" i="2"/>
  <c r="J117" i="2"/>
  <c r="B117" i="2"/>
  <c r="J116" i="2"/>
  <c r="I116" i="2"/>
  <c r="H116" i="2"/>
  <c r="G116" i="2"/>
  <c r="F116" i="2"/>
  <c r="B116" i="2"/>
  <c r="J115" i="2"/>
  <c r="H115" i="2"/>
  <c r="G115" i="2"/>
  <c r="F115" i="2"/>
  <c r="B115" i="2"/>
  <c r="J114" i="2"/>
  <c r="G114" i="2"/>
  <c r="F114" i="2"/>
  <c r="B114" i="2"/>
  <c r="J113" i="2"/>
  <c r="F113" i="2"/>
  <c r="B113" i="2"/>
  <c r="J112" i="2"/>
  <c r="B112" i="2"/>
  <c r="J111" i="2"/>
  <c r="I111" i="2"/>
  <c r="H111" i="2"/>
  <c r="G111" i="2"/>
  <c r="F111" i="2"/>
  <c r="B111" i="2"/>
  <c r="J110" i="2"/>
  <c r="H110" i="2"/>
  <c r="G110" i="2"/>
  <c r="F110" i="2"/>
  <c r="B110" i="2"/>
  <c r="J109" i="2"/>
  <c r="G109" i="2"/>
  <c r="F109" i="2"/>
  <c r="B109" i="2"/>
  <c r="J108" i="2"/>
  <c r="F108" i="2"/>
  <c r="B108" i="2"/>
  <c r="J107" i="2"/>
  <c r="B107" i="2"/>
  <c r="J106" i="2"/>
  <c r="I106" i="2"/>
  <c r="H106" i="2"/>
  <c r="G106" i="2"/>
  <c r="F106" i="2"/>
  <c r="B106" i="2"/>
  <c r="J105" i="2"/>
  <c r="H105" i="2"/>
  <c r="G105" i="2"/>
  <c r="F105" i="2"/>
  <c r="B105" i="2"/>
  <c r="J104" i="2"/>
  <c r="G104" i="2"/>
  <c r="F104" i="2"/>
  <c r="B104" i="2"/>
  <c r="J103" i="2"/>
  <c r="F103" i="2"/>
  <c r="B103" i="2"/>
  <c r="J102" i="2"/>
  <c r="B102" i="2"/>
  <c r="J101" i="2"/>
  <c r="I101" i="2"/>
  <c r="H101" i="2"/>
  <c r="G101" i="2"/>
  <c r="F101" i="2"/>
  <c r="B101" i="2"/>
  <c r="J100" i="2"/>
  <c r="H100" i="2"/>
  <c r="G100" i="2"/>
  <c r="F100" i="2"/>
  <c r="B100" i="2"/>
  <c r="J99" i="2"/>
  <c r="G99" i="2"/>
  <c r="F99" i="2"/>
  <c r="B99" i="2"/>
  <c r="J98" i="2"/>
  <c r="F98" i="2"/>
  <c r="B98" i="2"/>
  <c r="J97" i="2"/>
  <c r="B97" i="2"/>
  <c r="J96" i="2"/>
  <c r="I96" i="2"/>
  <c r="H96" i="2"/>
  <c r="G96" i="2"/>
  <c r="F96" i="2"/>
  <c r="B96" i="2"/>
  <c r="J95" i="2"/>
  <c r="H95" i="2"/>
  <c r="G95" i="2"/>
  <c r="F95" i="2"/>
  <c r="B95" i="2"/>
  <c r="J94" i="2"/>
  <c r="G94" i="2"/>
  <c r="F94" i="2"/>
  <c r="B94" i="2"/>
  <c r="J93" i="2"/>
  <c r="F93" i="2"/>
  <c r="B93" i="2"/>
  <c r="J92" i="2"/>
  <c r="B92" i="2"/>
  <c r="J91" i="2"/>
  <c r="I91" i="2"/>
  <c r="H91" i="2"/>
  <c r="G91" i="2"/>
  <c r="F91" i="2"/>
  <c r="B91" i="2"/>
  <c r="J90" i="2"/>
  <c r="H90" i="2"/>
  <c r="G90" i="2"/>
  <c r="F90" i="2"/>
  <c r="B90" i="2"/>
  <c r="J89" i="2"/>
  <c r="G89" i="2"/>
  <c r="F89" i="2"/>
  <c r="B89" i="2"/>
  <c r="J88" i="2"/>
  <c r="F88" i="2"/>
  <c r="B88" i="2"/>
  <c r="J87" i="2"/>
  <c r="B87" i="2"/>
  <c r="J86" i="2"/>
  <c r="I86" i="2"/>
  <c r="H86" i="2"/>
  <c r="G86" i="2"/>
  <c r="F86" i="2"/>
  <c r="B86" i="2"/>
  <c r="J85" i="2"/>
  <c r="H85" i="2"/>
  <c r="G85" i="2"/>
  <c r="F85" i="2"/>
  <c r="B85" i="2"/>
  <c r="J84" i="2"/>
  <c r="G84" i="2"/>
  <c r="F84" i="2"/>
  <c r="B84" i="2"/>
  <c r="J83" i="2"/>
  <c r="F83" i="2"/>
  <c r="B83" i="2"/>
  <c r="J82" i="2"/>
  <c r="B82" i="2"/>
  <c r="J81" i="2"/>
  <c r="I81" i="2"/>
  <c r="H81" i="2"/>
  <c r="G81" i="2"/>
  <c r="F81" i="2"/>
  <c r="B81" i="2"/>
  <c r="J80" i="2"/>
  <c r="H80" i="2"/>
  <c r="G80" i="2"/>
  <c r="F80" i="2"/>
  <c r="B80" i="2"/>
  <c r="J79" i="2"/>
  <c r="G79" i="2"/>
  <c r="F79" i="2"/>
  <c r="B79" i="2"/>
  <c r="J78" i="2"/>
  <c r="F78" i="2"/>
  <c r="B78" i="2"/>
  <c r="J77" i="2"/>
  <c r="B77" i="2"/>
  <c r="J76" i="2"/>
  <c r="I76" i="2"/>
  <c r="H76" i="2"/>
  <c r="G76" i="2"/>
  <c r="F76" i="2"/>
  <c r="B76" i="2"/>
  <c r="J75" i="2"/>
  <c r="H75" i="2"/>
  <c r="G75" i="2"/>
  <c r="F75" i="2"/>
  <c r="B75" i="2"/>
  <c r="J74" i="2"/>
  <c r="G74" i="2"/>
  <c r="F74" i="2"/>
  <c r="B74" i="2"/>
  <c r="J73" i="2"/>
  <c r="F73" i="2"/>
  <c r="B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  <c r="J6" i="2"/>
  <c r="J5" i="2"/>
  <c r="J4" i="2"/>
  <c r="J3" i="2"/>
  <c r="C72" i="2"/>
  <c r="C71" i="2"/>
  <c r="C70" i="2"/>
  <c r="C69" i="2"/>
  <c r="C68" i="2"/>
  <c r="C67" i="2"/>
  <c r="C66" i="2"/>
  <c r="C65" i="2"/>
  <c r="C64" i="2"/>
  <c r="C63" i="2"/>
  <c r="B72" i="2"/>
  <c r="I71" i="2"/>
  <c r="H71" i="2"/>
  <c r="G71" i="2"/>
  <c r="F71" i="2"/>
  <c r="B71" i="2"/>
  <c r="H70" i="2"/>
  <c r="G70" i="2"/>
  <c r="F70" i="2"/>
  <c r="B70" i="2"/>
  <c r="G69" i="2"/>
  <c r="F69" i="2"/>
  <c r="B69" i="2"/>
  <c r="F68" i="2"/>
  <c r="B68" i="2"/>
  <c r="B67" i="2"/>
  <c r="I66" i="2"/>
  <c r="H66" i="2"/>
  <c r="G66" i="2"/>
  <c r="F66" i="2"/>
  <c r="B66" i="2"/>
  <c r="H65" i="2"/>
  <c r="G65" i="2"/>
  <c r="F65" i="2"/>
  <c r="B65" i="2"/>
  <c r="G64" i="2"/>
  <c r="F64" i="2"/>
  <c r="B64" i="2"/>
  <c r="F63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I61" i="2"/>
  <c r="H61" i="2"/>
  <c r="G61" i="2"/>
  <c r="F61" i="2"/>
  <c r="H60" i="2"/>
  <c r="G60" i="2"/>
  <c r="F60" i="2"/>
  <c r="G59" i="2"/>
  <c r="F59" i="2"/>
  <c r="F58" i="2"/>
  <c r="I56" i="2"/>
  <c r="H56" i="2"/>
  <c r="G56" i="2"/>
  <c r="F56" i="2"/>
  <c r="H55" i="2"/>
  <c r="G55" i="2"/>
  <c r="F55" i="2"/>
  <c r="G54" i="2"/>
  <c r="F54" i="2"/>
  <c r="F53" i="2"/>
  <c r="F5" i="2"/>
  <c r="I11" i="2"/>
  <c r="H11" i="2"/>
  <c r="G11" i="2"/>
  <c r="F11" i="2"/>
  <c r="H10" i="2"/>
  <c r="G10" i="2"/>
  <c r="F10" i="2"/>
  <c r="G9" i="2"/>
  <c r="F9" i="2"/>
  <c r="F8" i="2"/>
  <c r="I6" i="2"/>
  <c r="H6" i="2"/>
  <c r="G6" i="2"/>
  <c r="F6" i="2"/>
  <c r="H5" i="2"/>
  <c r="G5" i="2"/>
  <c r="G4" i="2"/>
  <c r="F4" i="2"/>
  <c r="F3" i="2"/>
  <c r="AN63" i="6" s="1"/>
  <c r="I21" i="2"/>
  <c r="H21" i="2"/>
  <c r="G21" i="2"/>
  <c r="F21" i="2"/>
  <c r="H20" i="2"/>
  <c r="G20" i="2"/>
  <c r="F20" i="2"/>
  <c r="G19" i="2"/>
  <c r="F19" i="2"/>
  <c r="F18" i="2"/>
  <c r="I16" i="2"/>
  <c r="H16" i="2"/>
  <c r="G16" i="2"/>
  <c r="F16" i="2"/>
  <c r="H15" i="2"/>
  <c r="G15" i="2"/>
  <c r="F15" i="2"/>
  <c r="G14" i="2"/>
  <c r="F14" i="2"/>
  <c r="F13" i="2"/>
  <c r="I31" i="2"/>
  <c r="H31" i="2"/>
  <c r="G31" i="2"/>
  <c r="F31" i="2"/>
  <c r="H30" i="2"/>
  <c r="G30" i="2"/>
  <c r="F30" i="2"/>
  <c r="G29" i="2"/>
  <c r="F29" i="2"/>
  <c r="F28" i="2"/>
  <c r="I26" i="2"/>
  <c r="H26" i="2"/>
  <c r="G26" i="2"/>
  <c r="F26" i="2"/>
  <c r="H25" i="2"/>
  <c r="G25" i="2"/>
  <c r="F25" i="2"/>
  <c r="G24" i="2"/>
  <c r="F24" i="2"/>
  <c r="F23" i="2"/>
  <c r="I41" i="2"/>
  <c r="H41" i="2"/>
  <c r="G41" i="2"/>
  <c r="F41" i="2"/>
  <c r="H40" i="2"/>
  <c r="G40" i="2"/>
  <c r="F40" i="2"/>
  <c r="G39" i="2"/>
  <c r="F39" i="2"/>
  <c r="F38" i="2"/>
  <c r="I36" i="2"/>
  <c r="H36" i="2"/>
  <c r="G36" i="2"/>
  <c r="F36" i="2"/>
  <c r="H35" i="2"/>
  <c r="G35" i="2"/>
  <c r="F35" i="2"/>
  <c r="G34" i="2"/>
  <c r="F34" i="2"/>
  <c r="F33" i="2"/>
  <c r="I51" i="2"/>
  <c r="H51" i="2"/>
  <c r="G51" i="2"/>
  <c r="F51" i="2"/>
  <c r="H50" i="2"/>
  <c r="G50" i="2"/>
  <c r="F50" i="2"/>
  <c r="G49" i="2"/>
  <c r="F49" i="2"/>
  <c r="F48" i="2"/>
  <c r="I46" i="2"/>
  <c r="H46" i="2"/>
  <c r="G46" i="2"/>
  <c r="F46" i="2"/>
  <c r="H45" i="2"/>
  <c r="G45" i="2"/>
  <c r="F45" i="2"/>
  <c r="G44" i="2"/>
  <c r="F44" i="2"/>
  <c r="F43" i="2"/>
  <c r="AC2" i="1"/>
  <c r="C214" i="2"/>
  <c r="C304" i="2"/>
  <c r="C305" i="2" s="1"/>
  <c r="C306" i="2" s="1"/>
  <c r="C307" i="2" s="1"/>
  <c r="C226" i="2"/>
  <c r="C274" i="2"/>
  <c r="C275" i="2" s="1"/>
  <c r="C276" i="2" s="1"/>
  <c r="C277" i="2" s="1"/>
  <c r="C278" i="2" s="1"/>
  <c r="C279" i="2" s="1"/>
  <c r="C284" i="2"/>
  <c r="C294" i="2" s="1"/>
  <c r="C314" i="2"/>
  <c r="C315" i="2" s="1"/>
  <c r="C316" i="2" s="1"/>
  <c r="C317" i="2" s="1"/>
  <c r="C318" i="2" s="1"/>
  <c r="C319" i="2" s="1"/>
  <c r="C320" i="2" s="1"/>
  <c r="C321" i="2" s="1"/>
  <c r="C322" i="2" s="1"/>
  <c r="C323" i="2"/>
  <c r="C333" i="2" s="1"/>
  <c r="W88" i="6" l="1"/>
  <c r="K17" i="6"/>
  <c r="AY58" i="6"/>
  <c r="AX104" i="6"/>
  <c r="AH70" i="6"/>
  <c r="Z112" i="6"/>
  <c r="H106" i="6"/>
  <c r="Y101" i="6"/>
  <c r="AI76" i="6"/>
  <c r="Y112" i="6"/>
  <c r="P101" i="6"/>
  <c r="N114" i="6"/>
  <c r="Q102" i="6"/>
  <c r="AO113" i="6"/>
  <c r="AK101" i="6"/>
  <c r="AI50" i="6"/>
  <c r="AI89" i="6"/>
  <c r="AY20" i="6"/>
  <c r="R17" i="6"/>
  <c r="AY18" i="6"/>
  <c r="AB17" i="6"/>
  <c r="AY65" i="6"/>
  <c r="F17" i="6"/>
  <c r="H17" i="6"/>
  <c r="AQ101" i="6"/>
  <c r="AU81" i="6"/>
  <c r="AI77" i="6"/>
  <c r="AL73" i="6"/>
  <c r="AS69" i="6"/>
  <c r="AD116" i="6"/>
  <c r="X114" i="6"/>
  <c r="R112" i="6"/>
  <c r="L110" i="6"/>
  <c r="F108" i="6"/>
  <c r="AC105" i="6"/>
  <c r="W103" i="6"/>
  <c r="Q101" i="6"/>
  <c r="I99" i="6"/>
  <c r="AN93" i="6"/>
  <c r="AL80" i="6"/>
  <c r="AS75" i="6"/>
  <c r="AL71" i="6"/>
  <c r="X117" i="6"/>
  <c r="AE114" i="6"/>
  <c r="Q112" i="6"/>
  <c r="X109" i="6"/>
  <c r="L105" i="6"/>
  <c r="U100" i="6"/>
  <c r="AX80" i="6"/>
  <c r="AQ69" i="6"/>
  <c r="S113" i="6"/>
  <c r="Y107" i="6"/>
  <c r="O101" i="6"/>
  <c r="S100" i="6"/>
  <c r="AH82" i="6"/>
  <c r="AU91" i="6"/>
  <c r="AJ101" i="6"/>
  <c r="AI114" i="6"/>
  <c r="AU86" i="6"/>
  <c r="AR104" i="6"/>
  <c r="AN103" i="6"/>
  <c r="AR93" i="6"/>
  <c r="AL74" i="6"/>
  <c r="AK102" i="6"/>
  <c r="AO92" i="6"/>
  <c r="AY97" i="6"/>
  <c r="AX65" i="6"/>
  <c r="AS116" i="6"/>
  <c r="AV59" i="6"/>
  <c r="AY19" i="6"/>
  <c r="AY57" i="6"/>
  <c r="AG83" i="6"/>
  <c r="AY80" i="6"/>
  <c r="AF99" i="6"/>
  <c r="K110" i="6"/>
  <c r="AQ81" i="6"/>
  <c r="D108" i="6"/>
  <c r="AS81" i="6"/>
  <c r="AX99" i="6"/>
  <c r="AG100" i="6"/>
  <c r="AW97" i="6"/>
  <c r="AR57" i="6"/>
  <c r="C215" i="2"/>
  <c r="C216" i="2" s="1"/>
  <c r="C217" i="2" s="1"/>
  <c r="C218" i="2" s="1"/>
  <c r="C219" i="2" s="1"/>
  <c r="C220" i="2" s="1"/>
  <c r="C221" i="2" s="1"/>
  <c r="C222" i="2" s="1"/>
  <c r="AY21" i="6"/>
  <c r="AY17" i="6"/>
  <c r="AY32" i="6"/>
  <c r="AJ17" i="6"/>
  <c r="M17" i="6"/>
  <c r="N17" i="6"/>
  <c r="P17" i="6"/>
  <c r="AJ97" i="6"/>
  <c r="AH81" i="6"/>
  <c r="AS76" i="6"/>
  <c r="AV72" i="6"/>
  <c r="AK69" i="6"/>
  <c r="V116" i="6"/>
  <c r="P114" i="6"/>
  <c r="J112" i="6"/>
  <c r="D110" i="6"/>
  <c r="AA107" i="6"/>
  <c r="U105" i="6"/>
  <c r="O103" i="6"/>
  <c r="I101" i="6"/>
  <c r="N54" i="6"/>
  <c r="AG90" i="6"/>
  <c r="AT79" i="6"/>
  <c r="AJ75" i="6"/>
  <c r="AW70" i="6"/>
  <c r="H117" i="6"/>
  <c r="W114" i="6"/>
  <c r="I112" i="6"/>
  <c r="P109" i="6"/>
  <c r="D105" i="6"/>
  <c r="P99" i="6"/>
  <c r="AH79" i="6"/>
  <c r="AI69" i="6"/>
  <c r="P112" i="6"/>
  <c r="AD106" i="6"/>
  <c r="G101" i="6"/>
  <c r="C90" i="6"/>
  <c r="AM83" i="6"/>
  <c r="AJ92" i="6"/>
  <c r="AW102" i="6"/>
  <c r="AO64" i="6"/>
  <c r="AT89" i="6"/>
  <c r="AY107" i="6"/>
  <c r="AU106" i="6"/>
  <c r="AY96" i="6"/>
  <c r="AS77" i="6"/>
  <c r="AR105" i="6"/>
  <c r="AV95" i="6"/>
  <c r="AN107" i="6"/>
  <c r="L62" i="6"/>
  <c r="T59" i="6"/>
  <c r="T32" i="6"/>
  <c r="C73" i="2"/>
  <c r="D46" i="1"/>
  <c r="J17" i="6"/>
  <c r="T17" i="6"/>
  <c r="AY60" i="6"/>
  <c r="AR77" i="6"/>
  <c r="I117" i="6"/>
  <c r="T110" i="6"/>
  <c r="AE103" i="6"/>
  <c r="AU96" i="6"/>
  <c r="AV71" i="6"/>
  <c r="R115" i="6"/>
  <c r="AB105" i="6"/>
  <c r="AK71" i="6"/>
  <c r="AK90" i="6"/>
  <c r="AH89" i="6"/>
  <c r="D18" i="6"/>
  <c r="AY22" i="6"/>
  <c r="AY31" i="6"/>
  <c r="AY40" i="6"/>
  <c r="AY23" i="6"/>
  <c r="U17" i="6"/>
  <c r="V17" i="6"/>
  <c r="X17" i="6"/>
  <c r="AV93" i="6"/>
  <c r="AM80" i="6"/>
  <c r="AJ76" i="6"/>
  <c r="AM72" i="6"/>
  <c r="AF103" i="6"/>
  <c r="N116" i="6"/>
  <c r="H114" i="6"/>
  <c r="AE111" i="6"/>
  <c r="Y109" i="6"/>
  <c r="S107" i="6"/>
  <c r="M105" i="6"/>
  <c r="G103" i="6"/>
  <c r="AD100" i="6"/>
  <c r="N82" i="6"/>
  <c r="AX87" i="6"/>
  <c r="AI79" i="6"/>
  <c r="AS74" i="6"/>
  <c r="AG70" i="6"/>
  <c r="AC116" i="6"/>
  <c r="O114" i="6"/>
  <c r="AD111" i="6"/>
  <c r="M108" i="6"/>
  <c r="AD103" i="6"/>
  <c r="H99" i="6"/>
  <c r="AG77" i="6"/>
  <c r="AE117" i="6"/>
  <c r="H112" i="6"/>
  <c r="AA105" i="6"/>
  <c r="L100" i="6"/>
  <c r="AC101" i="6"/>
  <c r="AG85" i="6"/>
  <c r="AO93" i="6"/>
  <c r="AL103" i="6"/>
  <c r="V63" i="6"/>
  <c r="AI90" i="6"/>
  <c r="AM111" i="6"/>
  <c r="AI110" i="6"/>
  <c r="AM101" i="6"/>
  <c r="AG81" i="6"/>
  <c r="AY108" i="6"/>
  <c r="AJ100" i="6"/>
  <c r="N62" i="6"/>
  <c r="AQ51" i="6"/>
  <c r="C227" i="2"/>
  <c r="C228" i="2" s="1"/>
  <c r="C229" i="2" s="1"/>
  <c r="C230" i="2" s="1"/>
  <c r="AU73" i="6"/>
  <c r="C115" i="6"/>
  <c r="N108" i="6"/>
  <c r="Q99" i="6"/>
  <c r="R102" i="6"/>
  <c r="AH90" i="6"/>
  <c r="AM86" i="6"/>
  <c r="C308" i="2"/>
  <c r="C309" i="2" s="1"/>
  <c r="C310" i="2" s="1"/>
  <c r="C311" i="2" s="1"/>
  <c r="D23" i="1"/>
  <c r="C112" i="6"/>
  <c r="AT69" i="6"/>
  <c r="G108" i="6"/>
  <c r="X103" i="6"/>
  <c r="AE116" i="6"/>
  <c r="P103" i="6"/>
  <c r="AW72" i="6"/>
  <c r="AA112" i="6"/>
  <c r="AJ77" i="6"/>
  <c r="K104" i="6"/>
  <c r="AM74" i="6"/>
  <c r="H111" i="6"/>
  <c r="AJ112" i="6"/>
  <c r="C94" i="6"/>
  <c r="AD113" i="6"/>
  <c r="AD102" i="6"/>
  <c r="O105" i="6"/>
  <c r="U107" i="6"/>
  <c r="AA109" i="6"/>
  <c r="D112" i="6"/>
  <c r="J114" i="6"/>
  <c r="P116" i="6"/>
  <c r="AF101" i="6"/>
  <c r="AO72" i="6"/>
  <c r="AL76" i="6"/>
  <c r="AQ80" i="6"/>
  <c r="AS94" i="6"/>
  <c r="L99" i="6"/>
  <c r="T101" i="6"/>
  <c r="Z103" i="6"/>
  <c r="C106" i="6"/>
  <c r="I108" i="6"/>
  <c r="O110" i="6"/>
  <c r="U112" i="6"/>
  <c r="AA114" i="6"/>
  <c r="D117" i="6"/>
  <c r="AV69" i="6"/>
  <c r="AP73" i="6"/>
  <c r="AM77" i="6"/>
  <c r="AJ82" i="6"/>
  <c r="AV102" i="6"/>
  <c r="AA101" i="6"/>
  <c r="P102" i="6"/>
  <c r="V104" i="6"/>
  <c r="AB106" i="6"/>
  <c r="E109" i="6"/>
  <c r="K111" i="6"/>
  <c r="Q113" i="6"/>
  <c r="W115" i="6"/>
  <c r="AC117" i="6"/>
  <c r="AI71" i="6"/>
  <c r="AY74" i="6"/>
  <c r="AY78" i="6"/>
  <c r="AK87" i="6"/>
  <c r="AY113" i="6"/>
  <c r="C83" i="6"/>
  <c r="K100" i="6"/>
  <c r="W104" i="6"/>
  <c r="AC106" i="6"/>
  <c r="F109" i="6"/>
  <c r="L111" i="6"/>
  <c r="R113" i="6"/>
  <c r="X115" i="6"/>
  <c r="AD117" i="6"/>
  <c r="AJ71" i="6"/>
  <c r="AG75" i="6"/>
  <c r="AG79" i="6"/>
  <c r="AP87" i="6"/>
  <c r="AG115" i="6"/>
  <c r="V18" i="6"/>
  <c r="AO19" i="6"/>
  <c r="O21" i="6"/>
  <c r="AH22" i="6"/>
  <c r="H24" i="6"/>
  <c r="AA25" i="6"/>
  <c r="C87" i="6"/>
  <c r="AM73" i="6"/>
  <c r="I114" i="6"/>
  <c r="Z109" i="6"/>
  <c r="AY101" i="6"/>
  <c r="V105" i="6"/>
  <c r="AT76" i="6"/>
  <c r="D115" i="6"/>
  <c r="AY81" i="6"/>
  <c r="Q106" i="6"/>
  <c r="AJ78" i="6"/>
  <c r="N113" i="6"/>
  <c r="AB115" i="6"/>
  <c r="C71" i="6"/>
  <c r="G116" i="6"/>
  <c r="Q103" i="6"/>
  <c r="W105" i="6"/>
  <c r="AC107" i="6"/>
  <c r="F110" i="6"/>
  <c r="L112" i="6"/>
  <c r="R114" i="6"/>
  <c r="X116" i="6"/>
  <c r="AM69" i="6"/>
  <c r="AX72" i="6"/>
  <c r="AU76" i="6"/>
  <c r="AJ81" i="6"/>
  <c r="AG99" i="6"/>
  <c r="T99" i="6"/>
  <c r="AB101" i="6"/>
  <c r="E104" i="6"/>
  <c r="K106" i="6"/>
  <c r="Q108" i="6"/>
  <c r="W110" i="6"/>
  <c r="AC112" i="6"/>
  <c r="F115" i="6"/>
  <c r="L117" i="6"/>
  <c r="AK70" i="6"/>
  <c r="AY73" i="6"/>
  <c r="AV77" i="6"/>
  <c r="AT83" i="6"/>
  <c r="AJ106" i="6"/>
  <c r="I103" i="6"/>
  <c r="X102" i="6"/>
  <c r="AD104" i="6"/>
  <c r="G107" i="6"/>
  <c r="M109" i="6"/>
  <c r="S111" i="6"/>
  <c r="Y113" i="6"/>
  <c r="AE115" i="6"/>
  <c r="AF115" i="6"/>
  <c r="AR71" i="6"/>
  <c r="AO75" i="6"/>
  <c r="AP79" i="6"/>
  <c r="AX88" i="6"/>
  <c r="AD63" i="6"/>
  <c r="M99" i="6"/>
  <c r="AA100" i="6"/>
  <c r="AE104" i="6"/>
  <c r="H107" i="6"/>
  <c r="N109" i="6"/>
  <c r="T111" i="6"/>
  <c r="Z113" i="6"/>
  <c r="C116" i="6"/>
  <c r="AF114" i="6"/>
  <c r="AS71" i="6"/>
  <c r="AP75" i="6"/>
  <c r="AQ79" i="6"/>
  <c r="AJ89" i="6"/>
  <c r="AY30" i="6"/>
  <c r="AD18" i="6"/>
  <c r="AW19" i="6"/>
  <c r="W21" i="6"/>
  <c r="AP22" i="6"/>
  <c r="P24" i="6"/>
  <c r="AI25" i="6"/>
  <c r="I27" i="6"/>
  <c r="AB28" i="6"/>
  <c r="AU29" i="6"/>
  <c r="G18" i="6"/>
  <c r="Z19" i="6"/>
  <c r="AS20" i="6"/>
  <c r="S22" i="6"/>
  <c r="C79" i="6"/>
  <c r="C93" i="6"/>
  <c r="AK76" i="6"/>
  <c r="O116" i="6"/>
  <c r="N105" i="6"/>
  <c r="AB107" i="6"/>
  <c r="AI81" i="6"/>
  <c r="J117" i="6"/>
  <c r="C86" i="6"/>
  <c r="W108" i="6"/>
  <c r="AY84" i="6"/>
  <c r="T115" i="6"/>
  <c r="AD99" i="6"/>
  <c r="AE100" i="6"/>
  <c r="AF110" i="6"/>
  <c r="Y103" i="6"/>
  <c r="AE105" i="6"/>
  <c r="H108" i="6"/>
  <c r="N110" i="6"/>
  <c r="T112" i="6"/>
  <c r="Z114" i="6"/>
  <c r="C117" i="6"/>
  <c r="AU69" i="6"/>
  <c r="AN73" i="6"/>
  <c r="AL77" i="6"/>
  <c r="AG82" i="6"/>
  <c r="AN102" i="6"/>
  <c r="AB99" i="6"/>
  <c r="G102" i="6"/>
  <c r="M104" i="6"/>
  <c r="S106" i="6"/>
  <c r="Y108" i="6"/>
  <c r="AE110" i="6"/>
  <c r="H113" i="6"/>
  <c r="N115" i="6"/>
  <c r="T117" i="6"/>
  <c r="AS70" i="6"/>
  <c r="AO74" i="6"/>
  <c r="AL78" i="6"/>
  <c r="AN85" i="6"/>
  <c r="AQ109" i="6"/>
  <c r="D23" i="6"/>
  <c r="C103" i="6"/>
  <c r="I105" i="6"/>
  <c r="O107" i="6"/>
  <c r="U109" i="6"/>
  <c r="AA111" i="6"/>
  <c r="D114" i="6"/>
  <c r="J116" i="6"/>
  <c r="AF107" i="6"/>
  <c r="AH72" i="6"/>
  <c r="AX75" i="6"/>
  <c r="AH80" i="6"/>
  <c r="AI92" i="6"/>
  <c r="C99" i="6"/>
  <c r="R100" i="6"/>
  <c r="N101" i="6"/>
  <c r="J105" i="6"/>
  <c r="P107" i="6"/>
  <c r="V109" i="6"/>
  <c r="AB111" i="6"/>
  <c r="E114" i="6"/>
  <c r="K116" i="6"/>
  <c r="AF106" i="6"/>
  <c r="AI72" i="6"/>
  <c r="AG76" i="6"/>
  <c r="AI80" i="6"/>
  <c r="AQ92" i="6"/>
  <c r="AY53" i="6"/>
  <c r="AL18" i="6"/>
  <c r="L20" i="6"/>
  <c r="AE21" i="6"/>
  <c r="AX22" i="6"/>
  <c r="X24" i="6"/>
  <c r="AQ25" i="6"/>
  <c r="Q27" i="6"/>
  <c r="AJ28" i="6"/>
  <c r="J30" i="6"/>
  <c r="O18" i="6"/>
  <c r="AW90" i="6"/>
  <c r="O100" i="6"/>
  <c r="J101" i="6"/>
  <c r="H103" i="6"/>
  <c r="AK94" i="6"/>
  <c r="P111" i="6"/>
  <c r="E110" i="6"/>
  <c r="AR97" i="6"/>
  <c r="AI70" i="6"/>
  <c r="E102" i="6"/>
  <c r="AC110" i="6"/>
  <c r="AT108" i="6"/>
  <c r="Z117" i="6"/>
  <c r="AO71" i="6"/>
  <c r="AC102" i="6"/>
  <c r="AX71" i="6"/>
  <c r="D104" i="6"/>
  <c r="J106" i="6"/>
  <c r="P108" i="6"/>
  <c r="V110" i="6"/>
  <c r="AB112" i="6"/>
  <c r="E115" i="6"/>
  <c r="K117" i="6"/>
  <c r="AJ70" i="6"/>
  <c r="AX73" i="6"/>
  <c r="AU77" i="6"/>
  <c r="AO83" i="6"/>
  <c r="AU105" i="6"/>
  <c r="I100" i="6"/>
  <c r="O102" i="6"/>
  <c r="U104" i="6"/>
  <c r="AA106" i="6"/>
  <c r="D109" i="6"/>
  <c r="J111" i="6"/>
  <c r="P113" i="6"/>
  <c r="V115" i="6"/>
  <c r="AB117" i="6"/>
  <c r="AH71" i="6"/>
  <c r="AX74" i="6"/>
  <c r="AW78" i="6"/>
  <c r="AH87" i="6"/>
  <c r="AM113" i="6"/>
  <c r="C75" i="6"/>
  <c r="K103" i="6"/>
  <c r="Q105" i="6"/>
  <c r="W107" i="6"/>
  <c r="AC109" i="6"/>
  <c r="F112" i="6"/>
  <c r="L114" i="6"/>
  <c r="R116" i="6"/>
  <c r="AG69" i="6"/>
  <c r="AQ72" i="6"/>
  <c r="AW61" i="6"/>
  <c r="Z101" i="6"/>
  <c r="D107" i="6"/>
  <c r="J109" i="6"/>
  <c r="C78" i="6"/>
  <c r="AF102" i="6"/>
  <c r="K112" i="6"/>
  <c r="Z99" i="6"/>
  <c r="AV73" i="6"/>
  <c r="U110" i="6"/>
  <c r="F113" i="6"/>
  <c r="N102" i="6"/>
  <c r="AY70" i="6"/>
  <c r="AL75" i="6"/>
  <c r="F105" i="6"/>
  <c r="AU75" i="6"/>
  <c r="L104" i="6"/>
  <c r="R106" i="6"/>
  <c r="X108" i="6"/>
  <c r="AD110" i="6"/>
  <c r="G113" i="6"/>
  <c r="M115" i="6"/>
  <c r="S117" i="6"/>
  <c r="AR70" i="6"/>
  <c r="AN74" i="6"/>
  <c r="AK78" i="6"/>
  <c r="AI85" i="6"/>
  <c r="AI109" i="6"/>
  <c r="Q100" i="6"/>
  <c r="W102" i="6"/>
  <c r="AC104" i="6"/>
  <c r="F107" i="6"/>
  <c r="L109" i="6"/>
  <c r="R111" i="6"/>
  <c r="X113" i="6"/>
  <c r="AD115" i="6"/>
  <c r="AF116" i="6"/>
  <c r="AQ71" i="6"/>
  <c r="AN75" i="6"/>
  <c r="AO79" i="6"/>
  <c r="AU88" i="6"/>
  <c r="AW64" i="6"/>
  <c r="U99" i="6"/>
  <c r="S103" i="6"/>
  <c r="Y105" i="6"/>
  <c r="AE107" i="6"/>
  <c r="H110" i="6"/>
  <c r="N112" i="6"/>
  <c r="T114" i="6"/>
  <c r="Z116" i="6"/>
  <c r="AO69" i="6"/>
  <c r="AH73" i="6"/>
  <c r="AX76" i="6"/>
  <c r="AN81" i="6"/>
  <c r="AW99" i="6"/>
  <c r="C101" i="6"/>
  <c r="C98" i="6"/>
  <c r="AD101" i="6"/>
  <c r="Z105" i="6"/>
  <c r="C108" i="6"/>
  <c r="I110" i="6"/>
  <c r="O112" i="6"/>
  <c r="U114" i="6"/>
  <c r="AA116" i="6"/>
  <c r="AP69" i="6"/>
  <c r="AI73" i="6"/>
  <c r="AY76" i="6"/>
  <c r="AP81" i="6"/>
  <c r="AL100" i="6"/>
  <c r="AH17" i="6"/>
  <c r="I19" i="6"/>
  <c r="AB20" i="6"/>
  <c r="AU21" i="6"/>
  <c r="U23" i="6"/>
  <c r="AN24" i="6"/>
  <c r="N26" i="6"/>
  <c r="AG27" i="6"/>
  <c r="G29" i="6"/>
  <c r="AY27" i="6"/>
  <c r="AE18" i="6"/>
  <c r="AX19" i="6"/>
  <c r="C96" i="6"/>
  <c r="AD105" i="6"/>
  <c r="S112" i="6"/>
  <c r="Y114" i="6"/>
  <c r="R99" i="6"/>
  <c r="C88" i="6"/>
  <c r="Q114" i="6"/>
  <c r="C104" i="6"/>
  <c r="AT77" i="6"/>
  <c r="C80" i="6"/>
  <c r="L115" i="6"/>
  <c r="S104" i="6"/>
  <c r="AV74" i="6"/>
  <c r="AL79" i="6"/>
  <c r="L107" i="6"/>
  <c r="AW79" i="6"/>
  <c r="T104" i="6"/>
  <c r="Z106" i="6"/>
  <c r="C109" i="6"/>
  <c r="I111" i="6"/>
  <c r="O113" i="6"/>
  <c r="U115" i="6"/>
  <c r="AA117" i="6"/>
  <c r="AG71" i="6"/>
  <c r="AW74" i="6"/>
  <c r="AV78" i="6"/>
  <c r="AV86" i="6"/>
  <c r="AS112" i="6"/>
  <c r="Y100" i="6"/>
  <c r="AE102" i="6"/>
  <c r="H105" i="6"/>
  <c r="N107" i="6"/>
  <c r="T109" i="6"/>
  <c r="Z111" i="6"/>
  <c r="C114" i="6"/>
  <c r="I116" i="6"/>
  <c r="AF108" i="6"/>
  <c r="AG72" i="6"/>
  <c r="AW75" i="6"/>
  <c r="AY79" i="6"/>
  <c r="AT91" i="6"/>
  <c r="C77" i="6"/>
  <c r="Z100" i="6"/>
  <c r="AA103" i="6"/>
  <c r="D106" i="6"/>
  <c r="J108" i="6"/>
  <c r="P110" i="6"/>
  <c r="V112" i="6"/>
  <c r="AB114" i="6"/>
  <c r="E117" i="6"/>
  <c r="AW69" i="6"/>
  <c r="AQ73" i="6"/>
  <c r="AN77" i="6"/>
  <c r="AN82" i="6"/>
  <c r="AK103" i="6"/>
  <c r="S101" i="6"/>
  <c r="C74" i="6"/>
  <c r="Y102" i="6"/>
  <c r="E106" i="6"/>
  <c r="K108" i="6"/>
  <c r="Q110" i="6"/>
  <c r="W112" i="6"/>
  <c r="AC114" i="6"/>
  <c r="F117" i="6"/>
  <c r="AX69" i="6"/>
  <c r="AR73" i="6"/>
  <c r="AO77" i="6"/>
  <c r="AO82" i="6"/>
  <c r="AS103" i="6"/>
  <c r="AQ17" i="6"/>
  <c r="Q19" i="6"/>
  <c r="AJ20" i="6"/>
  <c r="J22" i="6"/>
  <c r="AC23" i="6"/>
  <c r="AV24" i="6"/>
  <c r="V26" i="6"/>
  <c r="AO27" i="6"/>
  <c r="O29" i="6"/>
  <c r="AY59" i="6"/>
  <c r="AM18" i="6"/>
  <c r="M20" i="6"/>
  <c r="AF21" i="6"/>
  <c r="C95" i="6"/>
  <c r="V113" i="6"/>
  <c r="U102" i="6"/>
  <c r="C70" i="6"/>
  <c r="M110" i="6"/>
  <c r="R101" i="6"/>
  <c r="AL69" i="6"/>
  <c r="O108" i="6"/>
  <c r="AM105" i="6"/>
  <c r="M102" i="6"/>
  <c r="AQ70" i="6"/>
  <c r="AE108" i="6"/>
  <c r="AS86" i="6"/>
  <c r="D56" i="6"/>
  <c r="X111" i="6"/>
  <c r="F102" i="6"/>
  <c r="G105" i="6"/>
  <c r="M107" i="6"/>
  <c r="S109" i="6"/>
  <c r="Y111" i="6"/>
  <c r="AE113" i="6"/>
  <c r="H116" i="6"/>
  <c r="AF109" i="6"/>
  <c r="AY71" i="6"/>
  <c r="AV75" i="6"/>
  <c r="AX79" i="6"/>
  <c r="AL91" i="6"/>
  <c r="C92" i="6"/>
  <c r="L101" i="6"/>
  <c r="R103" i="6"/>
  <c r="X105" i="6"/>
  <c r="AD107" i="6"/>
  <c r="G110" i="6"/>
  <c r="M112" i="6"/>
  <c r="S114" i="6"/>
  <c r="Y116" i="6"/>
  <c r="AN69" i="6"/>
  <c r="AY72" i="6"/>
  <c r="AW76" i="6"/>
  <c r="AM81" i="6"/>
  <c r="AO99" i="6"/>
  <c r="X100" i="6"/>
  <c r="H102" i="6"/>
  <c r="N104" i="6"/>
  <c r="T106" i="6"/>
  <c r="Z108" i="6"/>
  <c r="C111" i="6"/>
  <c r="I113" i="6"/>
  <c r="O115" i="6"/>
  <c r="U117" i="6"/>
  <c r="AT70" i="6"/>
  <c r="AP74" i="6"/>
  <c r="AN78" i="6"/>
  <c r="W100" i="6"/>
  <c r="AL83" i="6"/>
  <c r="AB104" i="6"/>
  <c r="AM75" i="6"/>
  <c r="AB109" i="6"/>
  <c r="AH95" i="6"/>
  <c r="G115" i="6"/>
  <c r="AQ85" i="6"/>
  <c r="F99" i="6"/>
  <c r="X107" i="6"/>
  <c r="J113" i="6"/>
  <c r="AM70" i="6"/>
  <c r="AU80" i="6"/>
  <c r="N18" i="6"/>
  <c r="R22" i="6"/>
  <c r="F26" i="6"/>
  <c r="AR28" i="6"/>
  <c r="W18" i="6"/>
  <c r="AK20" i="6"/>
  <c r="AI22" i="6"/>
  <c r="I24" i="6"/>
  <c r="AB25" i="6"/>
  <c r="AU26" i="6"/>
  <c r="Z17" i="6"/>
  <c r="AV18" i="6"/>
  <c r="V20" i="6"/>
  <c r="AO21" i="6"/>
  <c r="O23" i="6"/>
  <c r="AH24" i="6"/>
  <c r="H26" i="6"/>
  <c r="AA27" i="6"/>
  <c r="AT28" i="6"/>
  <c r="T30" i="6"/>
  <c r="AM31" i="6"/>
  <c r="I18" i="6"/>
  <c r="AB19" i="6"/>
  <c r="AU20" i="6"/>
  <c r="U22" i="6"/>
  <c r="AN23" i="6"/>
  <c r="N25" i="6"/>
  <c r="AG26" i="6"/>
  <c r="G28" i="6"/>
  <c r="Z29" i="6"/>
  <c r="AC17" i="6"/>
  <c r="AX18" i="6"/>
  <c r="X20" i="6"/>
  <c r="AQ21" i="6"/>
  <c r="Q23" i="6"/>
  <c r="AJ24" i="6"/>
  <c r="AV17" i="6"/>
  <c r="V19" i="6"/>
  <c r="AO20" i="6"/>
  <c r="O22" i="6"/>
  <c r="AH23" i="6"/>
  <c r="H25" i="6"/>
  <c r="AA26" i="6"/>
  <c r="AT27" i="6"/>
  <c r="AE17" i="6"/>
  <c r="G19" i="6"/>
  <c r="U21" i="6"/>
  <c r="Z26" i="6"/>
  <c r="AB29" i="6"/>
  <c r="V31" i="6"/>
  <c r="AT32" i="6"/>
  <c r="T34" i="6"/>
  <c r="AM35" i="6"/>
  <c r="M37" i="6"/>
  <c r="AF38" i="6"/>
  <c r="T107" i="6"/>
  <c r="G100" i="6"/>
  <c r="E107" i="6"/>
  <c r="AN79" i="6"/>
  <c r="E112" i="6"/>
  <c r="AA99" i="6"/>
  <c r="M117" i="6"/>
  <c r="AP95" i="6"/>
  <c r="N99" i="6"/>
  <c r="S108" i="6"/>
  <c r="M114" i="6"/>
  <c r="AU70" i="6"/>
  <c r="AI84" i="6"/>
  <c r="AT18" i="6"/>
  <c r="Z22" i="6"/>
  <c r="AD26" i="6"/>
  <c r="W29" i="6"/>
  <c r="AU18" i="6"/>
  <c r="H21" i="6"/>
  <c r="AQ22" i="6"/>
  <c r="Q24" i="6"/>
  <c r="AJ25" i="6"/>
  <c r="J27" i="6"/>
  <c r="AK17" i="6"/>
  <c r="K19" i="6"/>
  <c r="AD20" i="6"/>
  <c r="AW21" i="6"/>
  <c r="W23" i="6"/>
  <c r="AP24" i="6"/>
  <c r="P26" i="6"/>
  <c r="AI27" i="6"/>
  <c r="I29" i="6"/>
  <c r="AB30" i="6"/>
  <c r="AU31" i="6"/>
  <c r="Q18" i="6"/>
  <c r="AJ19" i="6"/>
  <c r="J21" i="6"/>
  <c r="AC22" i="6"/>
  <c r="AV23" i="6"/>
  <c r="V25" i="6"/>
  <c r="AO26" i="6"/>
  <c r="O28" i="6"/>
  <c r="AH29" i="6"/>
  <c r="AM17" i="6"/>
  <c r="M19" i="6"/>
  <c r="AF20" i="6"/>
  <c r="F22" i="6"/>
  <c r="Y23" i="6"/>
  <c r="AR24" i="6"/>
  <c r="K18" i="6"/>
  <c r="AD19" i="6"/>
  <c r="AW20" i="6"/>
  <c r="W22" i="6"/>
  <c r="AP23" i="6"/>
  <c r="P25" i="6"/>
  <c r="AI26" i="6"/>
  <c r="I28" i="6"/>
  <c r="AO17" i="6"/>
  <c r="O19" i="6"/>
  <c r="H22" i="6"/>
  <c r="AS26" i="6"/>
  <c r="AN29" i="6"/>
  <c r="AF31" i="6"/>
  <c r="I33" i="6"/>
  <c r="AB34" i="6"/>
  <c r="AU35" i="6"/>
  <c r="U37" i="6"/>
  <c r="AN38" i="6"/>
  <c r="N40" i="6"/>
  <c r="AG41" i="6"/>
  <c r="AB23" i="6"/>
  <c r="AU27" i="6"/>
  <c r="W30" i="6"/>
  <c r="F32" i="6"/>
  <c r="Z33" i="6"/>
  <c r="AS34" i="6"/>
  <c r="S36" i="6"/>
  <c r="AL37" i="6"/>
  <c r="L39" i="6"/>
  <c r="S17" i="6"/>
  <c r="V24" i="6"/>
  <c r="S28" i="6"/>
  <c r="AG30" i="6"/>
  <c r="P32" i="6"/>
  <c r="AI33" i="6"/>
  <c r="AN72" i="6"/>
  <c r="R117" i="6"/>
  <c r="K109" i="6"/>
  <c r="AP88" i="6"/>
  <c r="K114" i="6"/>
  <c r="M101" i="6"/>
  <c r="AL70" i="6"/>
  <c r="AR106" i="6"/>
  <c r="V101" i="6"/>
  <c r="AA108" i="6"/>
  <c r="H115" i="6"/>
  <c r="AS72" i="6"/>
  <c r="AV85" i="6"/>
  <c r="Y19" i="6"/>
  <c r="M23" i="6"/>
  <c r="AL26" i="6"/>
  <c r="AE29" i="6"/>
  <c r="J19" i="6"/>
  <c r="P21" i="6"/>
  <c r="F23" i="6"/>
  <c r="Y24" i="6"/>
  <c r="AR25" i="6"/>
  <c r="R27" i="6"/>
  <c r="AS17" i="6"/>
  <c r="S19" i="6"/>
  <c r="AL20" i="6"/>
  <c r="L22" i="6"/>
  <c r="AE23" i="6"/>
  <c r="AX24" i="6"/>
  <c r="X26" i="6"/>
  <c r="AQ27" i="6"/>
  <c r="Q29" i="6"/>
  <c r="AJ30" i="6"/>
  <c r="J32" i="6"/>
  <c r="Y18" i="6"/>
  <c r="AR19" i="6"/>
  <c r="R21" i="6"/>
  <c r="AK22" i="6"/>
  <c r="K24" i="6"/>
  <c r="AD25" i="6"/>
  <c r="AW26" i="6"/>
  <c r="W28" i="6"/>
  <c r="AP29" i="6"/>
  <c r="AU17" i="6"/>
  <c r="U19" i="6"/>
  <c r="AN20" i="6"/>
  <c r="N22" i="6"/>
  <c r="AG23" i="6"/>
  <c r="G25" i="6"/>
  <c r="S18" i="6"/>
  <c r="AL19" i="6"/>
  <c r="L21" i="6"/>
  <c r="AE22" i="6"/>
  <c r="AX23" i="6"/>
  <c r="X25" i="6"/>
  <c r="AQ26" i="6"/>
  <c r="Q28" i="6"/>
  <c r="AW17" i="6"/>
  <c r="W19" i="6"/>
  <c r="AN22" i="6"/>
  <c r="W27" i="6"/>
  <c r="H30" i="6"/>
  <c r="AO31" i="6"/>
  <c r="Q33" i="6"/>
  <c r="AJ34" i="6"/>
  <c r="J36" i="6"/>
  <c r="AC37" i="6"/>
  <c r="AV38" i="6"/>
  <c r="V40" i="6"/>
  <c r="AY51" i="6"/>
  <c r="O24" i="6"/>
  <c r="R28" i="6"/>
  <c r="AF30" i="6"/>
  <c r="O32" i="6"/>
  <c r="AH33" i="6"/>
  <c r="H35" i="6"/>
  <c r="AA36" i="6"/>
  <c r="AT37" i="6"/>
  <c r="T39" i="6"/>
  <c r="AS18" i="6"/>
  <c r="I25" i="6"/>
  <c r="AI28" i="6"/>
  <c r="AP30" i="6"/>
  <c r="X32" i="6"/>
  <c r="AQ33" i="6"/>
  <c r="AP80" i="6"/>
  <c r="Y106" i="6"/>
  <c r="Q111" i="6"/>
  <c r="E35" i="6"/>
  <c r="Q116" i="6"/>
  <c r="F104" i="6"/>
  <c r="AG74" i="6"/>
  <c r="AY109" i="6"/>
  <c r="L103" i="6"/>
  <c r="AD109" i="6"/>
  <c r="P115" i="6"/>
  <c r="AH74" i="6"/>
  <c r="AX95" i="6"/>
  <c r="AG19" i="6"/>
  <c r="AK23" i="6"/>
  <c r="AT26" i="6"/>
  <c r="AM29" i="6"/>
  <c r="R19" i="6"/>
  <c r="X21" i="6"/>
  <c r="N23" i="6"/>
  <c r="AG24" i="6"/>
  <c r="G26" i="6"/>
  <c r="Z27" i="6"/>
  <c r="H18" i="6"/>
  <c r="AA19" i="6"/>
  <c r="AT20" i="6"/>
  <c r="T22" i="6"/>
  <c r="AM23" i="6"/>
  <c r="M25" i="6"/>
  <c r="AF26" i="6"/>
  <c r="F28" i="6"/>
  <c r="Y29" i="6"/>
  <c r="AR30" i="6"/>
  <c r="AY35" i="6"/>
  <c r="AG18" i="6"/>
  <c r="G20" i="6"/>
  <c r="Z21" i="6"/>
  <c r="AS22" i="6"/>
  <c r="S24" i="6"/>
  <c r="AL25" i="6"/>
  <c r="L27" i="6"/>
  <c r="AE28" i="6"/>
  <c r="AX29" i="6"/>
  <c r="J18" i="6"/>
  <c r="AC19" i="6"/>
  <c r="AV20" i="6"/>
  <c r="V22" i="6"/>
  <c r="AO23" i="6"/>
  <c r="O25" i="6"/>
  <c r="AA18" i="6"/>
  <c r="AT19" i="6"/>
  <c r="T21" i="6"/>
  <c r="AM22" i="6"/>
  <c r="AA104" i="6"/>
  <c r="AT78" i="6"/>
  <c r="W113" i="6"/>
  <c r="D101" i="6"/>
  <c r="AF100" i="6"/>
  <c r="L106" i="6"/>
  <c r="AO76" i="6"/>
  <c r="H100" i="6"/>
  <c r="AB103" i="6"/>
  <c r="Y110" i="6"/>
  <c r="S116" i="6"/>
  <c r="AQ74" i="6"/>
  <c r="AG107" i="6"/>
  <c r="T20" i="6"/>
  <c r="AS23" i="6"/>
  <c r="Y27" i="6"/>
  <c r="R30" i="6"/>
  <c r="AH19" i="6"/>
  <c r="AN21" i="6"/>
  <c r="V23" i="6"/>
  <c r="AO24" i="6"/>
  <c r="O26" i="6"/>
  <c r="AH27" i="6"/>
  <c r="P18" i="6"/>
  <c r="AI19" i="6"/>
  <c r="I21" i="6"/>
  <c r="AB22" i="6"/>
  <c r="AU23" i="6"/>
  <c r="U25" i="6"/>
  <c r="AN26" i="6"/>
  <c r="N28" i="6"/>
  <c r="AG29" i="6"/>
  <c r="G31" i="6"/>
  <c r="G17" i="6"/>
  <c r="AO18" i="6"/>
  <c r="O20" i="6"/>
  <c r="AH21" i="6"/>
  <c r="H23" i="6"/>
  <c r="AA24" i="6"/>
  <c r="AT25" i="6"/>
  <c r="T27" i="6"/>
  <c r="AM28" i="6"/>
  <c r="M30" i="6"/>
  <c r="R18" i="6"/>
  <c r="AK19" i="6"/>
  <c r="K21" i="6"/>
  <c r="AD22" i="6"/>
  <c r="AW23" i="6"/>
  <c r="AY43" i="6"/>
  <c r="AI18" i="6"/>
  <c r="I20" i="6"/>
  <c r="AB21" i="6"/>
  <c r="AU22" i="6"/>
  <c r="U24" i="6"/>
  <c r="AN25" i="6"/>
  <c r="N27" i="6"/>
  <c r="AG28" i="6"/>
  <c r="T18" i="6"/>
  <c r="AM19" i="6"/>
  <c r="N24" i="6"/>
  <c r="P28" i="6"/>
  <c r="AE30" i="6"/>
  <c r="N32" i="6"/>
  <c r="AG33" i="6"/>
  <c r="G35" i="6"/>
  <c r="Z36" i="6"/>
  <c r="AS37" i="6"/>
  <c r="S39" i="6"/>
  <c r="AL40" i="6"/>
  <c r="AV19" i="6"/>
  <c r="AE25" i="6"/>
  <c r="AW28" i="6"/>
  <c r="AX30" i="6"/>
  <c r="AE32" i="6"/>
  <c r="AX33" i="6"/>
  <c r="J99" i="6"/>
  <c r="AM88" i="6"/>
  <c r="AC115" i="6"/>
  <c r="J103" i="6"/>
  <c r="AP72" i="6"/>
  <c r="R108" i="6"/>
  <c r="AW77" i="6"/>
  <c r="V102" i="6"/>
  <c r="R105" i="6"/>
  <c r="D111" i="6"/>
  <c r="N117" i="6"/>
  <c r="AP76" i="6"/>
  <c r="AN110" i="6"/>
  <c r="AR20" i="6"/>
  <c r="AF24" i="6"/>
  <c r="AW27" i="6"/>
  <c r="Y17" i="6"/>
  <c r="AP19" i="6"/>
  <c r="AV21" i="6"/>
  <c r="AD23" i="6"/>
  <c r="AW24" i="6"/>
  <c r="W26" i="6"/>
  <c r="AP27" i="6"/>
  <c r="X18" i="6"/>
  <c r="AQ19" i="6"/>
  <c r="Q21" i="6"/>
  <c r="AJ22" i="6"/>
  <c r="J24" i="6"/>
  <c r="AC25" i="6"/>
  <c r="AV26" i="6"/>
  <c r="V28" i="6"/>
  <c r="AO29" i="6"/>
  <c r="O31" i="6"/>
  <c r="AA17" i="6"/>
  <c r="AW18" i="6"/>
  <c r="W20" i="6"/>
  <c r="AP21" i="6"/>
  <c r="P23" i="6"/>
  <c r="AI24" i="6"/>
  <c r="I26" i="6"/>
  <c r="AB27" i="6"/>
  <c r="AU28" i="6"/>
  <c r="U30" i="6"/>
  <c r="Z18" i="6"/>
  <c r="AS19" i="6"/>
  <c r="S21" i="6"/>
  <c r="AL22" i="6"/>
  <c r="L24" i="6"/>
  <c r="O17" i="6"/>
  <c r="AQ18" i="6"/>
  <c r="Q20" i="6"/>
  <c r="AJ21" i="6"/>
  <c r="J23" i="6"/>
  <c r="AC24" i="6"/>
  <c r="AV25" i="6"/>
  <c r="V27" i="6"/>
  <c r="AO28" i="6"/>
  <c r="AB18" i="6"/>
  <c r="AC18" i="6"/>
  <c r="AT24" i="6"/>
  <c r="AF28" i="6"/>
  <c r="AN30" i="6"/>
  <c r="V32" i="6"/>
  <c r="AO33" i="6"/>
  <c r="O35" i="6"/>
  <c r="AH36" i="6"/>
  <c r="H38" i="6"/>
  <c r="AA39" i="6"/>
  <c r="AT40" i="6"/>
  <c r="AI20" i="6"/>
  <c r="AX25" i="6"/>
  <c r="P29" i="6"/>
  <c r="N31" i="6"/>
  <c r="I106" i="6"/>
  <c r="K101" i="6"/>
  <c r="AP71" i="6"/>
  <c r="V107" i="6"/>
  <c r="AS80" i="6"/>
  <c r="AD112" i="6"/>
  <c r="AW83" i="6"/>
  <c r="U101" i="6"/>
  <c r="U106" i="6"/>
  <c r="AE112" i="6"/>
  <c r="AH69" i="6"/>
  <c r="AO78" i="6"/>
  <c r="F18" i="6"/>
  <c r="AM21" i="6"/>
  <c r="S25" i="6"/>
  <c r="T28" i="6"/>
  <c r="AR17" i="6"/>
  <c r="AC20" i="6"/>
  <c r="AA22" i="6"/>
  <c r="AT23" i="6"/>
  <c r="T25" i="6"/>
  <c r="AM26" i="6"/>
  <c r="AY61" i="6"/>
  <c r="AN18" i="6"/>
  <c r="N20" i="6"/>
  <c r="AG21" i="6"/>
  <c r="G23" i="6"/>
  <c r="Z24" i="6"/>
  <c r="AS25" i="6"/>
  <c r="S27" i="6"/>
  <c r="AL28" i="6"/>
  <c r="L30" i="6"/>
  <c r="AE31" i="6"/>
  <c r="AT17" i="6"/>
  <c r="T19" i="6"/>
  <c r="AM20" i="6"/>
  <c r="M22" i="6"/>
  <c r="AF23" i="6"/>
  <c r="F25" i="6"/>
  <c r="Y26" i="6"/>
  <c r="AR27" i="6"/>
  <c r="R29" i="6"/>
  <c r="I17" i="6"/>
  <c r="AP18" i="6"/>
  <c r="P20" i="6"/>
  <c r="AI21" i="6"/>
  <c r="I23" i="6"/>
  <c r="AB24" i="6"/>
  <c r="AN17" i="6"/>
  <c r="N19" i="6"/>
  <c r="AG20" i="6"/>
  <c r="G22" i="6"/>
  <c r="Z23" i="6"/>
  <c r="AS24" i="6"/>
  <c r="S26" i="6"/>
  <c r="AL27" i="6"/>
  <c r="Q17" i="6"/>
  <c r="AR18" i="6"/>
  <c r="AH20" i="6"/>
  <c r="AW25" i="6"/>
  <c r="N29" i="6"/>
  <c r="AF117" i="6"/>
  <c r="V117" i="6"/>
  <c r="K22" i="6"/>
  <c r="AR22" i="6"/>
  <c r="L19" i="6"/>
  <c r="AY37" i="6"/>
  <c r="Y20" i="6"/>
  <c r="AD27" i="6"/>
  <c r="Z25" i="6"/>
  <c r="AL32" i="6"/>
  <c r="AP36" i="6"/>
  <c r="F40" i="6"/>
  <c r="AO22" i="6"/>
  <c r="I30" i="6"/>
  <c r="J33" i="6"/>
  <c r="X35" i="6"/>
  <c r="N37" i="6"/>
  <c r="AW38" i="6"/>
  <c r="AP20" i="6"/>
  <c r="G27" i="6"/>
  <c r="X30" i="6"/>
  <c r="AN32" i="6"/>
  <c r="AD34" i="6"/>
  <c r="AW35" i="6"/>
  <c r="W37" i="6"/>
  <c r="AP38" i="6"/>
  <c r="AQ20" i="6"/>
  <c r="L26" i="6"/>
  <c r="T29" i="6"/>
  <c r="Q31" i="6"/>
  <c r="AO32" i="6"/>
  <c r="O34" i="6"/>
  <c r="AH35" i="6"/>
  <c r="H37" i="6"/>
  <c r="AA38" i="6"/>
  <c r="AX20" i="6"/>
  <c r="M26" i="6"/>
  <c r="U29" i="6"/>
  <c r="R31" i="6"/>
  <c r="AP32" i="6"/>
  <c r="P34" i="6"/>
  <c r="AI35" i="6"/>
  <c r="I37" i="6"/>
  <c r="AB38" i="6"/>
  <c r="AU39" i="6"/>
  <c r="X19" i="6"/>
  <c r="R25" i="6"/>
  <c r="AP28" i="6"/>
  <c r="AT30" i="6"/>
  <c r="AA32" i="6"/>
  <c r="P105" i="6"/>
  <c r="AX77" i="6"/>
  <c r="AL23" i="6"/>
  <c r="R24" i="6"/>
  <c r="AE20" i="6"/>
  <c r="AH18" i="6"/>
  <c r="AR21" i="6"/>
  <c r="Y28" i="6"/>
  <c r="AS27" i="6"/>
  <c r="Y33" i="6"/>
  <c r="AX36" i="6"/>
  <c r="AD40" i="6"/>
  <c r="AU24" i="6"/>
  <c r="AO30" i="6"/>
  <c r="R33" i="6"/>
  <c r="AF35" i="6"/>
  <c r="V37" i="6"/>
  <c r="AB39" i="6"/>
  <c r="AC21" i="6"/>
  <c r="AC27" i="6"/>
  <c r="F31" i="6"/>
  <c r="AV32" i="6"/>
  <c r="AL34" i="6"/>
  <c r="L36" i="6"/>
  <c r="AE37" i="6"/>
  <c r="AX38" i="6"/>
  <c r="AD21" i="6"/>
  <c r="AH26" i="6"/>
  <c r="AF29" i="6"/>
  <c r="Z31" i="6"/>
  <c r="AW32" i="6"/>
  <c r="W34" i="6"/>
  <c r="AP35" i="6"/>
  <c r="P37" i="6"/>
  <c r="AI38" i="6"/>
  <c r="AK21" i="6"/>
  <c r="AJ26" i="6"/>
  <c r="AI29" i="6"/>
  <c r="AA31" i="6"/>
  <c r="AX32" i="6"/>
  <c r="X34" i="6"/>
  <c r="AQ35" i="6"/>
  <c r="Q37" i="6"/>
  <c r="AJ38" i="6"/>
  <c r="J40" i="6"/>
  <c r="S20" i="6"/>
  <c r="AO25" i="6"/>
  <c r="K29" i="6"/>
  <c r="J31" i="6"/>
  <c r="AI32" i="6"/>
  <c r="I34" i="6"/>
  <c r="AB35" i="6"/>
  <c r="AU36" i="6"/>
  <c r="U38" i="6"/>
  <c r="AN39" i="6"/>
  <c r="N41" i="6"/>
  <c r="M32" i="6"/>
  <c r="AR37" i="6"/>
  <c r="R41" i="6"/>
  <c r="AM42" i="6"/>
  <c r="M44" i="6"/>
  <c r="AF45" i="6"/>
  <c r="F47" i="6"/>
  <c r="Y48" i="6"/>
  <c r="AS21" i="6"/>
  <c r="G33" i="6"/>
  <c r="AL38" i="6"/>
  <c r="AB41" i="6"/>
  <c r="AV42" i="6"/>
  <c r="V44" i="6"/>
  <c r="AO45" i="6"/>
  <c r="O47" i="6"/>
  <c r="AT21" i="6"/>
  <c r="H33" i="6"/>
  <c r="AM38" i="6"/>
  <c r="AC41" i="6"/>
  <c r="AW42" i="6"/>
  <c r="W44" i="6"/>
  <c r="AP45" i="6"/>
  <c r="AM76" i="6"/>
  <c r="W17" i="6"/>
  <c r="L25" i="6"/>
  <c r="AK25" i="6"/>
  <c r="AX21" i="6"/>
  <c r="H20" i="6"/>
  <c r="R23" i="6"/>
  <c r="AY45" i="6"/>
  <c r="AV28" i="6"/>
  <c r="AW33" i="6"/>
  <c r="AK37" i="6"/>
  <c r="I41" i="6"/>
  <c r="AB26" i="6"/>
  <c r="X31" i="6"/>
  <c r="AP33" i="6"/>
  <c r="AN35" i="6"/>
  <c r="AD37" i="6"/>
  <c r="AJ39" i="6"/>
  <c r="P22" i="6"/>
  <c r="AV27" i="6"/>
  <c r="P31" i="6"/>
  <c r="K33" i="6"/>
  <c r="AT34" i="6"/>
  <c r="T36" i="6"/>
  <c r="AM37" i="6"/>
  <c r="M39" i="6"/>
  <c r="Q22" i="6"/>
  <c r="H27" i="6"/>
  <c r="AS29" i="6"/>
  <c r="AI31" i="6"/>
  <c r="L33" i="6"/>
  <c r="AE34" i="6"/>
  <c r="AX35" i="6"/>
  <c r="X37" i="6"/>
  <c r="AQ38" i="6"/>
  <c r="X22" i="6"/>
  <c r="M27" i="6"/>
  <c r="AT29" i="6"/>
  <c r="AJ31" i="6"/>
  <c r="M33" i="6"/>
  <c r="AF34" i="6"/>
  <c r="F36" i="6"/>
  <c r="Y37" i="6"/>
  <c r="AR38" i="6"/>
  <c r="R40" i="6"/>
  <c r="F21" i="6"/>
  <c r="R26" i="6"/>
  <c r="V29" i="6"/>
  <c r="S31" i="6"/>
  <c r="AQ32" i="6"/>
  <c r="Q34" i="6"/>
  <c r="AJ35" i="6"/>
  <c r="J37" i="6"/>
  <c r="AC38" i="6"/>
  <c r="AV39" i="6"/>
  <c r="N21" i="6"/>
  <c r="AS32" i="6"/>
  <c r="AE38" i="6"/>
  <c r="AA41" i="6"/>
  <c r="AU42" i="6"/>
  <c r="U44" i="6"/>
  <c r="AN45" i="6"/>
  <c r="N47" i="6"/>
  <c r="AG48" i="6"/>
  <c r="AL24" i="6"/>
  <c r="AM33" i="6"/>
  <c r="V39" i="6"/>
  <c r="X110" i="6"/>
  <c r="G21" i="6"/>
  <c r="AE26" i="6"/>
  <c r="K27" i="6"/>
  <c r="X23" i="6"/>
  <c r="AA21" i="6"/>
  <c r="M24" i="6"/>
  <c r="L18" i="6"/>
  <c r="V30" i="6"/>
  <c r="L34" i="6"/>
  <c r="P38" i="6"/>
  <c r="Q41" i="6"/>
  <c r="AX26" i="6"/>
  <c r="AG31" i="6"/>
  <c r="M34" i="6"/>
  <c r="AV35" i="6"/>
  <c r="I38" i="6"/>
  <c r="AR39" i="6"/>
  <c r="AV22" i="6"/>
  <c r="AX28" i="6"/>
  <c r="Y31" i="6"/>
  <c r="S33" i="6"/>
  <c r="I35" i="6"/>
  <c r="AB36" i="6"/>
  <c r="AU37" i="6"/>
  <c r="U39" i="6"/>
  <c r="AW22" i="6"/>
  <c r="AE27" i="6"/>
  <c r="N30" i="6"/>
  <c r="AR31" i="6"/>
  <c r="T33" i="6"/>
  <c r="AM34" i="6"/>
  <c r="M36" i="6"/>
  <c r="AF37" i="6"/>
  <c r="F39" i="6"/>
  <c r="K23" i="6"/>
  <c r="AF27" i="6"/>
  <c r="O30" i="6"/>
  <c r="AS31" i="6"/>
  <c r="U33" i="6"/>
  <c r="AN34" i="6"/>
  <c r="N36" i="6"/>
  <c r="AG37" i="6"/>
  <c r="G39" i="6"/>
  <c r="Z40" i="6"/>
  <c r="AL21" i="6"/>
  <c r="AK26" i="6"/>
  <c r="AJ29" i="6"/>
  <c r="AB31" i="6"/>
  <c r="F33" i="6"/>
  <c r="Y34" i="6"/>
  <c r="AR35" i="6"/>
  <c r="R37" i="6"/>
  <c r="AK38" i="6"/>
  <c r="K40" i="6"/>
  <c r="G24" i="6"/>
  <c r="AF33" i="6"/>
  <c r="R39" i="6"/>
  <c r="AJ41" i="6"/>
  <c r="J43" i="6"/>
  <c r="AC44" i="6"/>
  <c r="AV45" i="6"/>
  <c r="V47" i="6"/>
  <c r="AO48" i="6"/>
  <c r="AT80" i="6"/>
  <c r="K25" i="6"/>
  <c r="AY29" i="6"/>
  <c r="AD28" i="6"/>
  <c r="AQ24" i="6"/>
  <c r="AT22" i="6"/>
  <c r="AK24" i="6"/>
  <c r="AJ18" i="6"/>
  <c r="AW30" i="6"/>
  <c r="AR34" i="6"/>
  <c r="X38" i="6"/>
  <c r="Y41" i="6"/>
  <c r="X27" i="6"/>
  <c r="AP31" i="6"/>
  <c r="U34" i="6"/>
  <c r="K36" i="6"/>
  <c r="Q38" i="6"/>
  <c r="G40" i="6"/>
  <c r="AI23" i="6"/>
  <c r="S29" i="6"/>
  <c r="AH31" i="6"/>
  <c r="AA33" i="6"/>
  <c r="Q35" i="6"/>
  <c r="AJ36" i="6"/>
  <c r="J38" i="6"/>
  <c r="AC39" i="6"/>
  <c r="AJ23" i="6"/>
  <c r="AX27" i="6"/>
  <c r="Y30" i="6"/>
  <c r="H32" i="6"/>
  <c r="AB33" i="6"/>
  <c r="AU34" i="6"/>
  <c r="U36" i="6"/>
  <c r="AN37" i="6"/>
  <c r="N39" i="6"/>
  <c r="AQ23" i="6"/>
  <c r="H28" i="6"/>
  <c r="Z30" i="6"/>
  <c r="I32" i="6"/>
  <c r="AC33" i="6"/>
  <c r="AV34" i="6"/>
  <c r="V36" i="6"/>
  <c r="AO37" i="6"/>
  <c r="O39" i="6"/>
  <c r="AH40" i="6"/>
  <c r="Y22" i="6"/>
  <c r="O27" i="6"/>
  <c r="AV29" i="6"/>
  <c r="AK31" i="6"/>
  <c r="N33" i="6"/>
  <c r="AG34" i="6"/>
  <c r="G36" i="6"/>
  <c r="Z37" i="6"/>
  <c r="AS38" i="6"/>
  <c r="S40" i="6"/>
  <c r="U26" i="6"/>
  <c r="S34" i="6"/>
  <c r="AL39" i="6"/>
  <c r="AR41" i="6"/>
  <c r="R43" i="6"/>
  <c r="AK44" i="6"/>
  <c r="K46" i="6"/>
  <c r="AD47" i="6"/>
  <c r="AW48" i="6"/>
  <c r="AA28" i="6"/>
  <c r="M35" i="6"/>
  <c r="L40" i="6"/>
  <c r="H42" i="6"/>
  <c r="AA43" i="6"/>
  <c r="AT44" i="6"/>
  <c r="T46" i="6"/>
  <c r="AM47" i="6"/>
  <c r="AC28" i="6"/>
  <c r="N35" i="6"/>
  <c r="M40" i="6"/>
  <c r="I42" i="6"/>
  <c r="AB43" i="6"/>
  <c r="AU44" i="6"/>
  <c r="U46" i="6"/>
  <c r="W25" i="6"/>
  <c r="AU33" i="6"/>
  <c r="Z39" i="6"/>
  <c r="AM41" i="6"/>
  <c r="M43" i="6"/>
  <c r="AF44" i="6"/>
  <c r="D99" i="6"/>
  <c r="L28" i="6"/>
  <c r="AF18" i="6"/>
  <c r="AW29" i="6"/>
  <c r="Q26" i="6"/>
  <c r="T24" i="6"/>
  <c r="AF25" i="6"/>
  <c r="AE19" i="6"/>
  <c r="M31" i="6"/>
  <c r="W35" i="6"/>
  <c r="K39" i="6"/>
  <c r="AK18" i="6"/>
  <c r="AH28" i="6"/>
  <c r="W32" i="6"/>
  <c r="AC34" i="6"/>
  <c r="AI36" i="6"/>
  <c r="Y38" i="6"/>
  <c r="O40" i="6"/>
  <c r="AG25" i="6"/>
  <c r="AD29" i="6"/>
  <c r="AQ31" i="6"/>
  <c r="F34" i="6"/>
  <c r="Y35" i="6"/>
  <c r="AR36" i="6"/>
  <c r="R38" i="6"/>
  <c r="AG17" i="6"/>
  <c r="W24" i="6"/>
  <c r="U28" i="6"/>
  <c r="AH30" i="6"/>
  <c r="Q32" i="6"/>
  <c r="AJ33" i="6"/>
  <c r="J35" i="6"/>
  <c r="AC36" i="6"/>
  <c r="AV37" i="6"/>
  <c r="AP17" i="6"/>
  <c r="AD24" i="6"/>
  <c r="X28" i="6"/>
  <c r="AI30" i="6"/>
  <c r="R32" i="6"/>
  <c r="AK33" i="6"/>
  <c r="K35" i="6"/>
  <c r="AD36" i="6"/>
  <c r="AW37" i="6"/>
  <c r="W39" i="6"/>
  <c r="AP40" i="6"/>
  <c r="L23" i="6"/>
  <c r="AK27" i="6"/>
  <c r="P30" i="6"/>
  <c r="AT31" i="6"/>
  <c r="V33" i="6"/>
  <c r="AO34" i="6"/>
  <c r="O36" i="6"/>
  <c r="AH37" i="6"/>
  <c r="H39" i="6"/>
  <c r="AA40" i="6"/>
  <c r="M28" i="6"/>
  <c r="F35" i="6"/>
  <c r="I40" i="6"/>
  <c r="G42" i="6"/>
  <c r="Z43" i="6"/>
  <c r="AS44" i="6"/>
  <c r="S46" i="6"/>
  <c r="AL47" i="6"/>
  <c r="L49" i="6"/>
  <c r="AK29" i="6"/>
  <c r="AS35" i="6"/>
  <c r="AB40" i="6"/>
  <c r="P42" i="6"/>
  <c r="AI43" i="6"/>
  <c r="I45" i="6"/>
  <c r="AB46" i="6"/>
  <c r="AU47" i="6"/>
  <c r="AL29" i="6"/>
  <c r="AT35" i="6"/>
  <c r="AC40" i="6"/>
  <c r="Q42" i="6"/>
  <c r="AJ43" i="6"/>
  <c r="J45" i="6"/>
  <c r="AC46" i="6"/>
  <c r="P27" i="6"/>
  <c r="W116" i="6"/>
  <c r="M106" i="6"/>
  <c r="AI17" i="6"/>
  <c r="F20" i="6"/>
  <c r="W31" i="6"/>
  <c r="AJ27" i="6"/>
  <c r="AD17" i="6"/>
  <c r="K26" i="6"/>
  <c r="AU19" i="6"/>
  <c r="AX31" i="6"/>
  <c r="AE35" i="6"/>
  <c r="AI39" i="6"/>
  <c r="V21" i="6"/>
  <c r="AC29" i="6"/>
  <c r="AM32" i="6"/>
  <c r="AK34" i="6"/>
  <c r="AQ36" i="6"/>
  <c r="AG38" i="6"/>
  <c r="W40" i="6"/>
  <c r="J26" i="6"/>
  <c r="AR29" i="6"/>
  <c r="G32" i="6"/>
  <c r="N34" i="6"/>
  <c r="AG35" i="6"/>
  <c r="G37" i="6"/>
  <c r="Z38" i="6"/>
  <c r="H19" i="6"/>
  <c r="J25" i="6"/>
  <c r="AK28" i="6"/>
  <c r="AQ30" i="6"/>
  <c r="Y32" i="6"/>
  <c r="AR33" i="6"/>
  <c r="R35" i="6"/>
  <c r="AK36" i="6"/>
  <c r="K38" i="6"/>
  <c r="P19" i="6"/>
  <c r="Q25" i="6"/>
  <c r="AN28" i="6"/>
  <c r="AS30" i="6"/>
  <c r="Z32" i="6"/>
  <c r="AS33" i="6"/>
  <c r="S35" i="6"/>
  <c r="AL36" i="6"/>
  <c r="L38" i="6"/>
  <c r="AE39" i="6"/>
  <c r="AX40" i="6"/>
  <c r="AR23" i="6"/>
  <c r="J28" i="6"/>
  <c r="AA30" i="6"/>
  <c r="K32" i="6"/>
  <c r="AD33" i="6"/>
  <c r="AW34" i="6"/>
  <c r="W36" i="6"/>
  <c r="AP37" i="6"/>
  <c r="P39" i="6"/>
  <c r="AI40" i="6"/>
  <c r="AA29" i="6"/>
  <c r="AL35" i="6"/>
  <c r="Y40" i="6"/>
  <c r="O42" i="6"/>
  <c r="AH43" i="6"/>
  <c r="H45" i="6"/>
  <c r="AA46" i="6"/>
  <c r="AT47" i="6"/>
  <c r="T49" i="6"/>
  <c r="AL30" i="6"/>
  <c r="AF36" i="6"/>
  <c r="AN40" i="6"/>
  <c r="X42" i="6"/>
  <c r="AQ43" i="6"/>
  <c r="Q45" i="6"/>
  <c r="AJ46" i="6"/>
  <c r="J48" i="6"/>
  <c r="AM30" i="6"/>
  <c r="AG36" i="6"/>
  <c r="AO40" i="6"/>
  <c r="Y42" i="6"/>
  <c r="AR43" i="6"/>
  <c r="R45" i="6"/>
  <c r="AK46" i="6"/>
  <c r="AQ28" i="6"/>
  <c r="U35" i="6"/>
  <c r="P40" i="6"/>
  <c r="Y21" i="6"/>
  <c r="AQ39" i="6"/>
  <c r="AC26" i="6"/>
  <c r="AH25" i="6"/>
  <c r="R20" i="6"/>
  <c r="T38" i="6"/>
  <c r="AT33" i="6"/>
  <c r="AF39" i="6"/>
  <c r="G41" i="6"/>
  <c r="AQ46" i="6"/>
  <c r="Z34" i="6"/>
  <c r="AF42" i="6"/>
  <c r="Y45" i="6"/>
  <c r="R48" i="6"/>
  <c r="T37" i="6"/>
  <c r="AG42" i="6"/>
  <c r="Z45" i="6"/>
  <c r="AF22" i="6"/>
  <c r="AN36" i="6"/>
  <c r="U41" i="6"/>
  <c r="AX42" i="6"/>
  <c r="AN44" i="6"/>
  <c r="N46" i="6"/>
  <c r="AG47" i="6"/>
  <c r="G49" i="6"/>
  <c r="Z50" i="6"/>
  <c r="AS51" i="6"/>
  <c r="AV30" i="6"/>
  <c r="AO36" i="6"/>
  <c r="AS40" i="6"/>
  <c r="AA42" i="6"/>
  <c r="AT43" i="6"/>
  <c r="T45" i="6"/>
  <c r="AM46" i="6"/>
  <c r="Z20" i="6"/>
  <c r="AJ32" i="6"/>
  <c r="V38" i="6"/>
  <c r="W41" i="6"/>
  <c r="AR42" i="6"/>
  <c r="R44" i="6"/>
  <c r="L31" i="6"/>
  <c r="AW36" i="6"/>
  <c r="AV40" i="6"/>
  <c r="AC42" i="6"/>
  <c r="AV43" i="6"/>
  <c r="V45" i="6"/>
  <c r="AO46" i="6"/>
  <c r="AM45" i="6"/>
  <c r="AV48" i="6"/>
  <c r="AJ50" i="6"/>
  <c r="R52" i="6"/>
  <c r="AK53" i="6"/>
  <c r="K55" i="6"/>
  <c r="AD56" i="6"/>
  <c r="AW57" i="6"/>
  <c r="W59" i="6"/>
  <c r="AS45" i="6"/>
  <c r="AL17" i="6"/>
  <c r="I22" i="6"/>
  <c r="K30" i="6"/>
  <c r="F29" i="6"/>
  <c r="AM25" i="6"/>
  <c r="AM39" i="6"/>
  <c r="L35" i="6"/>
  <c r="AQ40" i="6"/>
  <c r="W42" i="6"/>
  <c r="I48" i="6"/>
  <c r="S37" i="6"/>
  <c r="AN42" i="6"/>
  <c r="AG45" i="6"/>
  <c r="U18" i="6"/>
  <c r="G38" i="6"/>
  <c r="AO42" i="6"/>
  <c r="AH45" i="6"/>
  <c r="F30" i="6"/>
  <c r="AA37" i="6"/>
  <c r="AD41" i="6"/>
  <c r="U43" i="6"/>
  <c r="AV44" i="6"/>
  <c r="V46" i="6"/>
  <c r="AO47" i="6"/>
  <c r="O49" i="6"/>
  <c r="AH50" i="6"/>
  <c r="H52" i="6"/>
  <c r="AN31" i="6"/>
  <c r="AB37" i="6"/>
  <c r="L41" i="6"/>
  <c r="AI42" i="6"/>
  <c r="I44" i="6"/>
  <c r="AB45" i="6"/>
  <c r="AU46" i="6"/>
  <c r="S23" i="6"/>
  <c r="W33" i="6"/>
  <c r="I39" i="6"/>
  <c r="AF41" i="6"/>
  <c r="G43" i="6"/>
  <c r="Z44" i="6"/>
  <c r="AW31" i="6"/>
  <c r="AJ37" i="6"/>
  <c r="O41" i="6"/>
  <c r="AK42" i="6"/>
  <c r="K44" i="6"/>
  <c r="AD45" i="6"/>
  <c r="AW46" i="6"/>
  <c r="Z46" i="6"/>
  <c r="N49" i="6"/>
  <c r="AS50" i="6"/>
  <c r="Z52" i="6"/>
  <c r="AS53" i="6"/>
  <c r="S55" i="6"/>
  <c r="AL56" i="6"/>
  <c r="L58" i="6"/>
  <c r="M21" i="6"/>
  <c r="AF46" i="6"/>
  <c r="P49" i="6"/>
  <c r="AT50" i="6"/>
  <c r="AA52" i="6"/>
  <c r="AT53" i="6"/>
  <c r="T55" i="6"/>
  <c r="AM56" i="6"/>
  <c r="M58" i="6"/>
  <c r="AF59" i="6"/>
  <c r="F61" i="6"/>
  <c r="I43" i="6"/>
  <c r="S48" i="6"/>
  <c r="K50" i="6"/>
  <c r="AM51" i="6"/>
  <c r="O53" i="6"/>
  <c r="AH54" i="6"/>
  <c r="H56" i="6"/>
  <c r="AA57" i="6"/>
  <c r="AT58" i="6"/>
  <c r="T60" i="6"/>
  <c r="AM61" i="6"/>
  <c r="Q43" i="6"/>
  <c r="U48" i="6"/>
  <c r="L50" i="6"/>
  <c r="AN51" i="6"/>
  <c r="P53" i="6"/>
  <c r="AI54" i="6"/>
  <c r="I56" i="6"/>
  <c r="AB57" i="6"/>
  <c r="AU58" i="6"/>
  <c r="U60" i="6"/>
  <c r="J29" i="6"/>
  <c r="AQ29" i="6"/>
  <c r="AF32" i="6"/>
  <c r="H31" i="6"/>
  <c r="H29" i="6"/>
  <c r="AX17" i="6"/>
  <c r="T35" i="6"/>
  <c r="F41" i="6"/>
  <c r="AE42" i="6"/>
  <c r="Q48" i="6"/>
  <c r="F38" i="6"/>
  <c r="K43" i="6"/>
  <c r="AW45" i="6"/>
  <c r="AM24" i="6"/>
  <c r="Y39" i="6"/>
  <c r="L43" i="6"/>
  <c r="AX45" i="6"/>
  <c r="AU30" i="6"/>
  <c r="N38" i="6"/>
  <c r="AU41" i="6"/>
  <c r="AC43" i="6"/>
  <c r="K45" i="6"/>
  <c r="AD46" i="6"/>
  <c r="AW47" i="6"/>
  <c r="W49" i="6"/>
  <c r="AP50" i="6"/>
  <c r="AN19" i="6"/>
  <c r="AC32" i="6"/>
  <c r="O38" i="6"/>
  <c r="V41" i="6"/>
  <c r="AQ42" i="6"/>
  <c r="Q44" i="6"/>
  <c r="AJ45" i="6"/>
  <c r="J47" i="6"/>
  <c r="AP25" i="6"/>
  <c r="J34" i="6"/>
  <c r="AG39" i="6"/>
  <c r="AO41" i="6"/>
  <c r="O43" i="6"/>
  <c r="AA20" i="6"/>
  <c r="AK32" i="6"/>
  <c r="W38" i="6"/>
  <c r="X41" i="6"/>
  <c r="AS42" i="6"/>
  <c r="S44" i="6"/>
  <c r="AL45" i="6"/>
  <c r="L32" i="6"/>
  <c r="L47" i="6"/>
  <c r="Y49" i="6"/>
  <c r="I51" i="6"/>
  <c r="AH52" i="6"/>
  <c r="H54" i="6"/>
  <c r="AA55" i="6"/>
  <c r="AT56" i="6"/>
  <c r="T58" i="6"/>
  <c r="AR32" i="6"/>
  <c r="M47" i="6"/>
  <c r="Z49" i="6"/>
  <c r="J51" i="6"/>
  <c r="AI52" i="6"/>
  <c r="I54" i="6"/>
  <c r="AB55" i="6"/>
  <c r="AU56" i="6"/>
  <c r="U58" i="6"/>
  <c r="AN59" i="6"/>
  <c r="N61" i="6"/>
  <c r="AB44" i="6"/>
  <c r="AD48" i="6"/>
  <c r="T50" i="6"/>
  <c r="AV51" i="6"/>
  <c r="W53" i="6"/>
  <c r="AP54" i="6"/>
  <c r="P56" i="6"/>
  <c r="AI57" i="6"/>
  <c r="I59" i="6"/>
  <c r="AB60" i="6"/>
  <c r="AU61" i="6"/>
  <c r="AH44" i="6"/>
  <c r="AE48" i="6"/>
  <c r="U50" i="6"/>
  <c r="AW51" i="6"/>
  <c r="X53" i="6"/>
  <c r="AQ54" i="6"/>
  <c r="Q56" i="6"/>
  <c r="F19" i="6"/>
  <c r="AU32" i="6"/>
  <c r="V34" i="6"/>
  <c r="AG32" i="6"/>
  <c r="I31" i="6"/>
  <c r="AE24" i="6"/>
  <c r="AE36" i="6"/>
  <c r="AD30" i="6"/>
  <c r="AP43" i="6"/>
  <c r="AB49" i="6"/>
  <c r="AO39" i="6"/>
  <c r="S43" i="6"/>
  <c r="L46" i="6"/>
  <c r="AR26" i="6"/>
  <c r="AP39" i="6"/>
  <c r="T43" i="6"/>
  <c r="M46" i="6"/>
  <c r="AL31" i="6"/>
  <c r="AT38" i="6"/>
  <c r="J42" i="6"/>
  <c r="AK43" i="6"/>
  <c r="S45" i="6"/>
  <c r="AL46" i="6"/>
  <c r="L48" i="6"/>
  <c r="AE49" i="6"/>
  <c r="AX50" i="6"/>
  <c r="AG22" i="6"/>
  <c r="P33" i="6"/>
  <c r="AU38" i="6"/>
  <c r="AE41" i="6"/>
  <c r="F43" i="6"/>
  <c r="Y44" i="6"/>
  <c r="AR45" i="6"/>
  <c r="R47" i="6"/>
  <c r="AM27" i="6"/>
  <c r="AP34" i="6"/>
  <c r="AW39" i="6"/>
  <c r="AW41" i="6"/>
  <c r="W43" i="6"/>
  <c r="T23" i="6"/>
  <c r="X33" i="6"/>
  <c r="J39" i="6"/>
  <c r="AH41" i="6"/>
  <c r="H43" i="6"/>
  <c r="AA44" i="6"/>
  <c r="AT45" i="6"/>
  <c r="AQ37" i="6"/>
  <c r="AC47" i="6"/>
  <c r="AI49" i="6"/>
  <c r="R51" i="6"/>
  <c r="AP52" i="6"/>
  <c r="P54" i="6"/>
  <c r="AI55" i="6"/>
  <c r="I57" i="6"/>
  <c r="AB58" i="6"/>
  <c r="AD38" i="6"/>
  <c r="AF47" i="6"/>
  <c r="AJ49" i="6"/>
  <c r="S51" i="6"/>
  <c r="AQ52" i="6"/>
  <c r="Q54" i="6"/>
  <c r="AJ55" i="6"/>
  <c r="J57" i="6"/>
  <c r="F27" i="6"/>
  <c r="P35" i="6"/>
  <c r="AO35" i="6"/>
  <c r="G34" i="6"/>
  <c r="AH32" i="6"/>
  <c r="Z28" i="6"/>
  <c r="AM36" i="6"/>
  <c r="U31" i="6"/>
  <c r="AX43" i="6"/>
  <c r="M18" i="6"/>
  <c r="H41" i="6"/>
  <c r="F44" i="6"/>
  <c r="AR46" i="6"/>
  <c r="AD31" i="6"/>
  <c r="J41" i="6"/>
  <c r="G44" i="6"/>
  <c r="AS46" i="6"/>
  <c r="AB32" i="6"/>
  <c r="AS39" i="6"/>
  <c r="R42" i="6"/>
  <c r="AS43" i="6"/>
  <c r="AA45" i="6"/>
  <c r="AT46" i="6"/>
  <c r="T48" i="6"/>
  <c r="AM49" i="6"/>
  <c r="M51" i="6"/>
  <c r="Y25" i="6"/>
  <c r="AV33" i="6"/>
  <c r="AD39" i="6"/>
  <c r="AN41" i="6"/>
  <c r="N43" i="6"/>
  <c r="AG44" i="6"/>
  <c r="G46" i="6"/>
  <c r="Z47" i="6"/>
  <c r="L29" i="6"/>
  <c r="AC35" i="6"/>
  <c r="T40" i="6"/>
  <c r="L42" i="6"/>
  <c r="AE43" i="6"/>
  <c r="AU25" i="6"/>
  <c r="K34" i="6"/>
  <c r="AH39" i="6"/>
  <c r="AP41" i="6"/>
  <c r="P43" i="6"/>
  <c r="AI44" i="6"/>
  <c r="I46" i="6"/>
  <c r="P41" i="6"/>
  <c r="AS47" i="6"/>
  <c r="AR49" i="6"/>
  <c r="AA51" i="6"/>
  <c r="AX52" i="6"/>
  <c r="X54" i="6"/>
  <c r="AQ55" i="6"/>
  <c r="Q57" i="6"/>
  <c r="AJ58" i="6"/>
  <c r="Z41" i="6"/>
  <c r="AV47" i="6"/>
  <c r="AS49" i="6"/>
  <c r="AB51" i="6"/>
  <c r="F53" i="6"/>
  <c r="Y54" i="6"/>
  <c r="AR55" i="6"/>
  <c r="R57" i="6"/>
  <c r="AK58" i="6"/>
  <c r="K60" i="6"/>
  <c r="AD61" i="6"/>
  <c r="AU45" i="6"/>
  <c r="F49" i="6"/>
  <c r="AL50" i="6"/>
  <c r="T52" i="6"/>
  <c r="AM53" i="6"/>
  <c r="M55" i="6"/>
  <c r="AF56" i="6"/>
  <c r="F58" i="6"/>
  <c r="Y59" i="6"/>
  <c r="AR60" i="6"/>
  <c r="R62" i="6"/>
  <c r="H46" i="6"/>
  <c r="H49" i="6"/>
  <c r="AM50" i="6"/>
  <c r="U52" i="6"/>
  <c r="AN53" i="6"/>
  <c r="N55" i="6"/>
  <c r="AG56" i="6"/>
  <c r="G58" i="6"/>
  <c r="Z59" i="6"/>
  <c r="AS60" i="6"/>
  <c r="S62" i="6"/>
  <c r="R109" i="6"/>
  <c r="AA23" i="6"/>
  <c r="F37" i="6"/>
  <c r="O37" i="6"/>
  <c r="Z35" i="6"/>
  <c r="H34" i="6"/>
  <c r="AK30" i="6"/>
  <c r="AX37" i="6"/>
  <c r="Y36" i="6"/>
  <c r="P45" i="6"/>
  <c r="AP26" i="6"/>
  <c r="S41" i="6"/>
  <c r="N44" i="6"/>
  <c r="G47" i="6"/>
  <c r="U32" i="6"/>
  <c r="T41" i="6"/>
  <c r="O44" i="6"/>
  <c r="H47" i="6"/>
  <c r="O33" i="6"/>
  <c r="AE40" i="6"/>
  <c r="Z42" i="6"/>
  <c r="H44" i="6"/>
  <c r="AI45" i="6"/>
  <c r="I47" i="6"/>
  <c r="AB48" i="6"/>
  <c r="AU49" i="6"/>
  <c r="U51" i="6"/>
  <c r="U27" i="6"/>
  <c r="AI34" i="6"/>
  <c r="AT39" i="6"/>
  <c r="AV41" i="6"/>
  <c r="V43" i="6"/>
  <c r="AO44" i="6"/>
  <c r="O46" i="6"/>
  <c r="AH47" i="6"/>
  <c r="Q30" i="6"/>
  <c r="P36" i="6"/>
  <c r="AG40" i="6"/>
  <c r="T42" i="6"/>
  <c r="AM43" i="6"/>
  <c r="AN27" i="6"/>
  <c r="AQ34" i="6"/>
  <c r="AX39" i="6"/>
  <c r="AX41" i="6"/>
  <c r="X43" i="6"/>
  <c r="AQ44" i="6"/>
  <c r="Q46" i="6"/>
  <c r="AL42" i="6"/>
  <c r="O48" i="6"/>
  <c r="H50" i="6"/>
  <c r="AJ51" i="6"/>
  <c r="M53" i="6"/>
  <c r="AF54" i="6"/>
  <c r="F56" i="6"/>
  <c r="Y57" i="6"/>
  <c r="AR58" i="6"/>
  <c r="AT42" i="6"/>
  <c r="P48" i="6"/>
  <c r="I50" i="6"/>
  <c r="AL51" i="6"/>
  <c r="N53" i="6"/>
  <c r="AG54" i="6"/>
  <c r="G56" i="6"/>
  <c r="Z57" i="6"/>
  <c r="AS58" i="6"/>
  <c r="S60" i="6"/>
  <c r="F24" i="6"/>
  <c r="AH46" i="6"/>
  <c r="Q49" i="6"/>
  <c r="AU50" i="6"/>
  <c r="AB52" i="6"/>
  <c r="AU53" i="6"/>
  <c r="U55" i="6"/>
  <c r="AN56" i="6"/>
  <c r="N58" i="6"/>
  <c r="AG59" i="6"/>
  <c r="G61" i="6"/>
  <c r="T26" i="6"/>
  <c r="AN46" i="6"/>
  <c r="R49" i="6"/>
  <c r="AV50" i="6"/>
  <c r="AC52" i="6"/>
  <c r="G112" i="6"/>
  <c r="AD32" i="6"/>
  <c r="AO38" i="6"/>
  <c r="AH38" i="6"/>
  <c r="AS36" i="6"/>
  <c r="AA35" i="6"/>
  <c r="S32" i="6"/>
  <c r="M38" i="6"/>
  <c r="L37" i="6"/>
  <c r="X45" i="6"/>
  <c r="AC31" i="6"/>
  <c r="AK41" i="6"/>
  <c r="AD44" i="6"/>
  <c r="W47" i="6"/>
  <c r="AN33" i="6"/>
  <c r="AL41" i="6"/>
  <c r="AE44" i="6"/>
  <c r="P47" i="6"/>
  <c r="AH34" i="6"/>
  <c r="AR40" i="6"/>
  <c r="AH42" i="6"/>
  <c r="P44" i="6"/>
  <c r="AQ45" i="6"/>
  <c r="Q47" i="6"/>
  <c r="AJ48" i="6"/>
  <c r="J50" i="6"/>
  <c r="AC51" i="6"/>
  <c r="AS28" i="6"/>
  <c r="V35" i="6"/>
  <c r="Q40" i="6"/>
  <c r="K42" i="6"/>
  <c r="AD43" i="6"/>
  <c r="AW44" i="6"/>
  <c r="W46" i="6"/>
  <c r="AP47" i="6"/>
  <c r="K31" i="6"/>
  <c r="AV36" i="6"/>
  <c r="AU40" i="6"/>
  <c r="AB42" i="6"/>
  <c r="AU43" i="6"/>
  <c r="M29" i="6"/>
  <c r="AD35" i="6"/>
  <c r="U40" i="6"/>
  <c r="M42" i="6"/>
  <c r="AF43" i="6"/>
  <c r="F45" i="6"/>
  <c r="Y46" i="6"/>
  <c r="L44" i="6"/>
  <c r="AA48" i="6"/>
  <c r="Q50" i="6"/>
  <c r="AT51" i="6"/>
  <c r="U53" i="6"/>
  <c r="AN54" i="6"/>
  <c r="N56" i="6"/>
  <c r="AG57" i="6"/>
  <c r="G59" i="6"/>
  <c r="T44" i="6"/>
  <c r="AC48" i="6"/>
  <c r="S50" i="6"/>
  <c r="AU51" i="6"/>
  <c r="V53" i="6"/>
  <c r="AO54" i="6"/>
  <c r="O56" i="6"/>
  <c r="AH57" i="6"/>
  <c r="H59" i="6"/>
  <c r="AA60" i="6"/>
  <c r="AE33" i="6"/>
  <c r="S47" i="6"/>
  <c r="AA49" i="6"/>
  <c r="K51" i="6"/>
  <c r="AJ52" i="6"/>
  <c r="J54" i="6"/>
  <c r="AC55" i="6"/>
  <c r="AV56" i="6"/>
  <c r="V58" i="6"/>
  <c r="AO59" i="6"/>
  <c r="O61" i="6"/>
  <c r="R34" i="6"/>
  <c r="T47" i="6"/>
  <c r="AC49" i="6"/>
  <c r="L51" i="6"/>
  <c r="AK52" i="6"/>
  <c r="K54" i="6"/>
  <c r="AD55" i="6"/>
  <c r="AW56" i="6"/>
  <c r="K20" i="6"/>
  <c r="AS41" i="6"/>
  <c r="K41" i="6"/>
  <c r="G30" i="6"/>
  <c r="AV31" i="6"/>
  <c r="U42" i="6"/>
  <c r="AC53" i="6"/>
  <c r="AB50" i="6"/>
  <c r="W56" i="6"/>
  <c r="AI60" i="6"/>
  <c r="AN48" i="6"/>
  <c r="G53" i="6"/>
  <c r="K57" i="6"/>
  <c r="AJ60" i="6"/>
  <c r="G48" i="6"/>
  <c r="AS52" i="6"/>
  <c r="AL55" i="6"/>
  <c r="O58" i="6"/>
  <c r="AX59" i="6"/>
  <c r="AN61" i="6"/>
  <c r="H40" i="6"/>
  <c r="AK47" i="6"/>
  <c r="AN49" i="6"/>
  <c r="W51" i="6"/>
  <c r="AT52" i="6"/>
  <c r="T54" i="6"/>
  <c r="AM55" i="6"/>
  <c r="M57" i="6"/>
  <c r="AF58" i="6"/>
  <c r="F60" i="6"/>
  <c r="Y61" i="6"/>
  <c r="AP44" i="6"/>
  <c r="AH48" i="6"/>
  <c r="W50" i="6"/>
  <c r="F52" i="6"/>
  <c r="Z53" i="6"/>
  <c r="AS54" i="6"/>
  <c r="S56" i="6"/>
  <c r="AC30" i="6"/>
  <c r="AX46" i="6"/>
  <c r="V49" i="6"/>
  <c r="G51" i="6"/>
  <c r="AO52" i="6"/>
  <c r="Q58" i="6"/>
  <c r="U61" i="6"/>
  <c r="O63" i="6"/>
  <c r="AH64" i="6"/>
  <c r="E20" i="6"/>
  <c r="D41" i="6"/>
  <c r="C64" i="6"/>
  <c r="U85" i="6"/>
  <c r="AR117" i="6"/>
  <c r="AK114" i="6"/>
  <c r="K47" i="6"/>
  <c r="AO55" i="6"/>
  <c r="G60" i="6"/>
  <c r="Z62" i="6"/>
  <c r="AV63" i="6"/>
  <c r="V65" i="6"/>
  <c r="E53" i="6"/>
  <c r="C33" i="6"/>
  <c r="X93" i="6"/>
  <c r="E71" i="6"/>
  <c r="K37" i="6"/>
  <c r="J55" i="6"/>
  <c r="AK59" i="6"/>
  <c r="Q62" i="6"/>
  <c r="AO63" i="6"/>
  <c r="O65" i="6"/>
  <c r="E46" i="6"/>
  <c r="C26" i="6"/>
  <c r="AA94" i="6"/>
  <c r="L78" i="6"/>
  <c r="AK116" i="6"/>
  <c r="AQ53" i="6"/>
  <c r="AQ58" i="6"/>
  <c r="AQ61" i="6"/>
  <c r="Z63" i="6"/>
  <c r="AS64" i="6"/>
  <c r="E31" i="6"/>
  <c r="D52" i="6"/>
  <c r="C19" i="6"/>
  <c r="P81" i="6"/>
  <c r="AG117" i="6"/>
  <c r="AS113" i="6"/>
  <c r="S38" i="6"/>
  <c r="AL44" i="6"/>
  <c r="AP42" i="6"/>
  <c r="I36" i="6"/>
  <c r="AI37" i="6"/>
  <c r="AN43" i="6"/>
  <c r="AV54" i="6"/>
  <c r="AK50" i="6"/>
  <c r="AE56" i="6"/>
  <c r="AQ60" i="6"/>
  <c r="AK49" i="6"/>
  <c r="AE53" i="6"/>
  <c r="S57" i="6"/>
  <c r="W61" i="6"/>
  <c r="AP48" i="6"/>
  <c r="H53" i="6"/>
  <c r="AT55" i="6"/>
  <c r="W58" i="6"/>
  <c r="M60" i="6"/>
  <c r="AV61" i="6"/>
  <c r="F42" i="6"/>
  <c r="H48" i="6"/>
  <c r="AW49" i="6"/>
  <c r="AF51" i="6"/>
  <c r="I53" i="6"/>
  <c r="AB54" i="6"/>
  <c r="AU55" i="6"/>
  <c r="U57" i="6"/>
  <c r="AN58" i="6"/>
  <c r="N60" i="6"/>
  <c r="AG61" i="6"/>
  <c r="AC45" i="6"/>
  <c r="AS48" i="6"/>
  <c r="AF50" i="6"/>
  <c r="O52" i="6"/>
  <c r="AH53" i="6"/>
  <c r="H55" i="6"/>
  <c r="AA56" i="6"/>
  <c r="X36" i="6"/>
  <c r="AA47" i="6"/>
  <c r="AG49" i="6"/>
  <c r="P51" i="6"/>
  <c r="AB53" i="6"/>
  <c r="AI58" i="6"/>
  <c r="AK61" i="6"/>
  <c r="W63" i="6"/>
  <c r="AP64" i="6"/>
  <c r="E28" i="6"/>
  <c r="D49" i="6"/>
  <c r="C23" i="6"/>
  <c r="Q83" i="6"/>
  <c r="AJ117" i="6"/>
  <c r="AV113" i="6"/>
  <c r="X49" i="6"/>
  <c r="AB56" i="6"/>
  <c r="W60" i="6"/>
  <c r="AJ62" i="6"/>
  <c r="K64" i="6"/>
  <c r="AD65" i="6"/>
  <c r="E61" i="6"/>
  <c r="C41" i="6"/>
  <c r="Y91" i="6"/>
  <c r="AK98" i="6"/>
  <c r="AB47" i="6"/>
  <c r="AP55" i="6"/>
  <c r="H60" i="6"/>
  <c r="AB62" i="6"/>
  <c r="AW63" i="6"/>
  <c r="W65" i="6"/>
  <c r="E54" i="6"/>
  <c r="C34" i="6"/>
  <c r="Y93" i="6"/>
  <c r="E72" i="6"/>
  <c r="AV115" i="6"/>
  <c r="AD54" i="6"/>
  <c r="U59" i="6"/>
  <c r="H62" i="6"/>
  <c r="AH63" i="6"/>
  <c r="H65" i="6"/>
  <c r="E39" i="6"/>
  <c r="D60" i="6"/>
  <c r="AE96" i="6"/>
  <c r="M79" i="6"/>
  <c r="AR116" i="6"/>
  <c r="AK113" i="6"/>
  <c r="AR53" i="6"/>
  <c r="AW58" i="6"/>
  <c r="AR61" i="6"/>
  <c r="AA63" i="6"/>
  <c r="AT64" i="6"/>
  <c r="E32" i="6"/>
  <c r="D53" i="6"/>
  <c r="C17" i="6"/>
  <c r="Q81" i="6"/>
  <c r="AY116" i="6"/>
  <c r="AR113" i="6"/>
  <c r="S53" i="6"/>
  <c r="AA58" i="6"/>
  <c r="AH61" i="6"/>
  <c r="T63" i="6"/>
  <c r="AM64" i="6"/>
  <c r="E25" i="6"/>
  <c r="D46" i="6"/>
  <c r="C20" i="6"/>
  <c r="T84" i="6"/>
  <c r="AM117" i="6"/>
  <c r="AX44" i="6"/>
  <c r="Z55" i="6"/>
  <c r="AS59" i="6"/>
  <c r="W62" i="6"/>
  <c r="AS63" i="6"/>
  <c r="S65" i="6"/>
  <c r="E50" i="6"/>
  <c r="C30" i="6"/>
  <c r="Z92" i="6"/>
  <c r="H74" i="6"/>
  <c r="AG116" i="6"/>
  <c r="AL63" i="6"/>
  <c r="AX113" i="6"/>
  <c r="AX109" i="6"/>
  <c r="AQ106" i="6"/>
  <c r="AJ103" i="6"/>
  <c r="AV99" i="6"/>
  <c r="AO95" i="6"/>
  <c r="AH92" i="6"/>
  <c r="AT36" i="6"/>
  <c r="AE47" i="6"/>
  <c r="X44" i="6"/>
  <c r="AF40" i="6"/>
  <c r="M41" i="6"/>
  <c r="N45" i="6"/>
  <c r="V56" i="6"/>
  <c r="K52" i="6"/>
  <c r="AP57" i="6"/>
  <c r="V61" i="6"/>
  <c r="AT49" i="6"/>
  <c r="R54" i="6"/>
  <c r="AQ57" i="6"/>
  <c r="AE61" i="6"/>
  <c r="AL49" i="6"/>
  <c r="AF53" i="6"/>
  <c r="Y56" i="6"/>
  <c r="AE58" i="6"/>
  <c r="AC60" i="6"/>
  <c r="K62" i="6"/>
  <c r="Y43" i="6"/>
  <c r="V48" i="6"/>
  <c r="M50" i="6"/>
  <c r="AO51" i="6"/>
  <c r="Q53" i="6"/>
  <c r="AJ54" i="6"/>
  <c r="J56" i="6"/>
  <c r="AC57" i="6"/>
  <c r="AV58" i="6"/>
  <c r="V60" i="6"/>
  <c r="AO61" i="6"/>
  <c r="P46" i="6"/>
  <c r="J49" i="6"/>
  <c r="AO50" i="6"/>
  <c r="W52" i="6"/>
  <c r="AP53" i="6"/>
  <c r="P55" i="6"/>
  <c r="AI56" i="6"/>
  <c r="AK40" i="6"/>
  <c r="AQ47" i="6"/>
  <c r="AP49" i="6"/>
  <c r="Y51" i="6"/>
  <c r="O54" i="6"/>
  <c r="M59" i="6"/>
  <c r="AX61" i="6"/>
  <c r="AE63" i="6"/>
  <c r="AX64" i="6"/>
  <c r="E36" i="6"/>
  <c r="D57" i="6"/>
  <c r="AF97" i="6"/>
  <c r="O82" i="6"/>
  <c r="AU116" i="6"/>
  <c r="AN113" i="6"/>
  <c r="H51" i="6"/>
  <c r="O57" i="6"/>
  <c r="AM60" i="6"/>
  <c r="AS62" i="6"/>
  <c r="S64" i="6"/>
  <c r="AL65" i="6"/>
  <c r="D26" i="6"/>
  <c r="C49" i="6"/>
  <c r="X90" i="6"/>
  <c r="AS98" i="6"/>
  <c r="AH49" i="6"/>
  <c r="AC56" i="6"/>
  <c r="X60" i="6"/>
  <c r="AK62" i="6"/>
  <c r="L64" i="6"/>
  <c r="AE65" i="6"/>
  <c r="E62" i="6"/>
  <c r="C42" i="6"/>
  <c r="Z91" i="6"/>
  <c r="AL98" i="6"/>
  <c r="AW40" i="6"/>
  <c r="Q55" i="6"/>
  <c r="AL59" i="6"/>
  <c r="T62" i="6"/>
  <c r="AP63" i="6"/>
  <c r="P65" i="6"/>
  <c r="E47" i="6"/>
  <c r="C27" i="6"/>
  <c r="AB94" i="6"/>
  <c r="K77" i="6"/>
  <c r="AJ116" i="6"/>
  <c r="AV112" i="6"/>
  <c r="AE54" i="6"/>
  <c r="V59" i="6"/>
  <c r="I62" i="6"/>
  <c r="AI63" i="6"/>
  <c r="I65" i="6"/>
  <c r="E40" i="6"/>
  <c r="D61" i="6"/>
  <c r="AF96" i="6"/>
  <c r="K80" i="6"/>
  <c r="AQ116" i="6"/>
  <c r="AJ113" i="6"/>
  <c r="F54" i="6"/>
  <c r="AX58" i="6"/>
  <c r="AS61" i="6"/>
  <c r="AB63" i="6"/>
  <c r="AU64" i="6"/>
  <c r="E33" i="6"/>
  <c r="D54" i="6"/>
  <c r="AC97" i="6"/>
  <c r="L82" i="6"/>
  <c r="AX116" i="6"/>
  <c r="AK48" i="6"/>
  <c r="M56" i="6"/>
  <c r="P60" i="6"/>
  <c r="AF62" i="6"/>
  <c r="H64" i="6"/>
  <c r="AA65" i="6"/>
  <c r="E58" i="6"/>
  <c r="C38" i="6"/>
  <c r="AC93" i="6"/>
  <c r="AH98" i="6"/>
  <c r="AR115" i="6"/>
  <c r="L65" i="6"/>
  <c r="AL113" i="6"/>
  <c r="AP109" i="6"/>
  <c r="AI106" i="6"/>
  <c r="AU102" i="6"/>
  <c r="AN99" i="6"/>
  <c r="AG95" i="6"/>
  <c r="AS91" i="6"/>
  <c r="AL88" i="6"/>
  <c r="AX84" i="6"/>
  <c r="AT59" i="6"/>
  <c r="AY115" i="6"/>
  <c r="AL33" i="6"/>
  <c r="AA34" i="6"/>
  <c r="F46" i="6"/>
  <c r="S42" i="6"/>
  <c r="AJ42" i="6"/>
  <c r="AG46" i="6"/>
  <c r="AO57" i="6"/>
  <c r="S52" i="6"/>
  <c r="AX57" i="6"/>
  <c r="Q39" i="6"/>
  <c r="AC50" i="6"/>
  <c r="Z54" i="6"/>
  <c r="AD58" i="6"/>
  <c r="J62" i="6"/>
  <c r="AV49" i="6"/>
  <c r="AV53" i="6"/>
  <c r="AO56" i="6"/>
  <c r="AM58" i="6"/>
  <c r="AK60" i="6"/>
  <c r="AA62" i="6"/>
  <c r="AJ44" i="6"/>
  <c r="AF48" i="6"/>
  <c r="V50" i="6"/>
  <c r="AX51" i="6"/>
  <c r="Y53" i="6"/>
  <c r="AR54" i="6"/>
  <c r="R56" i="6"/>
  <c r="AK57" i="6"/>
  <c r="K59" i="6"/>
  <c r="AD60" i="6"/>
  <c r="X29" i="6"/>
  <c r="AV46" i="6"/>
  <c r="U49" i="6"/>
  <c r="F51" i="6"/>
  <c r="AE52" i="6"/>
  <c r="AX53" i="6"/>
  <c r="X55" i="6"/>
  <c r="AQ56" i="6"/>
  <c r="V42" i="6"/>
  <c r="M48" i="6"/>
  <c r="F50" i="6"/>
  <c r="AH51" i="6"/>
  <c r="AU54" i="6"/>
  <c r="AE59" i="6"/>
  <c r="O62" i="6"/>
  <c r="AM63" i="6"/>
  <c r="M65" i="6"/>
  <c r="E44" i="6"/>
  <c r="D65" i="6"/>
  <c r="AD95" i="6"/>
  <c r="O80" i="6"/>
  <c r="AM116" i="6"/>
  <c r="AY112" i="6"/>
  <c r="P52" i="6"/>
  <c r="AN57" i="6"/>
  <c r="J61" i="6"/>
  <c r="H63" i="6"/>
  <c r="AA64" i="6"/>
  <c r="AT65" i="6"/>
  <c r="D34" i="6"/>
  <c r="C57" i="6"/>
  <c r="R86" i="6"/>
  <c r="AY117" i="6"/>
  <c r="Q51" i="6"/>
  <c r="P57" i="6"/>
  <c r="AN60" i="6"/>
  <c r="AT62" i="6"/>
  <c r="T64" i="6"/>
  <c r="AM65" i="6"/>
  <c r="D27" i="6"/>
  <c r="C50" i="6"/>
  <c r="Y90" i="6"/>
  <c r="AT98" i="6"/>
  <c r="AR47" i="6"/>
  <c r="AW55" i="6"/>
  <c r="I60" i="6"/>
  <c r="AC62" i="6"/>
  <c r="AX63" i="6"/>
  <c r="X65" i="6"/>
  <c r="E55" i="6"/>
  <c r="C35" i="6"/>
  <c r="Z93" i="6"/>
  <c r="X39" i="6"/>
  <c r="AT41" i="6"/>
  <c r="Y47" i="6"/>
  <c r="AL43" i="6"/>
  <c r="J44" i="6"/>
  <c r="G45" i="6"/>
  <c r="O59" i="6"/>
  <c r="AD53" i="6"/>
  <c r="AC58" i="6"/>
  <c r="AI41" i="6"/>
  <c r="T51" i="6"/>
  <c r="AX54" i="6"/>
  <c r="AL58" i="6"/>
  <c r="AK39" i="6"/>
  <c r="AD50" i="6"/>
  <c r="S54" i="6"/>
  <c r="L57" i="6"/>
  <c r="J59" i="6"/>
  <c r="H61" i="6"/>
  <c r="AI62" i="6"/>
  <c r="W45" i="6"/>
  <c r="AQ48" i="6"/>
  <c r="AE50" i="6"/>
  <c r="N52" i="6"/>
  <c r="AG53" i="6"/>
  <c r="G55" i="6"/>
  <c r="Z56" i="6"/>
  <c r="AS57" i="6"/>
  <c r="S59" i="6"/>
  <c r="AL60" i="6"/>
  <c r="AK35" i="6"/>
  <c r="X47" i="6"/>
  <c r="AF49" i="6"/>
  <c r="O51" i="6"/>
  <c r="AM52" i="6"/>
  <c r="M54" i="6"/>
  <c r="AF55" i="6"/>
  <c r="F57" i="6"/>
  <c r="AO43" i="6"/>
  <c r="X48" i="6"/>
  <c r="O50" i="6"/>
  <c r="X46" i="6"/>
  <c r="AH55" i="6"/>
  <c r="AU59" i="6"/>
  <c r="Y62" i="6"/>
  <c r="AU63" i="6"/>
  <c r="U65" i="6"/>
  <c r="E52" i="6"/>
  <c r="C32" i="6"/>
  <c r="AB92" i="6"/>
  <c r="C69" i="6"/>
  <c r="AX115" i="6"/>
  <c r="AQ112" i="6"/>
  <c r="AV52" i="6"/>
  <c r="R58" i="6"/>
  <c r="Z61" i="6"/>
  <c r="P63" i="6"/>
  <c r="AI64" i="6"/>
  <c r="E21" i="6"/>
  <c r="D42" i="6"/>
  <c r="C65" i="6"/>
  <c r="P84" i="6"/>
  <c r="AQ117" i="6"/>
  <c r="Q52" i="6"/>
  <c r="AT57" i="6"/>
  <c r="K61" i="6"/>
  <c r="I63" i="6"/>
  <c r="AB64" i="6"/>
  <c r="AU65" i="6"/>
  <c r="D35" i="6"/>
  <c r="C58" i="6"/>
  <c r="S86" i="6"/>
  <c r="AX117" i="6"/>
  <c r="AQ49" i="6"/>
  <c r="AJ56" i="6"/>
  <c r="Y60" i="6"/>
  <c r="AL62" i="6"/>
  <c r="M64" i="6"/>
  <c r="AF65" i="6"/>
  <c r="E63" i="6"/>
  <c r="C43" i="6"/>
  <c r="W89" i="6"/>
  <c r="AM98" i="6"/>
  <c r="AM115" i="6"/>
  <c r="N48" i="6"/>
  <c r="AX55" i="6"/>
  <c r="J60" i="6"/>
  <c r="AD62" i="6"/>
  <c r="F64" i="6"/>
  <c r="Y65" i="6"/>
  <c r="E56" i="6"/>
  <c r="C36" i="6"/>
  <c r="AA93" i="6"/>
  <c r="D70" i="6"/>
  <c r="AT115" i="6"/>
  <c r="AW43" i="6"/>
  <c r="Y55" i="6"/>
  <c r="AR59" i="6"/>
  <c r="V62" i="6"/>
  <c r="AR63" i="6"/>
  <c r="R65" i="6"/>
  <c r="E49" i="6"/>
  <c r="C29" i="6"/>
  <c r="Y92" i="6"/>
  <c r="I75" i="6"/>
  <c r="AH116" i="6"/>
  <c r="AR51" i="6"/>
  <c r="AF57" i="6"/>
  <c r="AV60" i="6"/>
  <c r="AX62" i="6"/>
  <c r="X64" i="6"/>
  <c r="AQ65" i="6"/>
  <c r="D31" i="6"/>
  <c r="C54" i="6"/>
  <c r="T87" i="6"/>
  <c r="AX98" i="6"/>
  <c r="AU114" i="6"/>
  <c r="D64" i="6"/>
  <c r="AH112" i="6"/>
  <c r="AS108" i="6"/>
  <c r="AL105" i="6"/>
  <c r="AX101" i="6"/>
  <c r="AQ97" i="6"/>
  <c r="AJ94" i="6"/>
  <c r="AV90" i="6"/>
  <c r="AO87" i="6"/>
  <c r="AH84" i="6"/>
  <c r="AT63" i="6"/>
  <c r="AW113" i="6"/>
  <c r="AW109" i="6"/>
  <c r="U20" i="6"/>
  <c r="AM40" i="6"/>
  <c r="AM44" i="6"/>
  <c r="AR48" i="6"/>
  <c r="L45" i="6"/>
  <c r="S30" i="6"/>
  <c r="AL48" i="6"/>
  <c r="M45" i="6"/>
  <c r="AL53" i="6"/>
  <c r="P59" i="6"/>
  <c r="O45" i="6"/>
  <c r="AD51" i="6"/>
  <c r="AK55" i="6"/>
  <c r="Q59" i="6"/>
  <c r="AQ41" i="6"/>
  <c r="V51" i="6"/>
  <c r="AA54" i="6"/>
  <c r="T57" i="6"/>
  <c r="R59" i="6"/>
  <c r="P61" i="6"/>
  <c r="AQ62" i="6"/>
  <c r="J46" i="6"/>
  <c r="I49" i="6"/>
  <c r="AN50" i="6"/>
  <c r="V52" i="6"/>
  <c r="AO53" i="6"/>
  <c r="O55" i="6"/>
  <c r="AH56" i="6"/>
  <c r="H58" i="6"/>
  <c r="AA59" i="6"/>
  <c r="AT60" i="6"/>
  <c r="X40" i="6"/>
  <c r="AN47" i="6"/>
  <c r="AO49" i="6"/>
  <c r="X51" i="6"/>
  <c r="AU52" i="6"/>
  <c r="U54" i="6"/>
  <c r="AN55" i="6"/>
  <c r="N57" i="6"/>
  <c r="AR44" i="6"/>
  <c r="AI48" i="6"/>
  <c r="X50" i="6"/>
  <c r="M49" i="6"/>
  <c r="U56" i="6"/>
  <c r="R60" i="6"/>
  <c r="AH62" i="6"/>
  <c r="J64" i="6"/>
  <c r="AC65" i="6"/>
  <c r="E60" i="6"/>
  <c r="C40" i="6"/>
  <c r="X91" i="6"/>
  <c r="AJ98" i="6"/>
  <c r="AP115" i="6"/>
  <c r="AI112" i="6"/>
  <c r="AI53" i="6"/>
  <c r="AO58" i="6"/>
  <c r="AL61" i="6"/>
  <c r="X63" i="6"/>
  <c r="AQ64" i="6"/>
  <c r="E29" i="6"/>
  <c r="D50" i="6"/>
  <c r="C24" i="6"/>
  <c r="N81" i="6"/>
  <c r="AI117" i="6"/>
  <c r="AW52" i="6"/>
  <c r="S58" i="6"/>
  <c r="AA61" i="6"/>
  <c r="Q63" i="6"/>
  <c r="AJ64" i="6"/>
  <c r="E22" i="6"/>
  <c r="D43" i="6"/>
  <c r="D17" i="6"/>
  <c r="Q84" i="6"/>
  <c r="AP117" i="6"/>
  <c r="Z51" i="6"/>
  <c r="W57" i="6"/>
  <c r="AO60" i="6"/>
  <c r="AU62" i="6"/>
  <c r="U64" i="6"/>
  <c r="AN65" i="6"/>
  <c r="D28" i="6"/>
  <c r="C51" i="6"/>
  <c r="U88" i="6"/>
  <c r="AU98" i="6"/>
  <c r="AX114" i="6"/>
  <c r="G50" i="6"/>
  <c r="AK56" i="6"/>
  <c r="Z60" i="6"/>
  <c r="AM62" i="6"/>
  <c r="N64" i="6"/>
  <c r="AG65" i="6"/>
  <c r="E64" i="6"/>
  <c r="C44" i="6"/>
  <c r="X89" i="6"/>
  <c r="AN98" i="6"/>
  <c r="AL115" i="6"/>
  <c r="Z48" i="6"/>
  <c r="L56" i="6"/>
  <c r="O60" i="6"/>
  <c r="AE62" i="6"/>
  <c r="G64" i="6"/>
  <c r="Z65" i="6"/>
  <c r="E57" i="6"/>
  <c r="C37" i="6"/>
  <c r="AB93" i="6"/>
  <c r="AG98" i="6"/>
  <c r="AS115" i="6"/>
  <c r="AG52" i="6"/>
  <c r="J58" i="6"/>
  <c r="S61" i="6"/>
  <c r="M63" i="6"/>
  <c r="AF64" i="6"/>
  <c r="E18" i="6"/>
  <c r="D39" i="6"/>
  <c r="C62" i="6"/>
  <c r="S85" i="6"/>
  <c r="AT117" i="6"/>
  <c r="AM114" i="6"/>
  <c r="AC95" i="6"/>
  <c r="AR111" i="6"/>
  <c r="AK108" i="6"/>
  <c r="AW104" i="6"/>
  <c r="AP101" i="6"/>
  <c r="AI97" i="6"/>
  <c r="AU93" i="6"/>
  <c r="AN90" i="6"/>
  <c r="AG87" i="6"/>
  <c r="AS83" i="6"/>
  <c r="T65" i="6"/>
  <c r="AI113" i="6"/>
  <c r="AO109" i="6"/>
  <c r="R36" i="6"/>
  <c r="AI46" i="6"/>
  <c r="AF19" i="6"/>
  <c r="R50" i="6"/>
  <c r="AE46" i="6"/>
  <c r="Q36" i="6"/>
  <c r="AA50" i="6"/>
  <c r="AM48" i="6"/>
  <c r="AW54" i="6"/>
  <c r="X59" i="6"/>
  <c r="AI47" i="6"/>
  <c r="L52" i="6"/>
  <c r="AS55" i="6"/>
  <c r="AW59" i="6"/>
  <c r="U45" i="6"/>
  <c r="AE51" i="6"/>
  <c r="F55" i="6"/>
  <c r="AJ57" i="6"/>
  <c r="AH59" i="6"/>
  <c r="X61" i="6"/>
  <c r="K28" i="6"/>
  <c r="AP46" i="6"/>
  <c r="S49" i="6"/>
  <c r="AW50" i="6"/>
  <c r="AD52" i="6"/>
  <c r="AW53" i="6"/>
  <c r="W55" i="6"/>
  <c r="AP56" i="6"/>
  <c r="P58" i="6"/>
  <c r="AI59" i="6"/>
  <c r="I61" i="6"/>
  <c r="N42" i="6"/>
  <c r="K48" i="6"/>
  <c r="AX49" i="6"/>
  <c r="AG51" i="6"/>
  <c r="J53" i="6"/>
  <c r="AC54" i="6"/>
  <c r="AV55" i="6"/>
  <c r="V57" i="6"/>
  <c r="AE45" i="6"/>
  <c r="AT48" i="6"/>
  <c r="AG50" i="6"/>
  <c r="AR50" i="6"/>
  <c r="H57" i="6"/>
  <c r="AH60" i="6"/>
  <c r="AR62" i="6"/>
  <c r="R64" i="6"/>
  <c r="AK65" i="6"/>
  <c r="D25" i="6"/>
  <c r="C48" i="6"/>
  <c r="W90" i="6"/>
  <c r="AR98" i="6"/>
  <c r="AH115" i="6"/>
  <c r="AT111" i="6"/>
  <c r="V54" i="6"/>
  <c r="N59" i="6"/>
  <c r="F62" i="6"/>
  <c r="AF63" i="6"/>
  <c r="F65" i="6"/>
  <c r="E37" i="6"/>
  <c r="D58" i="6"/>
  <c r="AC96" i="6"/>
  <c r="P82" i="6"/>
  <c r="AT116" i="6"/>
  <c r="AJ53" i="6"/>
  <c r="AP58" i="6"/>
  <c r="AP61" i="6"/>
  <c r="Y63" i="6"/>
  <c r="AR64" i="6"/>
  <c r="E30" i="6"/>
  <c r="D51" i="6"/>
  <c r="C18" i="6"/>
  <c r="O81" i="6"/>
  <c r="AH117" i="6"/>
  <c r="X52" i="6"/>
  <c r="AU57" i="6"/>
  <c r="L61" i="6"/>
  <c r="J63" i="6"/>
  <c r="AC64" i="6"/>
  <c r="AV65" i="6"/>
  <c r="D36" i="6"/>
  <c r="C59" i="6"/>
  <c r="T86" i="6"/>
  <c r="AW117" i="6"/>
  <c r="AP114" i="6"/>
  <c r="AI51" i="6"/>
  <c r="X57" i="6"/>
  <c r="AP60" i="6"/>
  <c r="AV62" i="6"/>
  <c r="V64" i="6"/>
  <c r="AO65" i="6"/>
  <c r="D29" i="6"/>
  <c r="C52" i="6"/>
  <c r="V88" i="6"/>
  <c r="AV98" i="6"/>
  <c r="AW114" i="6"/>
  <c r="P50" i="6"/>
  <c r="AR56" i="6"/>
  <c r="AE60" i="6"/>
  <c r="AN62" i="6"/>
  <c r="O64" i="6"/>
  <c r="AH65" i="6"/>
  <c r="E65" i="6"/>
  <c r="C45" i="6"/>
  <c r="Y89" i="6"/>
  <c r="AO98" i="6"/>
  <c r="AK115" i="6"/>
  <c r="T53" i="6"/>
  <c r="AG58" i="6"/>
  <c r="AI61" i="6"/>
  <c r="U63" i="6"/>
  <c r="AN64" i="6"/>
  <c r="E26" i="6"/>
  <c r="D47" i="6"/>
  <c r="C21" i="6"/>
  <c r="O83" i="6"/>
  <c r="AL117" i="6"/>
  <c r="AT54" i="6"/>
  <c r="N80" i="6"/>
  <c r="AJ111" i="6"/>
  <c r="AV107" i="6"/>
  <c r="AO104" i="6"/>
  <c r="AH101" i="6"/>
  <c r="AT96" i="6"/>
  <c r="AM93" i="6"/>
  <c r="AY89" i="6"/>
  <c r="AR86" i="6"/>
  <c r="AK83" i="6"/>
  <c r="E51" i="6"/>
  <c r="AP112" i="6"/>
  <c r="AG109" i="6"/>
  <c r="AK51" i="6"/>
  <c r="AR52" i="6"/>
  <c r="AF61" i="6"/>
  <c r="AX56" i="6"/>
  <c r="R53" i="6"/>
  <c r="AM57" i="6"/>
  <c r="AF98" i="6"/>
  <c r="E45" i="6"/>
  <c r="AG63" i="6"/>
  <c r="Y58" i="6"/>
  <c r="F72" i="6"/>
  <c r="AV57" i="6"/>
  <c r="AQ63" i="6"/>
  <c r="D45" i="6"/>
  <c r="AV117" i="6"/>
  <c r="AL54" i="6"/>
  <c r="L63" i="6"/>
  <c r="D30" i="6"/>
  <c r="L80" i="6"/>
  <c r="AM54" i="6"/>
  <c r="AC63" i="6"/>
  <c r="E17" i="6"/>
  <c r="M80" i="6"/>
  <c r="AN116" i="6"/>
  <c r="AT105" i="6"/>
  <c r="AW95" i="6"/>
  <c r="AW87" i="6"/>
  <c r="X62" i="6"/>
  <c r="AT110" i="6"/>
  <c r="AH106" i="6"/>
  <c r="AT102" i="6"/>
  <c r="AM99" i="6"/>
  <c r="AY94" i="6"/>
  <c r="AR91" i="6"/>
  <c r="AK88" i="6"/>
  <c r="AW84" i="6"/>
  <c r="AU48" i="6"/>
  <c r="AD93" i="6"/>
  <c r="AP111" i="6"/>
  <c r="AI108" i="6"/>
  <c r="AU104" i="6"/>
  <c r="AN101" i="6"/>
  <c r="AG97" i="6"/>
  <c r="AS93" i="6"/>
  <c r="AL90" i="6"/>
  <c r="AX86" i="6"/>
  <c r="AQ83" i="6"/>
  <c r="AJ80" i="6"/>
  <c r="AV76" i="6"/>
  <c r="AO73" i="6"/>
  <c r="AG60" i="6"/>
  <c r="AQ115" i="6"/>
  <c r="AR110" i="6"/>
  <c r="AK107" i="6"/>
  <c r="AW103" i="6"/>
  <c r="AP100" i="6"/>
  <c r="AI96" i="6"/>
  <c r="AU92" i="6"/>
  <c r="AN89" i="6"/>
  <c r="AG86" i="6"/>
  <c r="AS82" i="6"/>
  <c r="AR65" i="6"/>
  <c r="AX112" i="6"/>
  <c r="AL109" i="6"/>
  <c r="AX105" i="6"/>
  <c r="AQ102" i="6"/>
  <c r="AJ99" i="6"/>
  <c r="AV94" i="6"/>
  <c r="AO91" i="6"/>
  <c r="T61" i="6"/>
  <c r="AN115" i="6"/>
  <c r="AP110" i="6"/>
  <c r="AI107" i="6"/>
  <c r="AU103" i="6"/>
  <c r="AN100" i="6"/>
  <c r="AG96" i="6"/>
  <c r="AS92" i="6"/>
  <c r="AL89" i="6"/>
  <c r="AX85" i="6"/>
  <c r="AQ82" i="6"/>
  <c r="AJ79" i="6"/>
  <c r="E27" i="6"/>
  <c r="AT112" i="6"/>
  <c r="AJ109" i="6"/>
  <c r="AV105" i="6"/>
  <c r="AO102" i="6"/>
  <c r="AH99" i="6"/>
  <c r="AT94" i="6"/>
  <c r="AM91" i="6"/>
  <c r="AY87" i="6"/>
  <c r="AR84" i="6"/>
  <c r="AK81" i="6"/>
  <c r="C76" i="6"/>
  <c r="C82" i="6"/>
  <c r="T103" i="6"/>
  <c r="O99" i="6"/>
  <c r="W101" i="6"/>
  <c r="AC103" i="6"/>
  <c r="F106" i="6"/>
  <c r="L108" i="6"/>
  <c r="R110" i="6"/>
  <c r="X112" i="6"/>
  <c r="AD114" i="6"/>
  <c r="G117" i="6"/>
  <c r="AY69" i="6"/>
  <c r="AS73" i="6"/>
  <c r="AP77" i="6"/>
  <c r="AR82" i="6"/>
  <c r="AH104" i="6"/>
  <c r="X99" i="6"/>
  <c r="C102" i="6"/>
  <c r="I104" i="6"/>
  <c r="O106" i="6"/>
  <c r="U108" i="6"/>
  <c r="AA110" i="6"/>
  <c r="D113" i="6"/>
  <c r="J115" i="6"/>
  <c r="P117" i="6"/>
  <c r="AO70" i="6"/>
  <c r="AJ74" i="6"/>
  <c r="AG78" i="6"/>
  <c r="AX47" i="6"/>
  <c r="X56" i="6"/>
  <c r="AX34" i="6"/>
  <c r="X58" i="6"/>
  <c r="AK54" i="6"/>
  <c r="AX60" i="6"/>
  <c r="AS114" i="6"/>
  <c r="C25" i="6"/>
  <c r="G65" i="6"/>
  <c r="AB61" i="6"/>
  <c r="AO117" i="6"/>
  <c r="Z58" i="6"/>
  <c r="AD64" i="6"/>
  <c r="C28" i="6"/>
  <c r="AN117" i="6"/>
  <c r="AE57" i="6"/>
  <c r="AJ63" i="6"/>
  <c r="D38" i="6"/>
  <c r="AW98" i="6"/>
  <c r="AS56" i="6"/>
  <c r="AK63" i="6"/>
  <c r="D55" i="6"/>
  <c r="AP98" i="6"/>
  <c r="AY114" i="6"/>
  <c r="AG104" i="6"/>
  <c r="AR94" i="6"/>
  <c r="AJ86" i="6"/>
  <c r="C31" i="6"/>
  <c r="AL110" i="6"/>
  <c r="AS105" i="6"/>
  <c r="AL102" i="6"/>
  <c r="AX97" i="6"/>
  <c r="AQ94" i="6"/>
  <c r="AJ91" i="6"/>
  <c r="AV87" i="6"/>
  <c r="AO84" i="6"/>
  <c r="T56" i="6"/>
  <c r="AI98" i="6"/>
  <c r="AH111" i="6"/>
  <c r="AT107" i="6"/>
  <c r="AM104" i="6"/>
  <c r="AY100" i="6"/>
  <c r="AR96" i="6"/>
  <c r="AK93" i="6"/>
  <c r="AW89" i="6"/>
  <c r="AP86" i="6"/>
  <c r="AI83" i="6"/>
  <c r="AU79" i="6"/>
  <c r="AN76" i="6"/>
  <c r="AG73" i="6"/>
  <c r="AP62" i="6"/>
  <c r="AQ114" i="6"/>
  <c r="AJ110" i="6"/>
  <c r="AV106" i="6"/>
  <c r="AO103" i="6"/>
  <c r="AH100" i="6"/>
  <c r="AT95" i="6"/>
  <c r="AM92" i="6"/>
  <c r="AY88" i="6"/>
  <c r="AR85" i="6"/>
  <c r="AK82" i="6"/>
  <c r="D32" i="6"/>
  <c r="AM112" i="6"/>
  <c r="AW108" i="6"/>
  <c r="AP105" i="6"/>
  <c r="AI102" i="6"/>
  <c r="AU97" i="6"/>
  <c r="AN94" i="6"/>
  <c r="AG91" i="6"/>
  <c r="N63" i="6"/>
  <c r="AJ114" i="6"/>
  <c r="AH110" i="6"/>
  <c r="AT106" i="6"/>
  <c r="AM103" i="6"/>
  <c r="AY99" i="6"/>
  <c r="AR95" i="6"/>
  <c r="AK92" i="6"/>
  <c r="AW88" i="6"/>
  <c r="AP85" i="6"/>
  <c r="AI82" i="6"/>
  <c r="AU78" i="6"/>
  <c r="D48" i="6"/>
  <c r="AK112" i="6"/>
  <c r="AU108" i="6"/>
  <c r="AN105" i="6"/>
  <c r="AG102" i="6"/>
  <c r="AS97" i="6"/>
  <c r="AL94" i="6"/>
  <c r="AX90" i="6"/>
  <c r="AQ87" i="6"/>
  <c r="AJ84" i="6"/>
  <c r="AV80" i="6"/>
  <c r="C91" i="6"/>
  <c r="V99" i="6"/>
  <c r="G104" i="6"/>
  <c r="W99" i="6"/>
  <c r="AE101" i="6"/>
  <c r="H104" i="6"/>
  <c r="N106" i="6"/>
  <c r="T108" i="6"/>
  <c r="Z110" i="6"/>
  <c r="C113" i="6"/>
  <c r="I115" i="6"/>
  <c r="O117" i="6"/>
  <c r="AN70" i="6"/>
  <c r="AI74" i="6"/>
  <c r="AY77" i="6"/>
  <c r="AL84" i="6"/>
  <c r="AO107" i="6"/>
  <c r="E100" i="6"/>
  <c r="K102" i="6"/>
  <c r="Q104" i="6"/>
  <c r="W106" i="6"/>
  <c r="AC108" i="6"/>
  <c r="AJ40" i="6"/>
  <c r="L60" i="6"/>
  <c r="U47" i="6"/>
  <c r="AQ59" i="6"/>
  <c r="K56" i="6"/>
  <c r="G63" i="6"/>
  <c r="T31" i="6"/>
  <c r="Z94" i="6"/>
  <c r="E38" i="6"/>
  <c r="R63" i="6"/>
  <c r="AU115" i="6"/>
  <c r="AM59" i="6"/>
  <c r="AL64" i="6"/>
  <c r="C60" i="6"/>
  <c r="AI116" i="6"/>
  <c r="I58" i="6"/>
  <c r="W64" i="6"/>
  <c r="D62" i="6"/>
  <c r="AU117" i="6"/>
  <c r="F59" i="6"/>
  <c r="P64" i="6"/>
  <c r="D63" i="6"/>
  <c r="AW116" i="6"/>
  <c r="AR112" i="6"/>
  <c r="AR103" i="6"/>
  <c r="AX92" i="6"/>
  <c r="AU85" i="6"/>
  <c r="AA92" i="6"/>
  <c r="AR108" i="6"/>
  <c r="AK105" i="6"/>
  <c r="AW101" i="6"/>
  <c r="AP97" i="6"/>
  <c r="AI94" i="6"/>
  <c r="AU90" i="6"/>
  <c r="AN87" i="6"/>
  <c r="AG84" i="6"/>
  <c r="Q60" i="6"/>
  <c r="AW115" i="6"/>
  <c r="AS110" i="6"/>
  <c r="AL107" i="6"/>
  <c r="AX103" i="6"/>
  <c r="AQ100" i="6"/>
  <c r="AJ96" i="6"/>
  <c r="AV92" i="6"/>
  <c r="AO89" i="6"/>
  <c r="AH86" i="6"/>
  <c r="AT82" i="6"/>
  <c r="AM79" i="6"/>
  <c r="AY75" i="6"/>
  <c r="AR72" i="6"/>
  <c r="Q64" i="6"/>
  <c r="AT113" i="6"/>
  <c r="AU109" i="6"/>
  <c r="AN106" i="6"/>
  <c r="AG103" i="6"/>
  <c r="AS99" i="6"/>
  <c r="AL95" i="6"/>
  <c r="AX91" i="6"/>
  <c r="AQ88" i="6"/>
  <c r="AJ85" i="6"/>
  <c r="AV81" i="6"/>
  <c r="C55" i="6"/>
  <c r="AW111" i="6"/>
  <c r="AO108" i="6"/>
  <c r="AH105" i="6"/>
  <c r="AT101" i="6"/>
  <c r="AM97" i="6"/>
  <c r="AY93" i="6"/>
  <c r="AR90" i="6"/>
  <c r="AG64" i="6"/>
  <c r="AP113" i="6"/>
  <c r="AS109" i="6"/>
  <c r="AL106" i="6"/>
  <c r="AX102" i="6"/>
  <c r="AQ99" i="6"/>
  <c r="AJ95" i="6"/>
  <c r="AV91" i="6"/>
  <c r="AO88" i="6"/>
  <c r="AH85" i="6"/>
  <c r="AT81" i="6"/>
  <c r="AM78" i="6"/>
  <c r="C22" i="6"/>
  <c r="AU111" i="6"/>
  <c r="AM108" i="6"/>
  <c r="AY104" i="6"/>
  <c r="AR101" i="6"/>
  <c r="AK97" i="6"/>
  <c r="AW93" i="6"/>
  <c r="AP90" i="6"/>
  <c r="AI87" i="6"/>
  <c r="AU83" i="6"/>
  <c r="AN80" i="6"/>
  <c r="E99" i="6"/>
  <c r="C100" i="6"/>
  <c r="O104" i="6"/>
  <c r="D100" i="6"/>
  <c r="J102" i="6"/>
  <c r="P104" i="6"/>
  <c r="V106" i="6"/>
  <c r="AB108" i="6"/>
  <c r="E111" i="6"/>
  <c r="K113" i="6"/>
  <c r="Q115" i="6"/>
  <c r="W117" i="6"/>
  <c r="AV70" i="6"/>
  <c r="AR74" i="6"/>
  <c r="AQ78" i="6"/>
  <c r="AY85" i="6"/>
  <c r="AV110" i="6"/>
  <c r="M100" i="6"/>
  <c r="S102" i="6"/>
  <c r="Y104" i="6"/>
  <c r="AE106" i="6"/>
  <c r="H109" i="6"/>
  <c r="J52" i="6"/>
  <c r="AJ47" i="6"/>
  <c r="AD49" i="6"/>
  <c r="Q61" i="6"/>
  <c r="AD57" i="6"/>
  <c r="Z64" i="6"/>
  <c r="I55" i="6"/>
  <c r="K78" i="6"/>
  <c r="D59" i="6"/>
  <c r="AK64" i="6"/>
  <c r="AH114" i="6"/>
  <c r="M61" i="6"/>
  <c r="Q65" i="6"/>
  <c r="D19" i="6"/>
  <c r="AO114" i="6"/>
  <c r="AB59" i="6"/>
  <c r="AE64" i="6"/>
  <c r="C53" i="6"/>
  <c r="AP116" i="6"/>
  <c r="AC59" i="6"/>
  <c r="AV64" i="6"/>
  <c r="C46" i="6"/>
  <c r="AO116" i="6"/>
  <c r="AU110" i="6"/>
  <c r="AM102" i="6"/>
  <c r="AP92" i="6"/>
  <c r="AM85" i="6"/>
  <c r="G73" i="6"/>
  <c r="AJ108" i="6"/>
  <c r="AV104" i="6"/>
  <c r="AO101" i="6"/>
  <c r="AH97" i="6"/>
  <c r="AT93" i="6"/>
  <c r="AM90" i="6"/>
  <c r="AY86" i="6"/>
  <c r="AR83" i="6"/>
  <c r="AG62" i="6"/>
  <c r="AR114" i="6"/>
  <c r="AK110" i="6"/>
  <c r="AW106" i="6"/>
  <c r="AP103" i="6"/>
  <c r="AI100" i="6"/>
  <c r="AU95" i="6"/>
  <c r="AN92" i="6"/>
  <c r="AG89" i="6"/>
  <c r="AS85" i="6"/>
  <c r="AL82" i="6"/>
  <c r="AX78" i="6"/>
  <c r="AQ75" i="6"/>
  <c r="AJ72" i="6"/>
  <c r="AJ65" i="6"/>
  <c r="AG113" i="6"/>
  <c r="AM109" i="6"/>
  <c r="AY105" i="6"/>
  <c r="AR102" i="6"/>
  <c r="AK99" i="6"/>
  <c r="AW94" i="6"/>
  <c r="AP91" i="6"/>
  <c r="AI88" i="6"/>
  <c r="AU84" i="6"/>
  <c r="G52" i="6"/>
  <c r="U87" i="6"/>
  <c r="AN111" i="6"/>
  <c r="AG108" i="6"/>
  <c r="AS104" i="6"/>
  <c r="AL101" i="6"/>
  <c r="AX96" i="6"/>
  <c r="AQ93" i="6"/>
  <c r="AJ90" i="6"/>
  <c r="E19" i="6"/>
  <c r="AW112" i="6"/>
  <c r="AK109" i="6"/>
  <c r="AW105" i="6"/>
  <c r="AP102" i="6"/>
  <c r="AI99" i="6"/>
  <c r="AU94" i="6"/>
  <c r="AN91" i="6"/>
  <c r="AG88" i="6"/>
  <c r="AS84" i="6"/>
  <c r="AL81" i="6"/>
  <c r="AA53" i="6"/>
  <c r="P83" i="6"/>
  <c r="AL111" i="6"/>
  <c r="AX107" i="6"/>
  <c r="AQ104" i="6"/>
  <c r="AX48" i="6"/>
  <c r="M52" i="6"/>
  <c r="N51" i="6"/>
  <c r="AG43" i="6"/>
  <c r="R46" i="6"/>
  <c r="AS65" i="6"/>
  <c r="AJ59" i="6"/>
  <c r="AL116" i="6"/>
  <c r="AD96" i="6"/>
  <c r="E23" i="6"/>
  <c r="AD42" i="6"/>
  <c r="AC61" i="6"/>
  <c r="AW65" i="6"/>
  <c r="AC94" i="6"/>
  <c r="AG114" i="6"/>
  <c r="AU60" i="6"/>
  <c r="J65" i="6"/>
  <c r="C61" i="6"/>
  <c r="AV114" i="6"/>
  <c r="AF60" i="6"/>
  <c r="K65" i="6"/>
  <c r="AD97" i="6"/>
  <c r="AJ115" i="6"/>
  <c r="AM110" i="6"/>
  <c r="AS100" i="6"/>
  <c r="AK91" i="6"/>
  <c r="AP84" i="6"/>
  <c r="AT114" i="6"/>
  <c r="AU107" i="6"/>
  <c r="AN104" i="6"/>
  <c r="AG101" i="6"/>
  <c r="AS96" i="6"/>
  <c r="AL93" i="6"/>
  <c r="AX89" i="6"/>
  <c r="AQ86" i="6"/>
  <c r="AJ83" i="6"/>
  <c r="I64" i="6"/>
  <c r="AU113" i="6"/>
  <c r="AV109" i="6"/>
  <c r="AO106" i="6"/>
  <c r="AH103" i="6"/>
  <c r="AT99" i="6"/>
  <c r="AM95" i="6"/>
  <c r="AY91" i="6"/>
  <c r="AR88" i="6"/>
  <c r="AK85" i="6"/>
  <c r="AW81" i="6"/>
  <c r="AP78" i="6"/>
  <c r="AI75" i="6"/>
  <c r="AU71" i="6"/>
  <c r="D24" i="6"/>
  <c r="AN112" i="6"/>
  <c r="AX108" i="6"/>
  <c r="AQ105" i="6"/>
  <c r="AJ102" i="6"/>
  <c r="AV97" i="6"/>
  <c r="AO94" i="6"/>
  <c r="AH91" i="6"/>
  <c r="AT87" i="6"/>
  <c r="AM84" i="6"/>
  <c r="AL57" i="6"/>
  <c r="AY98" i="6"/>
  <c r="AY110" i="6"/>
  <c r="AR107" i="6"/>
  <c r="AK104" i="6"/>
  <c r="AW100" i="6"/>
  <c r="AP96" i="6"/>
  <c r="AI93" i="6"/>
  <c r="AU89" i="6"/>
  <c r="D40" i="6"/>
  <c r="AL112" i="6"/>
  <c r="AV108" i="6"/>
  <c r="AO105" i="6"/>
  <c r="AH102" i="6"/>
  <c r="AT97" i="6"/>
  <c r="AM94" i="6"/>
  <c r="AY90" i="6"/>
  <c r="AR87" i="6"/>
  <c r="AK84" i="6"/>
  <c r="AW80" i="6"/>
  <c r="AH58" i="6"/>
  <c r="AK117" i="6"/>
  <c r="AW110" i="6"/>
  <c r="AP107" i="6"/>
  <c r="AI104" i="6"/>
  <c r="AU100" i="6"/>
  <c r="AN96" i="6"/>
  <c r="AG93" i="6"/>
  <c r="AS89" i="6"/>
  <c r="AL86" i="6"/>
  <c r="AX82" i="6"/>
  <c r="K99" i="6"/>
  <c r="J100" i="6"/>
  <c r="F101" i="6"/>
  <c r="C89" i="6"/>
  <c r="T100" i="6"/>
  <c r="Z102" i="6"/>
  <c r="C105" i="6"/>
  <c r="I107" i="6"/>
  <c r="O109" i="6"/>
  <c r="U111" i="6"/>
  <c r="AA113" i="6"/>
  <c r="D116" i="6"/>
  <c r="AF113" i="6"/>
  <c r="AT71" i="6"/>
  <c r="AR75" i="6"/>
  <c r="AS79" i="6"/>
  <c r="AR89" i="6"/>
  <c r="L59" i="6"/>
  <c r="AC100" i="6"/>
  <c r="J20" i="6"/>
  <c r="L55" i="6"/>
  <c r="V55" i="6"/>
  <c r="AL52" i="6"/>
  <c r="W48" i="6"/>
  <c r="K49" i="6"/>
  <c r="D33" i="6"/>
  <c r="P62" i="6"/>
  <c r="W54" i="6"/>
  <c r="L79" i="6"/>
  <c r="D44" i="6"/>
  <c r="Y52" i="6"/>
  <c r="U62" i="6"/>
  <c r="E24" i="6"/>
  <c r="Q85" i="6"/>
  <c r="AU112" i="6"/>
  <c r="R61" i="6"/>
  <c r="AP65" i="6"/>
  <c r="AA95" i="6"/>
  <c r="AN114" i="6"/>
  <c r="AT61" i="6"/>
  <c r="AI65" i="6"/>
  <c r="AB95" i="6"/>
  <c r="AD59" i="6"/>
  <c r="AH109" i="6"/>
  <c r="AK100" i="6"/>
  <c r="AQ89" i="6"/>
  <c r="AV82" i="6"/>
  <c r="AG112" i="6"/>
  <c r="AM107" i="6"/>
  <c r="AY103" i="6"/>
  <c r="AR100" i="6"/>
  <c r="AK96" i="6"/>
  <c r="AW92" i="6"/>
  <c r="AP89" i="6"/>
  <c r="AI86" i="6"/>
  <c r="AU82" i="6"/>
  <c r="AB65" i="6"/>
  <c r="AH113" i="6"/>
  <c r="AN109" i="6"/>
  <c r="AG106" i="6"/>
  <c r="AS102" i="6"/>
  <c r="AL99" i="6"/>
  <c r="AX94" i="6"/>
  <c r="AQ91" i="6"/>
  <c r="AJ88" i="6"/>
  <c r="AV84" i="6"/>
  <c r="AO81" i="6"/>
  <c r="AH78" i="6"/>
  <c r="AT74" i="6"/>
  <c r="AM71" i="6"/>
  <c r="C47" i="6"/>
  <c r="AX111" i="6"/>
  <c r="AP108" i="6"/>
  <c r="AI105" i="6"/>
  <c r="AU101" i="6"/>
  <c r="AN97" i="6"/>
  <c r="AG94" i="6"/>
  <c r="AS90" i="6"/>
  <c r="AL87" i="6"/>
  <c r="AX83" i="6"/>
  <c r="AW60" i="6"/>
  <c r="AO115" i="6"/>
  <c r="AQ110" i="6"/>
  <c r="AJ107" i="6"/>
  <c r="AV103" i="6"/>
  <c r="AO100" i="6"/>
  <c r="AH96" i="6"/>
  <c r="AT92" i="6"/>
  <c r="AM89" i="6"/>
  <c r="C63" i="6"/>
  <c r="AV111" i="6"/>
  <c r="AN108" i="6"/>
  <c r="AG105" i="6"/>
  <c r="AS101" i="6"/>
  <c r="AL97" i="6"/>
  <c r="AX93" i="6"/>
  <c r="AQ90" i="6"/>
  <c r="AJ87" i="6"/>
  <c r="AV83" i="6"/>
  <c r="AO80" i="6"/>
  <c r="AJ61" i="6"/>
  <c r="AI115" i="6"/>
  <c r="AO110" i="6"/>
  <c r="AH107" i="6"/>
  <c r="AT103" i="6"/>
  <c r="AM100" i="6"/>
  <c r="AY95" i="6"/>
  <c r="AR92" i="6"/>
  <c r="AK89" i="6"/>
  <c r="AW85" i="6"/>
  <c r="AP82" i="6"/>
  <c r="S99" i="6"/>
  <c r="E101" i="6"/>
  <c r="I102" i="6"/>
  <c r="C81" i="6"/>
  <c r="AB100" i="6"/>
  <c r="E103" i="6"/>
  <c r="K105" i="6"/>
  <c r="Q107" i="6"/>
  <c r="W109" i="6"/>
  <c r="AC111" i="6"/>
  <c r="F114" i="6"/>
  <c r="L116" i="6"/>
  <c r="AF105" i="6"/>
  <c r="AK72" i="6"/>
  <c r="AH76" i="6"/>
  <c r="AK80" i="6"/>
  <c r="AY92" i="6"/>
  <c r="C72" i="6"/>
  <c r="H101" i="6"/>
  <c r="N103" i="6"/>
  <c r="T105" i="6"/>
  <c r="Z107" i="6"/>
  <c r="C110" i="6"/>
  <c r="H36" i="6"/>
  <c r="F48" i="6"/>
  <c r="AP59" i="6"/>
  <c r="AE55" i="6"/>
  <c r="AP51" i="6"/>
  <c r="I52" i="6"/>
  <c r="V87" i="6"/>
  <c r="N65" i="6"/>
  <c r="G62" i="6"/>
  <c r="K53" i="6"/>
  <c r="R84" i="6"/>
  <c r="R55" i="6"/>
  <c r="S63" i="6"/>
  <c r="D37" i="6"/>
  <c r="J76" i="6"/>
  <c r="AF52" i="6"/>
  <c r="AW62" i="6"/>
  <c r="E41" i="6"/>
  <c r="R85" i="6"/>
  <c r="G54" i="6"/>
  <c r="AO62" i="6"/>
  <c r="E42" i="6"/>
  <c r="M82" i="6"/>
  <c r="E43" i="6"/>
  <c r="AY106" i="6"/>
  <c r="AL96" i="6"/>
  <c r="AT88" i="6"/>
  <c r="AG55" i="6"/>
  <c r="AI111" i="6"/>
  <c r="AP106" i="6"/>
  <c r="AI103" i="6"/>
  <c r="AU99" i="6"/>
  <c r="AN95" i="6"/>
  <c r="AG92" i="6"/>
  <c r="AS88" i="6"/>
  <c r="AL85" i="6"/>
  <c r="AX81" i="6"/>
  <c r="C39" i="6"/>
  <c r="AY111" i="6"/>
  <c r="AQ108" i="6"/>
  <c r="AJ105" i="6"/>
  <c r="AV101" i="6"/>
  <c r="AO97" i="6"/>
  <c r="AH94" i="6"/>
  <c r="AT90" i="6"/>
  <c r="AM87" i="6"/>
  <c r="AY83" i="6"/>
  <c r="AR80" i="6"/>
  <c r="AK77" i="6"/>
  <c r="AW73" i="6"/>
  <c r="G57" i="6"/>
  <c r="AQ98" i="6"/>
  <c r="AG111" i="6"/>
  <c r="AS107" i="6"/>
  <c r="AL104" i="6"/>
  <c r="AX100" i="6"/>
  <c r="AQ96" i="6"/>
  <c r="AJ93" i="6"/>
  <c r="AV89" i="6"/>
  <c r="AO86" i="6"/>
  <c r="AH83" i="6"/>
  <c r="Y64" i="6"/>
  <c r="AQ113" i="6"/>
  <c r="AT109" i="6"/>
  <c r="AM106" i="6"/>
  <c r="AY102" i="6"/>
  <c r="AR99" i="6"/>
  <c r="AK95" i="6"/>
  <c r="AW91" i="6"/>
  <c r="K58" i="6"/>
  <c r="AS117" i="6"/>
  <c r="AX110" i="6"/>
  <c r="AQ107" i="6"/>
  <c r="AJ104" i="6"/>
  <c r="AV100" i="6"/>
  <c r="AY38" i="6"/>
  <c r="AY39" i="6"/>
  <c r="AY48" i="6"/>
  <c r="AY25" i="6"/>
  <c r="AY26" i="6"/>
  <c r="AY28" i="6"/>
  <c r="AF17" i="6"/>
  <c r="AO90" i="6"/>
  <c r="AV79" i="6"/>
  <c r="AT75" i="6"/>
  <c r="AW71" i="6"/>
  <c r="AF111" i="6"/>
  <c r="F116" i="6"/>
  <c r="AC113" i="6"/>
  <c r="W111" i="6"/>
  <c r="Q109" i="6"/>
  <c r="K107" i="6"/>
  <c r="E105" i="6"/>
  <c r="AB102" i="6"/>
  <c r="V100" i="6"/>
  <c r="AK111" i="6"/>
  <c r="AK86" i="6"/>
  <c r="AR78" i="6"/>
  <c r="AT73" i="6"/>
  <c r="AR69" i="6"/>
  <c r="U116" i="6"/>
  <c r="G114" i="6"/>
  <c r="V111" i="6"/>
  <c r="E108" i="6"/>
  <c r="V103" i="6"/>
  <c r="AV116" i="6"/>
  <c r="AQ76" i="6"/>
  <c r="AB116" i="6"/>
  <c r="M111" i="6"/>
  <c r="S105" i="6"/>
  <c r="G99" i="6"/>
  <c r="AC99" i="6"/>
  <c r="AO85" i="6"/>
  <c r="AI95" i="6"/>
  <c r="AK106" i="6"/>
  <c r="AR79" i="6"/>
  <c r="AH93" i="6"/>
  <c r="T85" i="6"/>
  <c r="AL114" i="6"/>
  <c r="AT104" i="6"/>
  <c r="AN84" i="6"/>
  <c r="AO112" i="6"/>
  <c r="AQ103" i="6"/>
  <c r="Z89" i="6"/>
  <c r="S84" i="6"/>
  <c r="C56" i="6"/>
  <c r="AY46" i="6"/>
  <c r="AY47" i="6"/>
  <c r="AY56" i="6"/>
  <c r="AY33" i="6"/>
  <c r="AY34" i="6"/>
  <c r="AY36" i="6"/>
  <c r="AE97" i="6"/>
  <c r="AH88" i="6"/>
  <c r="AK79" i="6"/>
  <c r="AK75" i="6"/>
  <c r="AN71" i="6"/>
  <c r="AE99" i="6"/>
  <c r="AA115" i="6"/>
  <c r="U113" i="6"/>
  <c r="O111" i="6"/>
  <c r="I109" i="6"/>
  <c r="C107" i="6"/>
  <c r="Z104" i="6"/>
  <c r="T102" i="6"/>
  <c r="N100" i="6"/>
  <c r="AW107" i="6"/>
  <c r="AQ84" i="6"/>
  <c r="AQ77" i="6"/>
  <c r="AK73" i="6"/>
  <c r="AJ69" i="6"/>
  <c r="M116" i="6"/>
  <c r="AB113" i="6"/>
  <c r="N111" i="6"/>
  <c r="R107" i="6"/>
  <c r="F103" i="6"/>
  <c r="AT100" i="6"/>
  <c r="AH75" i="6"/>
  <c r="T116" i="6"/>
  <c r="J110" i="6"/>
  <c r="X104" i="6"/>
  <c r="C73" i="6"/>
  <c r="C84" i="6"/>
  <c r="AT86" i="6"/>
  <c r="AQ95" i="6"/>
  <c r="AS106" i="6"/>
  <c r="AG80" i="6"/>
  <c r="AP93" i="6"/>
  <c r="AN52" i="6"/>
  <c r="F63" i="6"/>
  <c r="AH108" i="6"/>
  <c r="AU87" i="6"/>
  <c r="E59" i="6"/>
  <c r="AX106" i="6"/>
  <c r="E34" i="6"/>
  <c r="E48" i="6"/>
  <c r="AQ50" i="6"/>
  <c r="AY54" i="6"/>
  <c r="AY55" i="6"/>
  <c r="AY64" i="6"/>
  <c r="AY41" i="6"/>
  <c r="AY42" i="6"/>
  <c r="AY44" i="6"/>
  <c r="AS111" i="6"/>
  <c r="AN86" i="6"/>
  <c r="AS78" i="6"/>
  <c r="AU74" i="6"/>
  <c r="AX70" i="6"/>
  <c r="Y117" i="6"/>
  <c r="S115" i="6"/>
  <c r="M113" i="6"/>
  <c r="G111" i="6"/>
  <c r="AD108" i="6"/>
  <c r="X106" i="6"/>
  <c r="R104" i="6"/>
  <c r="L102" i="6"/>
  <c r="F100" i="6"/>
  <c r="AP104" i="6"/>
  <c r="AW82" i="6"/>
  <c r="AH77" i="6"/>
  <c r="AU72" i="6"/>
  <c r="AF104" i="6"/>
  <c r="E116" i="6"/>
  <c r="T113" i="6"/>
  <c r="F111" i="6"/>
  <c r="J107" i="6"/>
  <c r="AA102" i="6"/>
  <c r="AM96" i="6"/>
  <c r="AJ73" i="6"/>
  <c r="Y115" i="6"/>
  <c r="AE109" i="6"/>
  <c r="U103" i="6"/>
  <c r="C97" i="6"/>
  <c r="P100" i="6"/>
  <c r="AN88" i="6"/>
  <c r="AV96" i="6"/>
  <c r="AR109" i="6"/>
  <c r="AY82" i="6"/>
  <c r="AO96" i="6"/>
  <c r="AL92" i="6"/>
  <c r="AP83" i="6"/>
  <c r="AO111" i="6"/>
  <c r="AI91" i="6"/>
  <c r="AM82" i="6"/>
  <c r="AQ111" i="6"/>
  <c r="M62" i="6"/>
  <c r="K63" i="6"/>
  <c r="N50" i="6"/>
  <c r="AY24" i="6"/>
  <c r="AY62" i="6"/>
  <c r="AY63" i="6"/>
  <c r="L17" i="6"/>
  <c r="AY49" i="6"/>
  <c r="AY50" i="6"/>
  <c r="AY52" i="6"/>
  <c r="AL108" i="6"/>
  <c r="AT84" i="6"/>
  <c r="AI78" i="6"/>
  <c r="AK74" i="6"/>
  <c r="AP70" i="6"/>
  <c r="Q117" i="6"/>
  <c r="K115" i="6"/>
  <c r="E113" i="6"/>
  <c r="AB110" i="6"/>
  <c r="V108" i="6"/>
  <c r="P106" i="6"/>
  <c r="J104" i="6"/>
  <c r="D102" i="6"/>
  <c r="Y99" i="6"/>
  <c r="AI101" i="6"/>
  <c r="AR81" i="6"/>
  <c r="AR76" i="6"/>
  <c r="AL72" i="6"/>
  <c r="AF112" i="6"/>
  <c r="Z115" i="6"/>
  <c r="L113" i="6"/>
  <c r="S110" i="6"/>
  <c r="G106" i="6"/>
  <c r="X101" i="6"/>
  <c r="AS87" i="6"/>
  <c r="AT72" i="6"/>
  <c r="V114" i="6"/>
  <c r="G109" i="6"/>
  <c r="M103" i="6"/>
  <c r="D103" i="6"/>
  <c r="C85" i="6"/>
  <c r="AV88" i="6"/>
  <c r="AP99" i="6"/>
  <c r="AG110" i="6"/>
  <c r="AN83" i="6"/>
  <c r="AW96" i="6"/>
  <c r="AS95" i="6"/>
  <c r="AW86" i="6"/>
  <c r="V90" i="6"/>
  <c r="AP94" i="6"/>
  <c r="AT85" i="6"/>
  <c r="AK45" i="6"/>
  <c r="Y50" i="6"/>
  <c r="L53" i="6"/>
  <c r="L54" i="6"/>
  <c r="C481" i="2"/>
  <c r="C472" i="2"/>
  <c r="C473" i="2" s="1"/>
  <c r="C474" i="2" s="1"/>
  <c r="AB45" i="1"/>
  <c r="U39" i="1"/>
  <c r="AB44" i="1"/>
  <c r="T39" i="1"/>
  <c r="U40" i="1"/>
  <c r="S63" i="1"/>
  <c r="T40" i="1"/>
  <c r="R63" i="1"/>
  <c r="S50" i="1"/>
  <c r="Q63" i="1"/>
  <c r="R50" i="1"/>
  <c r="Q50" i="1"/>
  <c r="AC44" i="1"/>
  <c r="AC45" i="1"/>
  <c r="AC55" i="1"/>
  <c r="U19" i="1"/>
  <c r="T19" i="1"/>
  <c r="S53" i="1"/>
  <c r="R53" i="1"/>
  <c r="Q53" i="1"/>
  <c r="AB55" i="1"/>
  <c r="AB54" i="1"/>
  <c r="U42" i="1"/>
  <c r="T42" i="1"/>
  <c r="S22" i="1"/>
  <c r="R22" i="1"/>
  <c r="Q22" i="1"/>
  <c r="AC54" i="1"/>
  <c r="AC53" i="1"/>
  <c r="AB53" i="1"/>
  <c r="U43" i="1"/>
  <c r="T43" i="1"/>
  <c r="S21" i="1"/>
  <c r="R21" i="1"/>
  <c r="Q21" i="1"/>
  <c r="R37" i="1"/>
  <c r="U10" i="1"/>
  <c r="Q37" i="1"/>
  <c r="T10" i="1"/>
  <c r="S28" i="1"/>
  <c r="AC51" i="1"/>
  <c r="R28" i="1"/>
  <c r="Q28" i="1"/>
  <c r="AB51" i="1"/>
  <c r="U24" i="1"/>
  <c r="T24" i="1"/>
  <c r="AC50" i="1"/>
  <c r="S37" i="1"/>
  <c r="AB50" i="1"/>
  <c r="AB47" i="1"/>
  <c r="T11" i="1"/>
  <c r="U11" i="1"/>
  <c r="S13" i="1"/>
  <c r="R13" i="1"/>
  <c r="Q13" i="1"/>
  <c r="AC47" i="1"/>
  <c r="T13" i="1"/>
  <c r="Q12" i="1"/>
  <c r="AC49" i="1"/>
  <c r="T45" i="1"/>
  <c r="U13" i="1"/>
  <c r="R12" i="1"/>
  <c r="AB49" i="1"/>
  <c r="S12" i="1"/>
  <c r="AC52" i="1"/>
  <c r="S29" i="1"/>
  <c r="U45" i="1"/>
  <c r="Q29" i="1"/>
  <c r="AB52" i="1"/>
  <c r="R29" i="1"/>
  <c r="Q52" i="1"/>
  <c r="U17" i="1"/>
  <c r="AB43" i="1"/>
  <c r="T17" i="1"/>
  <c r="S52" i="1"/>
  <c r="R52" i="1"/>
  <c r="AC43" i="1"/>
  <c r="G20" i="1"/>
  <c r="AC41" i="1"/>
  <c r="F20" i="1"/>
  <c r="H20" i="1"/>
  <c r="AB41" i="1"/>
  <c r="U59" i="1"/>
  <c r="T59" i="1"/>
  <c r="S20" i="1"/>
  <c r="R20" i="1"/>
  <c r="Q20" i="1"/>
  <c r="S19" i="1"/>
  <c r="T64" i="1"/>
  <c r="AC60" i="1"/>
  <c r="U64" i="1"/>
  <c r="AB60" i="1"/>
  <c r="Q19" i="1"/>
  <c r="R19" i="1"/>
  <c r="AD2" i="1"/>
  <c r="AD40" i="1" s="1"/>
  <c r="C343" i="2"/>
  <c r="C334" i="2"/>
  <c r="C335" i="2" s="1"/>
  <c r="C336" i="2" s="1"/>
  <c r="D20" i="6"/>
  <c r="C324" i="2"/>
  <c r="C325" i="2" s="1"/>
  <c r="C326" i="2" s="1"/>
  <c r="C327" i="2" s="1"/>
  <c r="C328" i="2" s="1"/>
  <c r="C329" i="2" s="1"/>
  <c r="C330" i="2" s="1"/>
  <c r="C331" i="2" s="1"/>
  <c r="C332" i="2" s="1"/>
  <c r="C285" i="2"/>
  <c r="L93" i="6"/>
  <c r="C344" i="2"/>
  <c r="C345" i="2" s="1"/>
  <c r="C346" i="2" s="1"/>
  <c r="C347" i="2" s="1"/>
  <c r="C348" i="2" s="1"/>
  <c r="C349" i="2" s="1"/>
  <c r="C350" i="2" s="1"/>
  <c r="C351" i="2" s="1"/>
  <c r="C352" i="2" s="1"/>
  <c r="C83" i="2"/>
  <c r="P94" i="6"/>
  <c r="S77" i="6"/>
  <c r="I82" i="6"/>
  <c r="F97" i="6"/>
  <c r="W71" i="6"/>
  <c r="K98" i="6"/>
  <c r="AF77" i="6"/>
  <c r="E80" i="6"/>
  <c r="AD72" i="6"/>
  <c r="X75" i="6"/>
  <c r="K79" i="6"/>
  <c r="AA85" i="6"/>
  <c r="U78" i="6"/>
  <c r="U77" i="6"/>
  <c r="M76" i="6"/>
  <c r="Z69" i="6"/>
  <c r="K76" i="6"/>
  <c r="N70" i="6"/>
  <c r="I79" i="6"/>
  <c r="Y82" i="6"/>
  <c r="O93" i="6"/>
  <c r="Q88" i="6"/>
  <c r="F75" i="6"/>
  <c r="T98" i="6"/>
  <c r="U98" i="6"/>
  <c r="S71" i="6"/>
  <c r="Q76" i="6"/>
  <c r="I84" i="6"/>
  <c r="AE92" i="6"/>
  <c r="D87" i="6"/>
  <c r="R93" i="6"/>
  <c r="H96" i="6"/>
  <c r="Z72" i="6"/>
  <c r="E84" i="6"/>
  <c r="R92" i="6"/>
  <c r="G82" i="6"/>
  <c r="N84" i="6"/>
  <c r="N87" i="6"/>
  <c r="N78" i="6"/>
  <c r="G96" i="6"/>
  <c r="G83" i="6"/>
  <c r="AC90" i="6"/>
  <c r="X77" i="6"/>
  <c r="S98" i="6"/>
  <c r="AD81" i="6"/>
  <c r="AA79" i="6"/>
  <c r="H80" i="6"/>
  <c r="V77" i="6"/>
  <c r="AA97" i="6"/>
  <c r="K89" i="6"/>
  <c r="AF79" i="6"/>
  <c r="Z87" i="6"/>
  <c r="D81" i="6"/>
  <c r="O98" i="6"/>
  <c r="N77" i="6"/>
  <c r="D76" i="6"/>
  <c r="AA91" i="6"/>
  <c r="R83" i="6"/>
  <c r="AA69" i="6"/>
  <c r="V84" i="6"/>
  <c r="AE76" i="6"/>
  <c r="X88" i="6"/>
  <c r="O84" i="6"/>
  <c r="R98" i="6"/>
  <c r="Y87" i="6"/>
  <c r="P73" i="6"/>
  <c r="F82" i="6"/>
  <c r="Y81" i="6"/>
  <c r="I78" i="6"/>
  <c r="F94" i="6"/>
  <c r="O91" i="6"/>
  <c r="AE77" i="6"/>
  <c r="N88" i="6"/>
  <c r="M87" i="6"/>
  <c r="H73" i="6"/>
  <c r="S74" i="6"/>
  <c r="AE82" i="6"/>
  <c r="H81" i="6"/>
  <c r="AC80" i="6"/>
  <c r="AC79" i="6"/>
  <c r="AD88" i="6"/>
  <c r="E81" i="6"/>
  <c r="E70" i="6"/>
  <c r="W97" i="6"/>
  <c r="J73" i="6"/>
  <c r="T90" i="6"/>
  <c r="AB84" i="6"/>
  <c r="AB86" i="6"/>
  <c r="AD75" i="6"/>
  <c r="G81" i="6"/>
  <c r="AB79" i="6"/>
  <c r="U91" i="6"/>
  <c r="H71" i="6"/>
  <c r="AE75" i="6"/>
  <c r="Y83" i="6"/>
  <c r="K91" i="6"/>
  <c r="H97" i="6"/>
  <c r="AC75" i="6"/>
  <c r="G79" i="6"/>
  <c r="Q80" i="6"/>
  <c r="AE73" i="6"/>
  <c r="O69" i="6"/>
  <c r="I91" i="6"/>
  <c r="N69" i="6"/>
  <c r="AB97" i="6"/>
  <c r="X70" i="6"/>
  <c r="W72" i="6"/>
  <c r="V96" i="6"/>
  <c r="Y79" i="6"/>
  <c r="P71" i="6"/>
  <c r="S92" i="6"/>
  <c r="L96" i="6"/>
  <c r="N94" i="6"/>
  <c r="R90" i="6"/>
  <c r="E89" i="6"/>
  <c r="G87" i="6"/>
  <c r="E86" i="6"/>
  <c r="R14" i="5"/>
  <c r="F78" i="6"/>
  <c r="K96" i="6"/>
  <c r="D80" i="6"/>
  <c r="S70" i="6"/>
  <c r="E95" i="6"/>
  <c r="AC82" i="6"/>
  <c r="T93" i="6"/>
  <c r="Y77" i="6"/>
  <c r="U71" i="6"/>
  <c r="M96" i="6"/>
  <c r="L95" i="6"/>
  <c r="N86" i="6"/>
  <c r="AE70" i="6"/>
  <c r="AF89" i="6"/>
  <c r="I80" i="6"/>
  <c r="O88" i="6"/>
  <c r="G92" i="6"/>
  <c r="G74" i="6"/>
  <c r="N89" i="6"/>
  <c r="AC92" i="6"/>
  <c r="U76" i="6"/>
  <c r="AA78" i="6"/>
  <c r="V85" i="6"/>
  <c r="Z96" i="6"/>
  <c r="V98" i="6"/>
  <c r="R74" i="6"/>
  <c r="W78" i="6"/>
  <c r="X78" i="6"/>
  <c r="L72" i="6"/>
  <c r="Q94" i="6"/>
  <c r="AC74" i="6"/>
  <c r="J85" i="6"/>
  <c r="Z95" i="6"/>
  <c r="S73" i="6"/>
  <c r="P8" i="3"/>
  <c r="O70" i="6"/>
  <c r="W94" i="6"/>
  <c r="N79" i="6"/>
  <c r="R75" i="6"/>
  <c r="R87" i="6"/>
  <c r="V97" i="6"/>
  <c r="W81" i="6"/>
  <c r="P98" i="6"/>
  <c r="J79" i="6"/>
  <c r="I93" i="6"/>
  <c r="K97" i="6"/>
  <c r="AF82" i="6"/>
  <c r="U80" i="6"/>
  <c r="AA90" i="6"/>
  <c r="Z81" i="6"/>
  <c r="AF73" i="6"/>
  <c r="F77" i="6"/>
  <c r="G77" i="6"/>
  <c r="L86" i="6"/>
  <c r="AF94" i="6"/>
  <c r="AA71" i="6"/>
  <c r="I72" i="6"/>
  <c r="V93" i="6"/>
  <c r="F90" i="6"/>
  <c r="AD76" i="6"/>
  <c r="G93" i="6"/>
  <c r="E91" i="6"/>
  <c r="R69" i="6"/>
  <c r="O75" i="6"/>
  <c r="D93" i="6"/>
  <c r="U90" i="6"/>
  <c r="W96" i="6"/>
  <c r="N85" i="6"/>
  <c r="AF78" i="6"/>
  <c r="AE89" i="6"/>
  <c r="T95" i="6"/>
  <c r="O85" i="6"/>
  <c r="O87" i="6"/>
  <c r="N95" i="6"/>
  <c r="H69" i="6"/>
  <c r="D91" i="6"/>
  <c r="AF87" i="6"/>
  <c r="T83" i="6"/>
  <c r="K81" i="6"/>
  <c r="AD86" i="6"/>
  <c r="F76" i="6"/>
  <c r="N71" i="6"/>
  <c r="AA81" i="6"/>
  <c r="U86" i="6"/>
  <c r="D77" i="6"/>
  <c r="U97" i="6"/>
  <c r="X84" i="6"/>
  <c r="W82" i="6"/>
  <c r="Y84" i="6"/>
  <c r="F79" i="6"/>
  <c r="V79" i="6"/>
  <c r="AB87" i="6"/>
  <c r="K74" i="6"/>
  <c r="F84" i="6"/>
  <c r="X83" i="6"/>
  <c r="V73" i="6"/>
  <c r="T76" i="6"/>
  <c r="O97" i="6"/>
  <c r="Q97" i="6"/>
  <c r="AA83" i="6"/>
  <c r="I90" i="6"/>
  <c r="R95" i="6"/>
  <c r="N74" i="6"/>
  <c r="P97" i="6"/>
  <c r="P80" i="6"/>
  <c r="I71" i="6"/>
  <c r="M94" i="6"/>
  <c r="H82" i="6"/>
  <c r="V81" i="6"/>
  <c r="W77" i="6"/>
  <c r="E90" i="6"/>
  <c r="I85" i="6"/>
  <c r="M72" i="6"/>
  <c r="R81" i="6"/>
  <c r="L70" i="6"/>
  <c r="T82" i="6"/>
  <c r="Q82" i="6"/>
  <c r="M69" i="6"/>
  <c r="Y78" i="6"/>
  <c r="I97" i="6"/>
  <c r="M81" i="6"/>
  <c r="T78" i="6"/>
  <c r="Q74" i="6"/>
  <c r="S79" i="6"/>
  <c r="AC89" i="6"/>
  <c r="L77" i="6"/>
  <c r="G89" i="6"/>
  <c r="D89" i="6"/>
  <c r="K69" i="6"/>
  <c r="M78" i="6"/>
  <c r="X87" i="6"/>
  <c r="V92" i="6"/>
  <c r="L94" i="6"/>
  <c r="S75" i="6"/>
  <c r="AA72" i="6"/>
  <c r="D95" i="6"/>
  <c r="W85" i="6"/>
  <c r="AA86" i="6"/>
  <c r="AC81" i="6"/>
  <c r="M71" i="6"/>
  <c r="R97" i="6"/>
  <c r="AD73" i="6"/>
  <c r="Q95" i="6"/>
  <c r="H84" i="6"/>
  <c r="AF71" i="6"/>
  <c r="F96" i="6"/>
  <c r="H72" i="6"/>
  <c r="N91" i="6"/>
  <c r="W75" i="6"/>
  <c r="AB83" i="6"/>
  <c r="I98" i="6"/>
  <c r="I76" i="6"/>
  <c r="AC87" i="6"/>
  <c r="I69" i="6"/>
  <c r="AA74" i="6"/>
  <c r="P75" i="6"/>
  <c r="K90" i="6"/>
  <c r="Y74" i="6"/>
  <c r="S93" i="6"/>
  <c r="S83" i="6"/>
  <c r="G84" i="6"/>
  <c r="Z85" i="6"/>
  <c r="V80" i="6"/>
  <c r="H75" i="6"/>
  <c r="Z70" i="6"/>
  <c r="S97" i="6"/>
  <c r="F81" i="6"/>
  <c r="K73" i="6"/>
  <c r="AA96" i="6"/>
  <c r="AD78" i="6"/>
  <c r="AE90" i="6"/>
  <c r="N92" i="6"/>
  <c r="AE95" i="6"/>
  <c r="M86" i="6"/>
  <c r="O86" i="6"/>
  <c r="P79" i="6"/>
  <c r="AF92" i="6"/>
  <c r="AF72" i="6"/>
  <c r="V69" i="6"/>
  <c r="K88" i="6"/>
  <c r="P76" i="6"/>
  <c r="AE74" i="6"/>
  <c r="AD70" i="6"/>
  <c r="V4" i="5"/>
  <c r="Q87" i="6"/>
  <c r="S72" i="6"/>
  <c r="P72" i="6"/>
  <c r="P74" i="6"/>
  <c r="D79" i="6"/>
  <c r="V71" i="6"/>
  <c r="U96" i="6"/>
  <c r="AF70" i="6"/>
  <c r="N73" i="6"/>
  <c r="U75" i="6"/>
  <c r="J82" i="6"/>
  <c r="H88" i="6"/>
  <c r="D88" i="6"/>
  <c r="AC71" i="6"/>
  <c r="X92" i="6"/>
  <c r="L75" i="6"/>
  <c r="H87" i="6"/>
  <c r="K94" i="6"/>
  <c r="N97" i="6"/>
  <c r="AE87" i="6"/>
  <c r="Q89" i="6"/>
  <c r="Q77" i="6"/>
  <c r="AC83" i="6"/>
  <c r="F73" i="6"/>
  <c r="AD79" i="6"/>
  <c r="H70" i="6"/>
  <c r="Q75" i="6"/>
  <c r="T97" i="6"/>
  <c r="K85" i="6"/>
  <c r="O79" i="6"/>
  <c r="M95" i="6"/>
  <c r="Z77" i="6"/>
  <c r="AB69" i="6"/>
  <c r="G95" i="6"/>
  <c r="G80" i="6"/>
  <c r="T91" i="6"/>
  <c r="O71" i="6"/>
  <c r="R89" i="6"/>
  <c r="T71" i="6"/>
  <c r="O77" i="6"/>
  <c r="AB96" i="6"/>
  <c r="F74" i="6"/>
  <c r="T79" i="6"/>
  <c r="M70" i="6"/>
  <c r="S88" i="6"/>
  <c r="O96" i="6"/>
  <c r="J78" i="6"/>
  <c r="N72" i="6"/>
  <c r="Q73" i="6"/>
  <c r="O78" i="6"/>
  <c r="W80" i="6"/>
  <c r="V8" i="5"/>
  <c r="S3" i="5"/>
  <c r="P9" i="3"/>
  <c r="Z15" i="5"/>
  <c r="K18" i="5"/>
  <c r="R2" i="5"/>
  <c r="U2" i="5"/>
  <c r="S4" i="3"/>
  <c r="N3" i="5"/>
  <c r="AB9" i="5"/>
  <c r="X11" i="5"/>
  <c r="R4" i="5"/>
  <c r="U21" i="5"/>
  <c r="J75" i="6"/>
  <c r="J97" i="6"/>
  <c r="AC70" i="6"/>
  <c r="D82" i="6"/>
  <c r="L98" i="6"/>
  <c r="P93" i="6"/>
  <c r="O89" i="6"/>
  <c r="S80" i="6"/>
  <c r="AC98" i="6"/>
  <c r="T94" i="6"/>
  <c r="M19" i="5"/>
  <c r="Z19" i="5"/>
  <c r="Q19" i="5"/>
  <c r="AD11" i="5"/>
  <c r="S11" i="5"/>
  <c r="O2" i="3"/>
  <c r="M18" i="5"/>
  <c r="R10" i="3"/>
  <c r="Q14" i="5"/>
  <c r="W2" i="5"/>
  <c r="T6" i="5"/>
  <c r="S20" i="5"/>
  <c r="L8" i="3"/>
  <c r="K70" i="6"/>
  <c r="F98" i="6"/>
  <c r="D69" i="6"/>
  <c r="Z74" i="6"/>
  <c r="AA77" i="6"/>
  <c r="Y7" i="5"/>
  <c r="O5" i="5"/>
  <c r="S7" i="5"/>
  <c r="Q4" i="5"/>
  <c r="L11" i="5"/>
  <c r="T4" i="3"/>
  <c r="Y13" i="5"/>
  <c r="Y10" i="5"/>
  <c r="M8" i="5"/>
  <c r="W17" i="5"/>
  <c r="W7" i="5"/>
  <c r="L12" i="5"/>
  <c r="AC6" i="5"/>
  <c r="V76" i="6"/>
  <c r="L74" i="6"/>
  <c r="W79" i="6"/>
  <c r="AF91" i="6"/>
  <c r="W93" i="6"/>
  <c r="U70" i="6"/>
  <c r="AA87" i="6"/>
  <c r="Z76" i="6"/>
  <c r="E74" i="6"/>
  <c r="G88" i="6"/>
  <c r="X85" i="6"/>
  <c r="AF95" i="6"/>
  <c r="P96" i="6"/>
  <c r="J93" i="6"/>
  <c r="AB82" i="6"/>
  <c r="D96" i="6"/>
  <c r="E87" i="6"/>
  <c r="P88" i="6"/>
  <c r="P69" i="6"/>
  <c r="I83" i="6"/>
  <c r="AC84" i="6"/>
  <c r="U83" i="6"/>
  <c r="H79" i="6"/>
  <c r="AF80" i="6"/>
  <c r="D84" i="6"/>
  <c r="V86" i="6"/>
  <c r="G85" i="6"/>
  <c r="AB98" i="6"/>
  <c r="R96" i="6"/>
  <c r="AC88" i="6"/>
  <c r="M77" i="6"/>
  <c r="J86" i="6"/>
  <c r="T69" i="6"/>
  <c r="AF88" i="6"/>
  <c r="AD87" i="6"/>
  <c r="U79" i="6"/>
  <c r="R77" i="6"/>
  <c r="Z79" i="6"/>
  <c r="U14" i="5"/>
  <c r="AC4" i="5"/>
  <c r="Q3" i="5"/>
  <c r="AD5" i="5"/>
  <c r="L15" i="5"/>
  <c r="V3" i="5"/>
  <c r="L6" i="5"/>
  <c r="Z2" i="5"/>
  <c r="L20" i="5"/>
  <c r="R8" i="5"/>
  <c r="K9" i="5"/>
  <c r="P17" i="5"/>
  <c r="V72" i="6"/>
  <c r="J90" i="6"/>
  <c r="Z88" i="6"/>
  <c r="E94" i="6"/>
  <c r="G71" i="6"/>
  <c r="AA82" i="6"/>
  <c r="J70" i="6"/>
  <c r="O74" i="6"/>
  <c r="T88" i="6"/>
  <c r="I70" i="6"/>
  <c r="U89" i="6"/>
  <c r="AD90" i="6"/>
  <c r="O18" i="5"/>
  <c r="N2" i="5"/>
  <c r="M5" i="5"/>
  <c r="AA13" i="5"/>
  <c r="AB17" i="5"/>
  <c r="V6" i="5"/>
  <c r="AC5" i="5"/>
  <c r="F86" i="6"/>
  <c r="AB80" i="6"/>
  <c r="L91" i="6"/>
  <c r="M73" i="6"/>
  <c r="Y75" i="6"/>
  <c r="D22" i="6"/>
  <c r="W95" i="6"/>
  <c r="AC77" i="6"/>
  <c r="AE79" i="6"/>
  <c r="X96" i="6"/>
  <c r="AB70" i="6"/>
  <c r="K71" i="6"/>
  <c r="S94" i="6"/>
  <c r="Z83" i="6"/>
  <c r="J89" i="6"/>
  <c r="AC86" i="6"/>
  <c r="F83" i="6"/>
  <c r="L85" i="6"/>
  <c r="Q93" i="6"/>
  <c r="O90" i="6"/>
  <c r="W92" i="6"/>
  <c r="O94" i="6"/>
  <c r="AF69" i="6"/>
  <c r="E76" i="6"/>
  <c r="V74" i="6"/>
  <c r="M93" i="6"/>
  <c r="E96" i="6"/>
  <c r="AF93" i="6"/>
  <c r="R82" i="6"/>
  <c r="T19" i="5"/>
  <c r="AC2" i="5"/>
  <c r="Z14" i="5"/>
  <c r="T3" i="5"/>
  <c r="L17" i="5"/>
  <c r="M7" i="3"/>
  <c r="Y11" i="5"/>
  <c r="Q71" i="6"/>
  <c r="P95" i="6"/>
  <c r="AE86" i="6"/>
  <c r="H83" i="6"/>
  <c r="D97" i="6"/>
  <c r="AD84" i="6"/>
  <c r="E93" i="6"/>
  <c r="M83" i="6"/>
  <c r="Z75" i="6"/>
  <c r="U94" i="6"/>
  <c r="I89" i="6"/>
  <c r="F70" i="6"/>
  <c r="U84" i="6"/>
  <c r="L76" i="6"/>
  <c r="N96" i="6"/>
  <c r="U74" i="6"/>
  <c r="P70" i="6"/>
  <c r="W98" i="6"/>
  <c r="Y88" i="6"/>
  <c r="E92" i="6"/>
  <c r="N93" i="6"/>
  <c r="M9" i="5"/>
  <c r="AA19" i="5"/>
  <c r="X13" i="5"/>
  <c r="AA10" i="5"/>
  <c r="O4" i="3"/>
  <c r="L69" i="6"/>
  <c r="S91" i="6"/>
  <c r="X69" i="6"/>
  <c r="N90" i="6"/>
  <c r="S87" i="6"/>
  <c r="AA98" i="6"/>
  <c r="U81" i="6"/>
  <c r="D94" i="6"/>
  <c r="U82" i="6"/>
  <c r="H89" i="6"/>
  <c r="AA89" i="6"/>
  <c r="R76" i="6"/>
  <c r="Z73" i="6"/>
  <c r="N83" i="6"/>
  <c r="L87" i="6"/>
  <c r="J80" i="6"/>
  <c r="AB91" i="6"/>
  <c r="Q78" i="6"/>
  <c r="Z82" i="6"/>
  <c r="AD74" i="6"/>
  <c r="G86" i="6"/>
  <c r="Y76" i="6"/>
  <c r="E82" i="6"/>
  <c r="AC72" i="6"/>
  <c r="G94" i="6"/>
  <c r="AC69" i="6"/>
  <c r="AF86" i="6"/>
  <c r="D90" i="6"/>
  <c r="X76" i="6"/>
  <c r="AD77" i="6"/>
  <c r="V83" i="6"/>
  <c r="M88" i="6"/>
  <c r="D73" i="6"/>
  <c r="Z80" i="6"/>
  <c r="AA80" i="6"/>
  <c r="R17" i="5"/>
  <c r="N16" i="5"/>
  <c r="X14" i="5"/>
  <c r="V9" i="5"/>
  <c r="S3" i="3"/>
  <c r="N11" i="3"/>
  <c r="T2" i="5"/>
  <c r="AB7" i="5"/>
  <c r="M9" i="3"/>
  <c r="AC18" i="5"/>
  <c r="T9" i="5"/>
  <c r="K82" i="6"/>
  <c r="T70" i="6"/>
  <c r="D78" i="6"/>
  <c r="AB74" i="6"/>
  <c r="Y97" i="6"/>
  <c r="X74" i="6"/>
  <c r="L71" i="6"/>
  <c r="Y80" i="6"/>
  <c r="D74" i="6"/>
  <c r="Z71" i="6"/>
  <c r="R94" i="6"/>
  <c r="X71" i="6"/>
  <c r="F87" i="6"/>
  <c r="F93" i="6"/>
  <c r="S78" i="6"/>
  <c r="AE93" i="6"/>
  <c r="AD69" i="6"/>
  <c r="J87" i="6"/>
  <c r="G90" i="6"/>
  <c r="I96" i="6"/>
  <c r="I77" i="6"/>
  <c r="H86" i="6"/>
  <c r="T72" i="6"/>
  <c r="Q72" i="6"/>
  <c r="W69" i="6"/>
  <c r="T81" i="6"/>
  <c r="J83" i="6"/>
  <c r="D21" i="6"/>
  <c r="AE78" i="6"/>
  <c r="Q96" i="6"/>
  <c r="F71" i="6"/>
  <c r="AA70" i="6"/>
  <c r="AA88" i="6"/>
  <c r="W74" i="6"/>
  <c r="E83" i="6"/>
  <c r="V75" i="6"/>
  <c r="D72" i="6"/>
  <c r="T73" i="6"/>
  <c r="P91" i="6"/>
  <c r="H92" i="6"/>
  <c r="I92" i="6"/>
  <c r="Z78" i="6"/>
  <c r="AB71" i="6"/>
  <c r="AC13" i="5"/>
  <c r="T9" i="3"/>
  <c r="W11" i="5"/>
  <c r="W10" i="5"/>
  <c r="AB8" i="5"/>
  <c r="AB20" i="5"/>
  <c r="W87" i="6"/>
  <c r="D92" i="6"/>
  <c r="J88" i="6"/>
  <c r="R91" i="6"/>
  <c r="I81" i="6"/>
  <c r="J81" i="6"/>
  <c r="AB89" i="6"/>
  <c r="X86" i="6"/>
  <c r="AB85" i="6"/>
  <c r="O92" i="6"/>
  <c r="K95" i="6"/>
  <c r="O95" i="6"/>
  <c r="X95" i="6"/>
  <c r="E73" i="6"/>
  <c r="F92" i="6"/>
  <c r="E77" i="6"/>
  <c r="Z84" i="6"/>
  <c r="G72" i="6"/>
  <c r="M92" i="6"/>
  <c r="AB88" i="6"/>
  <c r="Q98" i="6"/>
  <c r="K83" i="6"/>
  <c r="U92" i="6"/>
  <c r="AD85" i="6"/>
  <c r="R71" i="6"/>
  <c r="Q90" i="6"/>
  <c r="M84" i="6"/>
  <c r="E79" i="6"/>
  <c r="Q79" i="6"/>
  <c r="W73" i="6"/>
  <c r="AD83" i="6"/>
  <c r="P85" i="6"/>
  <c r="I94" i="6"/>
  <c r="Q70" i="6"/>
  <c r="X80" i="6"/>
  <c r="V82" i="6"/>
  <c r="AB78" i="6"/>
  <c r="L83" i="6"/>
  <c r="AC78" i="6"/>
  <c r="AE98" i="6"/>
  <c r="W76" i="6"/>
  <c r="V78" i="6"/>
  <c r="T89" i="6"/>
  <c r="H98" i="6"/>
  <c r="L4" i="5"/>
  <c r="M3" i="3"/>
  <c r="J69" i="6"/>
  <c r="S69" i="6"/>
  <c r="M90" i="6"/>
  <c r="L90" i="6"/>
  <c r="AD80" i="6"/>
  <c r="P87" i="6"/>
  <c r="X94" i="6"/>
  <c r="G98" i="6"/>
  <c r="T80" i="6"/>
  <c r="K75" i="6"/>
  <c r="AE83" i="6"/>
  <c r="AB10" i="5"/>
  <c r="W20" i="5"/>
  <c r="E75" i="6"/>
  <c r="V91" i="6"/>
  <c r="U73" i="6"/>
  <c r="AF90" i="6"/>
  <c r="Y72" i="6"/>
  <c r="Y71" i="6"/>
  <c r="X79" i="6"/>
  <c r="S90" i="6"/>
  <c r="AC85" i="6"/>
  <c r="J74" i="6"/>
  <c r="T75" i="6"/>
  <c r="H94" i="6"/>
  <c r="U93" i="6"/>
  <c r="N98" i="6"/>
  <c r="X82" i="6"/>
  <c r="F95" i="6"/>
  <c r="I86" i="6"/>
  <c r="K72" i="6"/>
  <c r="U95" i="6"/>
  <c r="R21" i="5"/>
  <c r="L7" i="3"/>
  <c r="O76" i="6"/>
  <c r="Y95" i="6"/>
  <c r="AF84" i="6"/>
  <c r="J77" i="6"/>
  <c r="H95" i="6"/>
  <c r="AC76" i="6"/>
  <c r="R72" i="6"/>
  <c r="AF85" i="6"/>
  <c r="E78" i="6"/>
  <c r="I73" i="6"/>
  <c r="AE85" i="6"/>
  <c r="J84" i="6"/>
  <c r="AB81" i="6"/>
  <c r="AB76" i="6"/>
  <c r="F85" i="6"/>
  <c r="AE91" i="6"/>
  <c r="L81" i="6"/>
  <c r="Y94" i="6"/>
  <c r="D71" i="6"/>
  <c r="J96" i="6"/>
  <c r="L18" i="5"/>
  <c r="AE80" i="6"/>
  <c r="F69" i="6"/>
  <c r="G97" i="6"/>
  <c r="G75" i="6"/>
  <c r="M98" i="6"/>
  <c r="G76" i="6"/>
  <c r="I88" i="6"/>
  <c r="M89" i="6"/>
  <c r="AD71" i="6"/>
  <c r="AD92" i="6"/>
  <c r="V89" i="6"/>
  <c r="S82" i="6"/>
  <c r="AF83" i="6"/>
  <c r="F91" i="6"/>
  <c r="G69" i="6"/>
  <c r="K93" i="6"/>
  <c r="Q92" i="6"/>
  <c r="D86" i="6"/>
  <c r="T16" i="5"/>
  <c r="K4" i="5"/>
  <c r="P89" i="6"/>
  <c r="T74" i="6"/>
  <c r="S95" i="6"/>
  <c r="M75" i="6"/>
  <c r="K92" i="6"/>
  <c r="S76" i="6"/>
  <c r="U72" i="6"/>
  <c r="E97" i="6"/>
  <c r="Y86" i="6"/>
  <c r="X98" i="6"/>
  <c r="G91" i="6"/>
  <c r="AB73" i="6"/>
  <c r="X72" i="6"/>
  <c r="X81" i="6"/>
  <c r="H77" i="6"/>
  <c r="L97" i="6"/>
  <c r="R7" i="5"/>
  <c r="T61" i="1"/>
  <c r="Q11" i="3"/>
  <c r="S5" i="5"/>
  <c r="O13" i="5"/>
  <c r="AA9" i="5"/>
  <c r="W6" i="5"/>
  <c r="R6" i="5"/>
  <c r="AB21" i="5"/>
  <c r="AB3" i="5"/>
  <c r="S6" i="5"/>
  <c r="X7" i="5"/>
  <c r="T6" i="3"/>
  <c r="O12" i="5"/>
  <c r="Z5" i="5"/>
  <c r="Q10" i="5"/>
  <c r="K5" i="5"/>
  <c r="L6" i="3"/>
  <c r="K7" i="5"/>
  <c r="AA75" i="6"/>
  <c r="K87" i="6"/>
  <c r="M85" i="6"/>
  <c r="AE72" i="6"/>
  <c r="E88" i="6"/>
  <c r="R70" i="6"/>
  <c r="E98" i="6"/>
  <c r="H93" i="6"/>
  <c r="F80" i="6"/>
  <c r="L84" i="6"/>
  <c r="L88" i="6"/>
  <c r="L89" i="6"/>
  <c r="F89" i="6"/>
  <c r="V70" i="6"/>
  <c r="O73" i="6"/>
  <c r="N75" i="6"/>
  <c r="AD98" i="6"/>
  <c r="AF74" i="6"/>
  <c r="P86" i="6"/>
  <c r="Q86" i="6"/>
  <c r="H91" i="6"/>
  <c r="H78" i="6"/>
  <c r="H90" i="6"/>
  <c r="D83" i="6"/>
  <c r="AE94" i="6"/>
  <c r="T92" i="6"/>
  <c r="X73" i="6"/>
  <c r="AE69" i="6"/>
  <c r="W91" i="6"/>
  <c r="Z90" i="6"/>
  <c r="D85" i="6"/>
  <c r="AD94" i="6"/>
  <c r="U69" i="6"/>
  <c r="AE71" i="6"/>
  <c r="N13" i="5"/>
  <c r="L7" i="5"/>
  <c r="Y9" i="5"/>
  <c r="U16" i="5"/>
  <c r="Z6" i="5"/>
  <c r="T15" i="5"/>
  <c r="Y17" i="5"/>
  <c r="S15" i="5"/>
  <c r="T3" i="3"/>
  <c r="AC10" i="5"/>
  <c r="K6" i="5"/>
  <c r="M20" i="5"/>
  <c r="Y5" i="5"/>
  <c r="R5" i="5"/>
  <c r="X16" i="5"/>
  <c r="Q7" i="3"/>
  <c r="T54" i="1"/>
  <c r="AA11" i="5"/>
  <c r="G78" i="6"/>
  <c r="S14" i="5"/>
  <c r="AB16" i="1"/>
  <c r="Q32" i="1"/>
  <c r="U34" i="1"/>
  <c r="R38" i="1"/>
  <c r="AB31" i="1"/>
  <c r="AB7" i="1"/>
  <c r="AB46" i="1"/>
  <c r="AB11" i="1"/>
  <c r="AC10" i="1"/>
  <c r="Q41" i="1"/>
  <c r="AC19" i="1"/>
  <c r="AC6" i="1"/>
  <c r="S54" i="1"/>
  <c r="U20" i="1"/>
  <c r="R59" i="1"/>
  <c r="AB18" i="1"/>
  <c r="R51" i="1"/>
  <c r="AB5" i="1"/>
  <c r="T48" i="1"/>
  <c r="R25" i="1"/>
  <c r="S60" i="1"/>
  <c r="AB32" i="1"/>
  <c r="AC48" i="1"/>
  <c r="AD20" i="1"/>
  <c r="S56" i="1"/>
  <c r="U44" i="1"/>
  <c r="AB48" i="1"/>
  <c r="T41" i="1"/>
  <c r="U25" i="1"/>
  <c r="AC32" i="1"/>
  <c r="AC34" i="1"/>
  <c r="AD56" i="1"/>
  <c r="AB14" i="1"/>
  <c r="AB26" i="1"/>
  <c r="T44" i="1"/>
  <c r="AC29" i="1"/>
  <c r="R45" i="1"/>
  <c r="T33" i="1"/>
  <c r="R27" i="1"/>
  <c r="AC38" i="1"/>
  <c r="U53" i="1"/>
  <c r="S45" i="1"/>
  <c r="AD7" i="1"/>
  <c r="Q24" i="1"/>
  <c r="U31" i="1"/>
  <c r="U9" i="1"/>
  <c r="T62" i="1"/>
  <c r="AB25" i="1"/>
  <c r="AC42" i="1"/>
  <c r="T30" i="1"/>
  <c r="AD5" i="1"/>
  <c r="S47" i="1"/>
  <c r="Q9" i="1"/>
  <c r="AB33" i="1"/>
  <c r="S9" i="1"/>
  <c r="T31" i="1"/>
  <c r="Q35" i="1"/>
  <c r="U60" i="1"/>
  <c r="AD22" i="1"/>
  <c r="Q51" i="1"/>
  <c r="T27" i="1"/>
  <c r="U38" i="1"/>
  <c r="AC64" i="1"/>
  <c r="U18" i="1"/>
  <c r="R17" i="1"/>
  <c r="T26" i="1"/>
  <c r="S5" i="1"/>
  <c r="AB4" i="1"/>
  <c r="Q43" i="1"/>
  <c r="S17" i="1"/>
  <c r="S40" i="1"/>
  <c r="Q40" i="1"/>
  <c r="AD63" i="1"/>
  <c r="Q47" i="1"/>
  <c r="Q46" i="1"/>
  <c r="AD37" i="1"/>
  <c r="S23" i="1"/>
  <c r="AC7" i="1"/>
  <c r="AB39" i="1"/>
  <c r="AB29" i="1"/>
  <c r="R7" i="1"/>
  <c r="S27" i="1"/>
  <c r="T37" i="1"/>
  <c r="AB35" i="1"/>
  <c r="AC24" i="1"/>
  <c r="U23" i="1"/>
  <c r="Q11" i="1"/>
  <c r="Q16" i="1"/>
  <c r="U30" i="1"/>
  <c r="AC39" i="1"/>
  <c r="T47" i="1"/>
  <c r="AB36" i="1"/>
  <c r="AD32" i="1"/>
  <c r="S36" i="1"/>
  <c r="R58" i="1"/>
  <c r="T7" i="1"/>
  <c r="R23" i="1"/>
  <c r="U14" i="1"/>
  <c r="U54" i="1"/>
  <c r="Q38" i="1"/>
  <c r="U48" i="1"/>
  <c r="Q27" i="1"/>
  <c r="Q8" i="1"/>
  <c r="R33" i="1"/>
  <c r="R26" i="1"/>
  <c r="R44" i="1"/>
  <c r="T57" i="1"/>
  <c r="S25" i="1"/>
  <c r="AC36" i="1"/>
  <c r="AD25" i="1"/>
  <c r="R42" i="1"/>
  <c r="T28" i="1"/>
  <c r="AC21" i="1"/>
  <c r="AC33" i="1"/>
  <c r="R47" i="1"/>
  <c r="U46" i="1"/>
  <c r="AD28" i="1"/>
  <c r="AB30" i="1"/>
  <c r="AC15" i="1"/>
  <c r="AC16" i="1"/>
  <c r="AC23" i="1"/>
  <c r="U21" i="1"/>
  <c r="S51" i="1"/>
  <c r="T5" i="1"/>
  <c r="S30" i="1"/>
  <c r="T46" i="1"/>
  <c r="S38" i="1"/>
  <c r="R32" i="1"/>
  <c r="U29" i="1"/>
  <c r="AB10" i="1"/>
  <c r="AD34" i="1"/>
  <c r="AD42" i="1"/>
  <c r="AD24" i="1"/>
  <c r="AB40" i="1"/>
  <c r="S55" i="1"/>
  <c r="T29" i="1"/>
  <c r="Q23" i="1"/>
  <c r="AB9" i="1"/>
  <c r="Q62" i="1"/>
  <c r="Q59" i="1"/>
  <c r="S8" i="1"/>
  <c r="U35" i="1"/>
  <c r="AC13" i="1"/>
  <c r="AC4" i="1"/>
  <c r="S39" i="1"/>
  <c r="S26" i="1"/>
  <c r="Q55" i="1"/>
  <c r="U55" i="1"/>
  <c r="S44" i="1"/>
  <c r="AD36" i="1"/>
  <c r="T34" i="1"/>
  <c r="AC18" i="1"/>
  <c r="R54" i="1"/>
  <c r="AD15" i="1"/>
  <c r="S64" i="1"/>
  <c r="U57" i="1"/>
  <c r="AC26" i="1"/>
  <c r="T50" i="1"/>
  <c r="R34" i="1"/>
  <c r="S24" i="1"/>
  <c r="AD39" i="1"/>
  <c r="T18" i="1"/>
  <c r="Q60" i="1"/>
  <c r="U5" i="1"/>
  <c r="AB37" i="1"/>
  <c r="R56" i="1"/>
  <c r="U61" i="1"/>
  <c r="AB19" i="1"/>
  <c r="AD30" i="1"/>
  <c r="Q26" i="1"/>
  <c r="AD48" i="1"/>
  <c r="AB28" i="1"/>
  <c r="AB24" i="1"/>
  <c r="S59" i="1"/>
  <c r="Q25" i="1"/>
  <c r="R35" i="1"/>
  <c r="Q42" i="1"/>
  <c r="Q7" i="1"/>
  <c r="S7" i="1"/>
  <c r="T51" i="1"/>
  <c r="AD62" i="1"/>
  <c r="AC30" i="1"/>
  <c r="AC8" i="1"/>
  <c r="R11" i="1"/>
  <c r="Q45" i="1"/>
  <c r="U28" i="1"/>
  <c r="R41" i="1"/>
  <c r="T49" i="1"/>
  <c r="U49" i="1"/>
  <c r="R39" i="1"/>
  <c r="S46" i="1"/>
  <c r="Q33" i="1"/>
  <c r="T60" i="1"/>
  <c r="AC63" i="1"/>
  <c r="AC28" i="1"/>
  <c r="S14" i="1"/>
  <c r="Q57" i="1"/>
  <c r="AD13" i="1"/>
  <c r="T63" i="1"/>
  <c r="Q49" i="1"/>
  <c r="R49" i="1"/>
  <c r="AC22" i="1"/>
  <c r="Q64" i="1"/>
  <c r="U27" i="1"/>
  <c r="U33" i="1"/>
  <c r="U26" i="1"/>
  <c r="AD29" i="1"/>
  <c r="Q39" i="1"/>
  <c r="Q48" i="1"/>
  <c r="S32" i="1"/>
  <c r="AD58" i="1"/>
  <c r="AC9" i="1"/>
  <c r="AC25" i="1"/>
  <c r="R30" i="1"/>
  <c r="AD16" i="1"/>
  <c r="AC11" i="1"/>
  <c r="R24" i="1"/>
  <c r="R60" i="1"/>
  <c r="AB56" i="1"/>
  <c r="AD33" i="1"/>
  <c r="AB38" i="1"/>
  <c r="AD57" i="1"/>
  <c r="AC20" i="1"/>
  <c r="T9" i="1"/>
  <c r="S42" i="1"/>
  <c r="R14" i="1"/>
  <c r="AC46" i="1"/>
  <c r="T53" i="1"/>
  <c r="T16" i="1"/>
  <c r="T56" i="1"/>
  <c r="AB6" i="1"/>
  <c r="AC5" i="1"/>
  <c r="S11" i="1"/>
  <c r="Q31" i="1"/>
  <c r="T23" i="1"/>
  <c r="Q44" i="1"/>
  <c r="T58" i="1"/>
  <c r="Q61" i="1"/>
  <c r="S48" i="1"/>
  <c r="T32" i="1"/>
  <c r="AC37" i="1"/>
  <c r="Q36" i="1"/>
  <c r="AB21" i="1"/>
  <c r="S61" i="1"/>
  <c r="AD19" i="1"/>
  <c r="S16" i="1"/>
  <c r="U47" i="1"/>
  <c r="U32" i="1"/>
  <c r="AB22" i="1"/>
  <c r="AC56" i="1"/>
  <c r="U50" i="1"/>
  <c r="R18" i="1"/>
  <c r="AB12" i="1"/>
  <c r="AD64" i="1"/>
  <c r="U63" i="1"/>
  <c r="R62" i="1"/>
  <c r="S43" i="1"/>
  <c r="AB20" i="1"/>
  <c r="T36" i="1"/>
  <c r="U58" i="1"/>
  <c r="R5" i="1"/>
  <c r="Q17" i="1"/>
  <c r="AC12" i="1"/>
  <c r="S33" i="1"/>
  <c r="AD35" i="1"/>
  <c r="R31" i="1"/>
  <c r="T52" i="1"/>
  <c r="U16" i="1"/>
  <c r="AD23" i="1"/>
  <c r="AD27" i="1"/>
  <c r="AB27" i="1"/>
  <c r="S18" i="1"/>
  <c r="S34" i="1"/>
  <c r="Q54" i="1"/>
  <c r="S57" i="1"/>
  <c r="T55" i="1"/>
  <c r="AC31" i="1"/>
  <c r="U41" i="1"/>
  <c r="S41" i="1"/>
  <c r="U36" i="1"/>
  <c r="S49" i="1"/>
  <c r="AD11" i="1"/>
  <c r="AB15" i="1"/>
  <c r="AB13" i="1"/>
  <c r="U12" i="1"/>
  <c r="U62" i="1"/>
  <c r="AD14" i="1"/>
  <c r="R64" i="1"/>
  <c r="R57" i="1"/>
  <c r="AC35" i="1"/>
  <c r="S35" i="1"/>
  <c r="S62" i="1"/>
  <c r="T12" i="1"/>
  <c r="AB8" i="1"/>
  <c r="T14" i="1"/>
  <c r="R48" i="1"/>
  <c r="AD18" i="1"/>
  <c r="T35" i="1"/>
  <c r="R36" i="1"/>
  <c r="U37" i="1"/>
  <c r="S31" i="1"/>
  <c r="R8" i="1"/>
  <c r="Q5" i="1"/>
  <c r="Q56" i="1"/>
  <c r="T20" i="1"/>
  <c r="Q30" i="1"/>
  <c r="R16" i="1"/>
  <c r="U52" i="1"/>
  <c r="Q34" i="1"/>
  <c r="U56" i="1"/>
  <c r="T38" i="1"/>
  <c r="Q18" i="1"/>
  <c r="AB42" i="1"/>
  <c r="AB17" i="1"/>
  <c r="U8" i="1"/>
  <c r="R55" i="1"/>
  <c r="T25" i="1"/>
  <c r="Q14" i="1"/>
  <c r="AD12" i="1"/>
  <c r="R9" i="1"/>
  <c r="AB34" i="1"/>
  <c r="AC40" i="1"/>
  <c r="T21" i="1"/>
  <c r="R46" i="1"/>
  <c r="R61" i="1"/>
  <c r="R43" i="1"/>
  <c r="AB64" i="1"/>
  <c r="AC14" i="1"/>
  <c r="AD10" i="1"/>
  <c r="AD46" i="1"/>
  <c r="AB23" i="1"/>
  <c r="U51" i="1"/>
  <c r="AC17" i="1"/>
  <c r="AD31" i="1"/>
  <c r="AD38" i="1"/>
  <c r="T8" i="1"/>
  <c r="AB63" i="1"/>
  <c r="R40" i="1"/>
  <c r="AD21" i="1"/>
  <c r="S10" i="1"/>
  <c r="T4" i="1"/>
  <c r="S4" i="1"/>
  <c r="U6" i="1"/>
  <c r="AC58" i="1"/>
  <c r="Q58" i="1"/>
  <c r="H16" i="1"/>
  <c r="G16" i="1"/>
  <c r="F16" i="1"/>
  <c r="G30" i="1"/>
  <c r="C337" i="2"/>
  <c r="C338" i="2" s="1"/>
  <c r="C339" i="2" s="1"/>
  <c r="C340" i="2" s="1"/>
  <c r="C341" i="2" s="1"/>
  <c r="C342" i="2" s="1"/>
  <c r="C280" i="2"/>
  <c r="C281" i="2" s="1"/>
  <c r="C231" i="2"/>
  <c r="C286" i="2"/>
  <c r="C295" i="2"/>
  <c r="AD9" i="1"/>
  <c r="AD6" i="1"/>
  <c r="AD4" i="1"/>
  <c r="AD17" i="1"/>
  <c r="AE84" i="6"/>
  <c r="AC91" i="6"/>
  <c r="D75" i="6"/>
  <c r="E69" i="6"/>
  <c r="S96" i="6"/>
  <c r="AB77" i="6"/>
  <c r="AA76" i="6"/>
  <c r="AA84" i="6"/>
  <c r="R79" i="6"/>
  <c r="W86" i="6"/>
  <c r="J92" i="6"/>
  <c r="Y96" i="6"/>
  <c r="J98" i="6"/>
  <c r="AD91" i="6"/>
  <c r="Y85" i="6"/>
  <c r="W70" i="6"/>
  <c r="I87" i="6"/>
  <c r="R4" i="1"/>
  <c r="O7" i="5"/>
  <c r="L10" i="5"/>
  <c r="P15" i="5"/>
  <c r="O8" i="5"/>
  <c r="Y4" i="5"/>
  <c r="L16" i="5"/>
  <c r="AC15" i="5"/>
  <c r="P5" i="5"/>
  <c r="O11" i="3"/>
  <c r="AA2" i="5"/>
  <c r="Y12" i="5"/>
  <c r="Q18" i="5"/>
  <c r="L21" i="5"/>
  <c r="AC3" i="5"/>
  <c r="V7" i="5"/>
  <c r="V5" i="5"/>
  <c r="Z18" i="5"/>
  <c r="Q4" i="3"/>
  <c r="K14" i="5"/>
  <c r="R19" i="5"/>
  <c r="P14" i="5"/>
  <c r="Q11" i="5"/>
  <c r="P5" i="3"/>
  <c r="Q12" i="5"/>
  <c r="L2" i="5"/>
  <c r="W4" i="5"/>
  <c r="X20" i="5"/>
  <c r="L9" i="5"/>
  <c r="AA4" i="5"/>
  <c r="K16" i="5"/>
  <c r="T17" i="5"/>
  <c r="S8" i="3"/>
  <c r="M3" i="5"/>
  <c r="U13" i="5"/>
  <c r="AD2" i="5"/>
  <c r="S12" i="5"/>
  <c r="U22" i="1"/>
  <c r="AB59" i="1"/>
  <c r="I74" i="6"/>
  <c r="M91" i="6"/>
  <c r="L92" i="6"/>
  <c r="Q91" i="6"/>
  <c r="AB75" i="6"/>
  <c r="M74" i="6"/>
  <c r="W83" i="6"/>
  <c r="T96" i="6"/>
  <c r="P78" i="6"/>
  <c r="Y70" i="6"/>
  <c r="AB90" i="6"/>
  <c r="Q6" i="1"/>
  <c r="Q4" i="1"/>
  <c r="AA5" i="5"/>
  <c r="P13" i="5"/>
  <c r="O2" i="5"/>
  <c r="T8" i="3"/>
  <c r="AB5" i="5"/>
  <c r="P20" i="5"/>
  <c r="N19" i="5"/>
  <c r="O14" i="5"/>
  <c r="Q10" i="3"/>
  <c r="K21" i="5"/>
  <c r="M10" i="5"/>
  <c r="X19" i="5"/>
  <c r="P10" i="5"/>
  <c r="W8" i="5"/>
  <c r="W13" i="5"/>
  <c r="U10" i="5"/>
  <c r="Q6" i="5"/>
  <c r="L10" i="3"/>
  <c r="U18" i="5"/>
  <c r="AA20" i="5"/>
  <c r="V15" i="5"/>
  <c r="W18" i="5"/>
  <c r="L5" i="3"/>
  <c r="O7" i="3"/>
  <c r="AB15" i="5"/>
  <c r="AC8" i="5"/>
  <c r="AD12" i="5"/>
  <c r="AD14" i="5"/>
  <c r="O9" i="5"/>
  <c r="Q7" i="5"/>
  <c r="AB13" i="5"/>
  <c r="L11" i="3"/>
  <c r="AC12" i="5"/>
  <c r="AB2" i="5"/>
  <c r="W5" i="5"/>
  <c r="AC21" i="5"/>
  <c r="T22" i="1"/>
  <c r="AD59" i="1"/>
  <c r="R80" i="6"/>
  <c r="AE81" i="6"/>
  <c r="J94" i="6"/>
  <c r="AF75" i="6"/>
  <c r="F88" i="6"/>
  <c r="Z97" i="6"/>
  <c r="N76" i="6"/>
  <c r="AE88" i="6"/>
  <c r="Y73" i="6"/>
  <c r="P90" i="6"/>
  <c r="AD89" i="6"/>
  <c r="S81" i="6"/>
  <c r="Y69" i="6"/>
  <c r="AB72" i="6"/>
  <c r="J91" i="6"/>
  <c r="P77" i="6"/>
  <c r="X97" i="6"/>
  <c r="AD82" i="6"/>
  <c r="AC27" i="1"/>
  <c r="R6" i="1"/>
  <c r="K19" i="5"/>
  <c r="Z10" i="5"/>
  <c r="AA14" i="5"/>
  <c r="X4" i="5"/>
  <c r="S9" i="3"/>
  <c r="AA15" i="5"/>
  <c r="V21" i="5"/>
  <c r="S18" i="5"/>
  <c r="T18" i="5"/>
  <c r="M8" i="3"/>
  <c r="AB6" i="5"/>
  <c r="Q16" i="5"/>
  <c r="K3" i="5"/>
  <c r="U19" i="5"/>
  <c r="S21" i="5"/>
  <c r="M16" i="5"/>
  <c r="O20" i="5"/>
  <c r="P16" i="5"/>
  <c r="Q2" i="3"/>
  <c r="X12" i="5"/>
  <c r="AD3" i="5"/>
  <c r="U8" i="5"/>
  <c r="K12" i="5"/>
  <c r="N14" i="5"/>
  <c r="N18" i="5"/>
  <c r="AD15" i="5"/>
  <c r="M15" i="5"/>
  <c r="S9" i="5"/>
  <c r="T13" i="5"/>
  <c r="M11" i="5"/>
  <c r="M21" i="5"/>
  <c r="L9" i="3"/>
  <c r="U3" i="5"/>
  <c r="U5" i="5"/>
  <c r="V10" i="5"/>
  <c r="AA3" i="5"/>
  <c r="AC57" i="1"/>
  <c r="AD26" i="1"/>
  <c r="Q69" i="6"/>
  <c r="I95" i="6"/>
  <c r="V95" i="6"/>
  <c r="R73" i="6"/>
  <c r="J95" i="6"/>
  <c r="S89" i="6"/>
  <c r="AF81" i="6"/>
  <c r="V94" i="6"/>
  <c r="L73" i="6"/>
  <c r="W84" i="6"/>
  <c r="H76" i="6"/>
  <c r="AC73" i="6"/>
  <c r="AA73" i="6"/>
  <c r="S6" i="1"/>
  <c r="P2" i="5"/>
  <c r="P11" i="5"/>
  <c r="N11" i="5"/>
  <c r="AD8" i="5"/>
  <c r="Q3" i="3"/>
  <c r="V18" i="5"/>
  <c r="K15" i="5"/>
  <c r="M17" i="5"/>
  <c r="Z4" i="5"/>
  <c r="L14" i="5"/>
  <c r="W12" i="5"/>
  <c r="X9" i="5"/>
  <c r="X5" i="5"/>
  <c r="S11" i="3"/>
  <c r="S2" i="5"/>
  <c r="Y19" i="5"/>
  <c r="U15" i="5"/>
  <c r="V17" i="5"/>
  <c r="O8" i="3"/>
  <c r="AC19" i="5"/>
  <c r="S8" i="5"/>
  <c r="AB14" i="5"/>
  <c r="V12" i="5"/>
  <c r="X10" i="5"/>
  <c r="S17" i="5"/>
  <c r="N20" i="5"/>
  <c r="Q21" i="5"/>
  <c r="V11" i="5"/>
  <c r="T14" i="5"/>
  <c r="V2" i="5"/>
  <c r="R15" i="5"/>
  <c r="M5" i="3"/>
  <c r="Z20" i="5"/>
  <c r="O19" i="5"/>
  <c r="L5" i="5"/>
  <c r="N15" i="5"/>
  <c r="O21" i="5"/>
  <c r="W3" i="5"/>
  <c r="O17" i="5"/>
  <c r="O15" i="5"/>
  <c r="O9" i="3"/>
  <c r="AA7" i="5"/>
  <c r="Z12" i="5"/>
  <c r="N9" i="5"/>
  <c r="W19" i="5"/>
  <c r="S7" i="3"/>
  <c r="AB12" i="5"/>
  <c r="W16" i="5"/>
  <c r="S16" i="5"/>
  <c r="T7" i="5"/>
  <c r="AA6" i="5"/>
  <c r="N12" i="5"/>
  <c r="AA21" i="5"/>
  <c r="AD7" i="5"/>
  <c r="O10" i="5"/>
  <c r="P3" i="3"/>
  <c r="K10" i="5"/>
  <c r="AD20" i="5"/>
  <c r="R11" i="5"/>
  <c r="P9" i="5"/>
  <c r="Q9" i="3"/>
  <c r="Y2" i="5"/>
  <c r="P3" i="5"/>
  <c r="AD6" i="5"/>
  <c r="Z3" i="5"/>
  <c r="T5" i="3"/>
  <c r="Q2" i="5"/>
  <c r="AB11" i="5"/>
  <c r="Z11" i="5"/>
  <c r="K13" i="5"/>
  <c r="K11" i="5"/>
  <c r="AB16" i="5"/>
  <c r="V16" i="5"/>
  <c r="T8" i="5"/>
  <c r="L8" i="5"/>
  <c r="X2" i="5"/>
  <c r="Z86" i="6"/>
  <c r="Y98" i="6"/>
  <c r="G70" i="6"/>
  <c r="E85" i="6"/>
  <c r="K84" i="6"/>
  <c r="P92" i="6"/>
  <c r="J72" i="6"/>
  <c r="Z98" i="6"/>
  <c r="M97" i="6"/>
  <c r="O72" i="6"/>
  <c r="J71" i="6"/>
  <c r="AC59" i="1"/>
  <c r="AB57" i="1"/>
  <c r="AC62" i="1"/>
  <c r="M13" i="5"/>
  <c r="K8" i="3"/>
  <c r="R16" i="5"/>
  <c r="O11" i="5"/>
  <c r="AC17" i="5"/>
  <c r="N7" i="5"/>
  <c r="Z21" i="5"/>
  <c r="T21" i="5"/>
  <c r="Z13" i="5"/>
  <c r="AC14" i="5"/>
  <c r="Q5" i="3"/>
  <c r="T6" i="1"/>
  <c r="Y14" i="5"/>
  <c r="Y15" i="5"/>
  <c r="P4" i="5"/>
  <c r="Y21" i="5"/>
  <c r="AD19" i="5"/>
  <c r="AD18" i="5"/>
  <c r="M6" i="5"/>
  <c r="M11" i="3"/>
  <c r="AD13" i="5"/>
  <c r="Y3" i="5"/>
  <c r="X18" i="5"/>
  <c r="AA17" i="5"/>
  <c r="AC16" i="5"/>
  <c r="AA16" i="5"/>
  <c r="N4" i="3"/>
  <c r="U7" i="5"/>
  <c r="N17" i="5"/>
  <c r="Q9" i="5"/>
  <c r="AA8" i="5"/>
  <c r="Y8" i="5"/>
  <c r="T4" i="5"/>
  <c r="Q13" i="5"/>
  <c r="AC11" i="5"/>
  <c r="O4" i="5"/>
  <c r="R20" i="5"/>
  <c r="R18" i="5"/>
  <c r="Q5" i="5"/>
  <c r="P2" i="3"/>
  <c r="V19" i="5"/>
  <c r="L13" i="5"/>
  <c r="Z7" i="5"/>
  <c r="Y20" i="5"/>
  <c r="Y18" i="5"/>
  <c r="X21" i="5"/>
  <c r="K4" i="3"/>
  <c r="S5" i="3"/>
  <c r="U17" i="5"/>
  <c r="M12" i="5"/>
  <c r="AD4" i="5"/>
  <c r="Q15" i="5"/>
  <c r="AD9" i="5"/>
  <c r="S13" i="5"/>
  <c r="T20" i="5"/>
  <c r="AD17" i="5"/>
  <c r="X6" i="5"/>
  <c r="W15" i="5"/>
  <c r="V20" i="5"/>
  <c r="N6" i="5"/>
  <c r="K11" i="3"/>
  <c r="P11" i="3"/>
  <c r="N21" i="5"/>
  <c r="AD10" i="5"/>
  <c r="N4" i="5"/>
  <c r="P12" i="5"/>
  <c r="T5" i="5"/>
  <c r="K9" i="3"/>
  <c r="X8" i="5"/>
  <c r="K8" i="5"/>
  <c r="R13" i="5"/>
  <c r="T10" i="5"/>
  <c r="AC9" i="5"/>
  <c r="Z8" i="5"/>
  <c r="T7" i="3"/>
  <c r="AC7" i="5"/>
  <c r="M2" i="5"/>
  <c r="Q17" i="5"/>
  <c r="W9" i="5"/>
  <c r="U9" i="5"/>
  <c r="U6" i="5"/>
  <c r="O5" i="3"/>
  <c r="K20" i="5"/>
  <c r="S19" i="5"/>
  <c r="L19" i="5"/>
  <c r="U4" i="5"/>
  <c r="S4" i="5"/>
  <c r="AB4" i="5"/>
  <c r="L4" i="3"/>
  <c r="M7" i="5"/>
  <c r="Y6" i="5"/>
  <c r="O3" i="5"/>
  <c r="N10" i="5"/>
  <c r="N8" i="5"/>
  <c r="M14" i="5"/>
  <c r="O3" i="3"/>
  <c r="P18" i="5"/>
  <c r="U11" i="5"/>
  <c r="X3" i="5"/>
  <c r="R12" i="5"/>
  <c r="R10" i="5"/>
  <c r="R3" i="5"/>
  <c r="K5" i="3"/>
  <c r="P4" i="3"/>
  <c r="P8" i="5"/>
  <c r="AA12" i="5"/>
  <c r="X17" i="5"/>
  <c r="W21" i="5"/>
  <c r="Q20" i="5"/>
  <c r="K3" i="3"/>
  <c r="O16" i="5"/>
  <c r="Z9" i="5"/>
  <c r="K17" i="5"/>
  <c r="P21" i="5"/>
  <c r="P19" i="5"/>
  <c r="AD16" i="5"/>
  <c r="M2" i="3"/>
  <c r="T12" i="5"/>
  <c r="Z16" i="5"/>
  <c r="P6" i="5"/>
  <c r="V14" i="5"/>
  <c r="U20" i="5"/>
  <c r="AB18" i="5"/>
  <c r="AF76" i="6"/>
  <c r="D98" i="6"/>
  <c r="R78" i="6"/>
  <c r="R88" i="6"/>
  <c r="T77" i="6"/>
  <c r="H85" i="6"/>
  <c r="K86" i="6"/>
  <c r="R10" i="1"/>
  <c r="AB62" i="1"/>
  <c r="AB58" i="1"/>
  <c r="Q10" i="1"/>
  <c r="S58" i="1"/>
  <c r="U4" i="1"/>
  <c r="U7" i="1"/>
  <c r="K6" i="3"/>
  <c r="L2" i="3"/>
  <c r="O10" i="3"/>
  <c r="K7" i="3"/>
  <c r="S2" i="3"/>
  <c r="R2" i="3"/>
  <c r="T2" i="3"/>
  <c r="M6" i="3"/>
  <c r="R7" i="3"/>
  <c r="N10" i="3"/>
  <c r="T10" i="3"/>
  <c r="M10" i="3"/>
  <c r="P10" i="3"/>
  <c r="K10" i="3"/>
  <c r="R3" i="3"/>
  <c r="R8" i="3"/>
  <c r="R6" i="3"/>
  <c r="R4" i="3"/>
  <c r="R5" i="3"/>
  <c r="R11" i="3"/>
  <c r="S6" i="3"/>
  <c r="P6" i="3"/>
  <c r="Q6" i="3"/>
  <c r="N7" i="3"/>
  <c r="N2" i="3"/>
  <c r="N8" i="3"/>
  <c r="N9" i="3"/>
  <c r="N6" i="3"/>
  <c r="N3" i="3"/>
  <c r="F30" i="1"/>
  <c r="H30" i="1"/>
  <c r="AD61" i="1"/>
  <c r="AC61" i="1"/>
  <c r="AB61" i="1"/>
  <c r="U15" i="1"/>
  <c r="T15" i="1"/>
  <c r="S15" i="1"/>
  <c r="R15" i="1"/>
  <c r="Q15" i="1"/>
  <c r="C475" i="2" l="1"/>
  <c r="C491" i="2"/>
  <c r="C482" i="2"/>
  <c r="C483" i="2" s="1"/>
  <c r="C484" i="2" s="1"/>
  <c r="C485" i="2" s="1"/>
  <c r="C486" i="2" s="1"/>
  <c r="C487" i="2" s="1"/>
  <c r="C312" i="2"/>
  <c r="C74" i="2"/>
  <c r="C353" i="2"/>
  <c r="AD45" i="1"/>
  <c r="AD44" i="1"/>
  <c r="AD54" i="1"/>
  <c r="AD55" i="1"/>
  <c r="AD47" i="1"/>
  <c r="AD53" i="1"/>
  <c r="AD49" i="1"/>
  <c r="AD50" i="1"/>
  <c r="AD51" i="1"/>
  <c r="AD8" i="1"/>
  <c r="AD52" i="1"/>
  <c r="AD41" i="1"/>
  <c r="AD43" i="1"/>
  <c r="AD60" i="1"/>
  <c r="AE2" i="1"/>
  <c r="C84" i="2"/>
  <c r="C85" i="2" s="1"/>
  <c r="C93" i="2"/>
  <c r="C232" i="2"/>
  <c r="C296" i="2"/>
  <c r="C287" i="2"/>
  <c r="C282" i="2"/>
  <c r="C363" i="2" l="1"/>
  <c r="C354" i="2"/>
  <c r="C355" i="2" s="1"/>
  <c r="C356" i="2" s="1"/>
  <c r="C357" i="2" s="1"/>
  <c r="C358" i="2" s="1"/>
  <c r="C359" i="2" s="1"/>
  <c r="C488" i="2"/>
  <c r="C489" i="2" s="1"/>
  <c r="C490" i="2" s="1"/>
  <c r="C27" i="1"/>
  <c r="E27" i="1"/>
  <c r="C75" i="2"/>
  <c r="C501" i="2"/>
  <c r="C492" i="2"/>
  <c r="C493" i="2" s="1"/>
  <c r="C494" i="2" s="1"/>
  <c r="C495" i="2" s="1"/>
  <c r="D52" i="1"/>
  <c r="C476" i="2"/>
  <c r="C477" i="2" s="1"/>
  <c r="C478" i="2" s="1"/>
  <c r="C479" i="2" s="1"/>
  <c r="C480" i="2" s="1"/>
  <c r="C86" i="2"/>
  <c r="AE44" i="1"/>
  <c r="AE45" i="1"/>
  <c r="AE54" i="1"/>
  <c r="AE55" i="1"/>
  <c r="AE53" i="1"/>
  <c r="AE51" i="1"/>
  <c r="AE50" i="1"/>
  <c r="AE47" i="1"/>
  <c r="AE52" i="1"/>
  <c r="AE49" i="1"/>
  <c r="AE41" i="1"/>
  <c r="AE43" i="1"/>
  <c r="AF2" i="1"/>
  <c r="AE60" i="1"/>
  <c r="AE11" i="1"/>
  <c r="AE19" i="1"/>
  <c r="AE59" i="1"/>
  <c r="AE16" i="1"/>
  <c r="AE10" i="1"/>
  <c r="AE64" i="1"/>
  <c r="AE14" i="1"/>
  <c r="AE29" i="1"/>
  <c r="AE6" i="1"/>
  <c r="AE62" i="1"/>
  <c r="AE26" i="1"/>
  <c r="AE38" i="1"/>
  <c r="AE21" i="1"/>
  <c r="AE32" i="1"/>
  <c r="AE8" i="1"/>
  <c r="AE31" i="1"/>
  <c r="AE20" i="1"/>
  <c r="AE34" i="1"/>
  <c r="AE61" i="1"/>
  <c r="AE9" i="1"/>
  <c r="AE40" i="1"/>
  <c r="AE28" i="1"/>
  <c r="AE4" i="1"/>
  <c r="AE42" i="1"/>
  <c r="AE27" i="1"/>
  <c r="AE35" i="1"/>
  <c r="AE24" i="1"/>
  <c r="AE57" i="1"/>
  <c r="AE12" i="1"/>
  <c r="AE13" i="1"/>
  <c r="AE5" i="1"/>
  <c r="AE22" i="1"/>
  <c r="AE18" i="1"/>
  <c r="AE46" i="1"/>
  <c r="AE30" i="1"/>
  <c r="AE7" i="1"/>
  <c r="AE39" i="1"/>
  <c r="AE36" i="1"/>
  <c r="AE17" i="1"/>
  <c r="AE56" i="1"/>
  <c r="AE23" i="1"/>
  <c r="AE63" i="1"/>
  <c r="AE37" i="1"/>
  <c r="AE58" i="1"/>
  <c r="AE33" i="1"/>
  <c r="AE15" i="1"/>
  <c r="AE25" i="1"/>
  <c r="AE48" i="1"/>
  <c r="C103" i="2"/>
  <c r="C94" i="2"/>
  <c r="C95" i="2" s="1"/>
  <c r="C288" i="2"/>
  <c r="C297" i="2"/>
  <c r="C76" i="2" l="1"/>
  <c r="D17" i="1"/>
  <c r="C17" i="1"/>
  <c r="C87" i="2"/>
  <c r="C496" i="2"/>
  <c r="C497" i="2" s="1"/>
  <c r="C498" i="2" s="1"/>
  <c r="C360" i="2"/>
  <c r="C502" i="2"/>
  <c r="C503" i="2" s="1"/>
  <c r="C504" i="2" s="1"/>
  <c r="C505" i="2" s="1"/>
  <c r="C511" i="2"/>
  <c r="C373" i="2"/>
  <c r="C364" i="2"/>
  <c r="C365" i="2" s="1"/>
  <c r="AF45" i="1"/>
  <c r="AF44" i="1"/>
  <c r="AF54" i="1"/>
  <c r="AF55" i="1"/>
  <c r="AF53" i="1"/>
  <c r="AF51" i="1"/>
  <c r="AF50" i="1"/>
  <c r="AF47" i="1"/>
  <c r="AF52" i="1"/>
  <c r="AF49" i="1"/>
  <c r="AF41" i="1"/>
  <c r="AF43" i="1"/>
  <c r="AG2" i="1"/>
  <c r="AF60" i="1"/>
  <c r="AF17" i="1"/>
  <c r="AF27" i="1"/>
  <c r="AF59" i="1"/>
  <c r="AF31" i="1"/>
  <c r="AF4" i="1"/>
  <c r="AF16" i="1"/>
  <c r="AF22" i="1"/>
  <c r="AF23" i="1"/>
  <c r="AF42" i="1"/>
  <c r="AF48" i="1"/>
  <c r="AF33" i="1"/>
  <c r="AF15" i="1"/>
  <c r="AF63" i="1"/>
  <c r="AF61" i="1"/>
  <c r="AF9" i="1"/>
  <c r="AF39" i="1"/>
  <c r="AF6" i="1"/>
  <c r="AF32" i="1"/>
  <c r="AF35" i="1"/>
  <c r="AF36" i="1"/>
  <c r="AF11" i="1"/>
  <c r="AF5" i="1"/>
  <c r="AF29" i="1"/>
  <c r="AF28" i="1"/>
  <c r="AF40" i="1"/>
  <c r="AF62" i="1"/>
  <c r="AF8" i="1"/>
  <c r="AF10" i="1"/>
  <c r="AF18" i="1"/>
  <c r="AF7" i="1"/>
  <c r="AF19" i="1"/>
  <c r="AF14" i="1"/>
  <c r="AF12" i="1"/>
  <c r="AF58" i="1"/>
  <c r="AF46" i="1"/>
  <c r="AF57" i="1"/>
  <c r="AF21" i="1"/>
  <c r="AF24" i="1"/>
  <c r="AF38" i="1"/>
  <c r="AF20" i="1"/>
  <c r="AF56" i="1"/>
  <c r="AF25" i="1"/>
  <c r="AF13" i="1"/>
  <c r="AF34" i="1"/>
  <c r="AF64" i="1"/>
  <c r="AF37" i="1"/>
  <c r="AF26" i="1"/>
  <c r="AF30" i="1"/>
  <c r="C96" i="2"/>
  <c r="C104" i="2"/>
  <c r="C113" i="2"/>
  <c r="C289" i="2"/>
  <c r="C298" i="2"/>
  <c r="C97" i="2" l="1"/>
  <c r="C88" i="2"/>
  <c r="C361" i="2"/>
  <c r="C362" i="2" s="1"/>
  <c r="C506" i="2"/>
  <c r="C507" i="2" s="1"/>
  <c r="C508" i="2" s="1"/>
  <c r="C509" i="2" s="1"/>
  <c r="C510" i="2" s="1"/>
  <c r="D13" i="1"/>
  <c r="C366" i="2"/>
  <c r="C367" i="2" s="1"/>
  <c r="C368" i="2" s="1"/>
  <c r="C499" i="2"/>
  <c r="E29" i="1"/>
  <c r="C29" i="1"/>
  <c r="G29" i="1" s="1"/>
  <c r="C383" i="2"/>
  <c r="C374" i="2"/>
  <c r="D18" i="1"/>
  <c r="C18" i="1"/>
  <c r="C512" i="2"/>
  <c r="C513" i="2" s="1"/>
  <c r="C514" i="2" s="1"/>
  <c r="C515" i="2" s="1"/>
  <c r="C516" i="2" s="1"/>
  <c r="C517" i="2" s="1"/>
  <c r="C518" i="2" s="1"/>
  <c r="C519" i="2" s="1"/>
  <c r="C520" i="2" s="1"/>
  <c r="C521" i="2"/>
  <c r="C77" i="2"/>
  <c r="AG44" i="1"/>
  <c r="AG45" i="1"/>
  <c r="AG54" i="1"/>
  <c r="AG55" i="1"/>
  <c r="AG53" i="1"/>
  <c r="AG51" i="1"/>
  <c r="AG50" i="1"/>
  <c r="AG47" i="1"/>
  <c r="AG52" i="1"/>
  <c r="AG49" i="1"/>
  <c r="AG41" i="1"/>
  <c r="AG43" i="1"/>
  <c r="AH2" i="1"/>
  <c r="AG60" i="1"/>
  <c r="AG24" i="1"/>
  <c r="AG29" i="1"/>
  <c r="AG48" i="1"/>
  <c r="AG31" i="1"/>
  <c r="AG18" i="1"/>
  <c r="AG28" i="1"/>
  <c r="AG59" i="1"/>
  <c r="AG25" i="1"/>
  <c r="AG64" i="1"/>
  <c r="AG36" i="1"/>
  <c r="AG38" i="1"/>
  <c r="AG5" i="1"/>
  <c r="AG10" i="1"/>
  <c r="AG27" i="1"/>
  <c r="AG14" i="1"/>
  <c r="AG9" i="1"/>
  <c r="AG7" i="1"/>
  <c r="AG40" i="1"/>
  <c r="AG35" i="1"/>
  <c r="AG42" i="1"/>
  <c r="AG17" i="1"/>
  <c r="AG32" i="1"/>
  <c r="AG15" i="1"/>
  <c r="AG56" i="1"/>
  <c r="AG62" i="1"/>
  <c r="AG8" i="1"/>
  <c r="AG39" i="1"/>
  <c r="AG20" i="1"/>
  <c r="AG26" i="1"/>
  <c r="AG12" i="1"/>
  <c r="AG58" i="1"/>
  <c r="AG6" i="1"/>
  <c r="AG34" i="1"/>
  <c r="AG37" i="1"/>
  <c r="AG33" i="1"/>
  <c r="AG4" i="1"/>
  <c r="AG61" i="1"/>
  <c r="AG19" i="1"/>
  <c r="AG21" i="1"/>
  <c r="AG46" i="1"/>
  <c r="AG30" i="1"/>
  <c r="AG13" i="1"/>
  <c r="AG16" i="1"/>
  <c r="AG11" i="1"/>
  <c r="AG63" i="1"/>
  <c r="AG57" i="1"/>
  <c r="AG22" i="1"/>
  <c r="AG23" i="1"/>
  <c r="H17" i="1"/>
  <c r="C105" i="2"/>
  <c r="F17" i="1"/>
  <c r="G17" i="1"/>
  <c r="C114" i="2"/>
  <c r="C123" i="2"/>
  <c r="C299" i="2"/>
  <c r="C290" i="2"/>
  <c r="F29" i="1" l="1"/>
  <c r="H29" i="1"/>
  <c r="C500" i="2"/>
  <c r="E12" i="1"/>
  <c r="D14" i="1"/>
  <c r="C375" i="2"/>
  <c r="E23" i="1"/>
  <c r="C23" i="1"/>
  <c r="G23" i="1" s="1"/>
  <c r="C369" i="2"/>
  <c r="C370" i="2" s="1"/>
  <c r="C371" i="2" s="1"/>
  <c r="C372" i="2" s="1"/>
  <c r="D8" i="1"/>
  <c r="C78" i="2"/>
  <c r="C393" i="2"/>
  <c r="C384" i="2"/>
  <c r="C385" i="2" s="1"/>
  <c r="C386" i="2" s="1"/>
  <c r="C89" i="2"/>
  <c r="C531" i="2"/>
  <c r="C522" i="2"/>
  <c r="C106" i="2"/>
  <c r="C98" i="2"/>
  <c r="C99" i="2" s="1"/>
  <c r="AH44" i="1"/>
  <c r="AH45" i="1"/>
  <c r="AH54" i="1"/>
  <c r="AH55" i="1"/>
  <c r="AH53" i="1"/>
  <c r="AH51" i="1"/>
  <c r="AH50" i="1"/>
  <c r="AH47" i="1"/>
  <c r="AH49" i="1"/>
  <c r="AH52" i="1"/>
  <c r="AH41" i="1"/>
  <c r="AH43" i="1"/>
  <c r="AI2" i="1"/>
  <c r="AH60" i="1"/>
  <c r="AH58" i="1"/>
  <c r="AH8" i="1"/>
  <c r="AH24" i="1"/>
  <c r="AH11" i="1"/>
  <c r="AH40" i="1"/>
  <c r="AH18" i="1"/>
  <c r="AH34" i="1"/>
  <c r="AH35" i="1"/>
  <c r="AH10" i="1"/>
  <c r="AH5" i="1"/>
  <c r="AH12" i="1"/>
  <c r="AH39" i="1"/>
  <c r="AH30" i="1"/>
  <c r="AH38" i="1"/>
  <c r="AH25" i="1"/>
  <c r="AH16" i="1"/>
  <c r="AH33" i="1"/>
  <c r="AH32" i="1"/>
  <c r="AH59" i="1"/>
  <c r="AH14" i="1"/>
  <c r="AH4" i="1"/>
  <c r="AH21" i="1"/>
  <c r="AH23" i="1"/>
  <c r="AH37" i="1"/>
  <c r="AH20" i="1"/>
  <c r="AH7" i="1"/>
  <c r="AH9" i="1"/>
  <c r="AH31" i="1"/>
  <c r="AH26" i="1"/>
  <c r="AH63" i="1"/>
  <c r="AH56" i="1"/>
  <c r="AH19" i="1"/>
  <c r="AH42" i="1"/>
  <c r="AH36" i="1"/>
  <c r="AH28" i="1"/>
  <c r="AH13" i="1"/>
  <c r="AH27" i="1"/>
  <c r="AH62" i="1"/>
  <c r="AH6" i="1"/>
  <c r="AH17" i="1"/>
  <c r="AH29" i="1"/>
  <c r="AH15" i="1"/>
  <c r="AH22" i="1"/>
  <c r="AH48" i="1"/>
  <c r="AH64" i="1"/>
  <c r="AH61" i="1"/>
  <c r="AH57" i="1"/>
  <c r="AH46" i="1"/>
  <c r="C115" i="2"/>
  <c r="C116" i="2" s="1"/>
  <c r="C133" i="2"/>
  <c r="C124" i="2"/>
  <c r="C125" i="2" s="1"/>
  <c r="H18" i="1"/>
  <c r="F18" i="1"/>
  <c r="G18" i="1"/>
  <c r="C300" i="2"/>
  <c r="C291" i="2"/>
  <c r="C117" i="2" l="1"/>
  <c r="D63" i="1" s="1"/>
  <c r="C523" i="2"/>
  <c r="C524" i="2" s="1"/>
  <c r="C525" i="2" s="1"/>
  <c r="C526" i="2" s="1"/>
  <c r="C527" i="2" s="1"/>
  <c r="C528" i="2" s="1"/>
  <c r="C529" i="2" s="1"/>
  <c r="C530" i="2" s="1"/>
  <c r="C90" i="2"/>
  <c r="H23" i="1"/>
  <c r="F23" i="1"/>
  <c r="C107" i="2"/>
  <c r="C541" i="2"/>
  <c r="C532" i="2"/>
  <c r="C533" i="2" s="1"/>
  <c r="C534" i="2" s="1"/>
  <c r="C535" i="2" s="1"/>
  <c r="C387" i="2"/>
  <c r="C388" i="2" s="1"/>
  <c r="C389" i="2" s="1"/>
  <c r="C390" i="2" s="1"/>
  <c r="C403" i="2"/>
  <c r="C394" i="2"/>
  <c r="C395" i="2" s="1"/>
  <c r="C396" i="2" s="1"/>
  <c r="C376" i="2"/>
  <c r="C377" i="2" s="1"/>
  <c r="C378" i="2" s="1"/>
  <c r="C100" i="2"/>
  <c r="C101" i="2" s="1"/>
  <c r="C79" i="2"/>
  <c r="AI44" i="1"/>
  <c r="AI45" i="1"/>
  <c r="AI54" i="1"/>
  <c r="AI55" i="1"/>
  <c r="AI53" i="1"/>
  <c r="AI51" i="1"/>
  <c r="AI50" i="1"/>
  <c r="AI47" i="1"/>
  <c r="AI49" i="1"/>
  <c r="AI52" i="1"/>
  <c r="AI41" i="1"/>
  <c r="AI43" i="1"/>
  <c r="AJ2" i="1"/>
  <c r="AI60" i="1"/>
  <c r="AI16" i="1"/>
  <c r="AI36" i="1"/>
  <c r="AI30" i="1"/>
  <c r="AI31" i="1"/>
  <c r="AI10" i="1"/>
  <c r="AI57" i="1"/>
  <c r="AI13" i="1"/>
  <c r="AI25" i="1"/>
  <c r="AI9" i="1"/>
  <c r="AI12" i="1"/>
  <c r="AI18" i="1"/>
  <c r="AI39" i="1"/>
  <c r="AI32" i="1"/>
  <c r="AI6" i="1"/>
  <c r="AI42" i="1"/>
  <c r="AI29" i="1"/>
  <c r="AI46" i="1"/>
  <c r="AI24" i="1"/>
  <c r="AI17" i="1"/>
  <c r="AI34" i="1"/>
  <c r="AI35" i="1"/>
  <c r="AI27" i="1"/>
  <c r="AI56" i="1"/>
  <c r="AI19" i="1"/>
  <c r="AI14" i="1"/>
  <c r="AI58" i="1"/>
  <c r="AI37" i="1"/>
  <c r="AI21" i="1"/>
  <c r="AI4" i="1"/>
  <c r="AI15" i="1"/>
  <c r="AI40" i="1"/>
  <c r="AI5" i="1"/>
  <c r="AI23" i="1"/>
  <c r="AI59" i="1"/>
  <c r="AI64" i="1"/>
  <c r="AI61" i="1"/>
  <c r="AI63" i="1"/>
  <c r="AI8" i="1"/>
  <c r="AI38" i="1"/>
  <c r="AI11" i="1"/>
  <c r="AI7" i="1"/>
  <c r="AI28" i="1"/>
  <c r="AI22" i="1"/>
  <c r="AI62" i="1"/>
  <c r="AI26" i="1"/>
  <c r="AI33" i="1"/>
  <c r="AI20" i="1"/>
  <c r="AI48" i="1"/>
  <c r="C126" i="2"/>
  <c r="C134" i="2"/>
  <c r="C143" i="2"/>
  <c r="C301" i="2"/>
  <c r="C292" i="2"/>
  <c r="C302" i="2" s="1"/>
  <c r="C118" i="2" l="1"/>
  <c r="E54" i="1"/>
  <c r="C80" i="2"/>
  <c r="C102" i="2"/>
  <c r="C15" i="1"/>
  <c r="G15" i="1" s="1"/>
  <c r="E15" i="1"/>
  <c r="C391" i="2"/>
  <c r="C392" i="2" s="1"/>
  <c r="C108" i="2"/>
  <c r="C397" i="2"/>
  <c r="C398" i="2" s="1"/>
  <c r="C399" i="2" s="1"/>
  <c r="C400" i="2" s="1"/>
  <c r="C401" i="2" s="1"/>
  <c r="C402" i="2" s="1"/>
  <c r="C404" i="2"/>
  <c r="C413" i="2"/>
  <c r="D43" i="1"/>
  <c r="C91" i="2"/>
  <c r="C92" i="2" s="1"/>
  <c r="C127" i="2"/>
  <c r="C536" i="2"/>
  <c r="C537" i="2" s="1"/>
  <c r="C538" i="2" s="1"/>
  <c r="C539" i="2" s="1"/>
  <c r="C540" i="2" s="1"/>
  <c r="D7" i="1"/>
  <c r="E60" i="1"/>
  <c r="C379" i="2"/>
  <c r="C551" i="2"/>
  <c r="C542" i="2"/>
  <c r="C543" i="2" s="1"/>
  <c r="AJ44" i="1"/>
  <c r="AJ45" i="1"/>
  <c r="AJ54" i="1"/>
  <c r="AJ55" i="1"/>
  <c r="AJ53" i="1"/>
  <c r="AJ51" i="1"/>
  <c r="AJ50" i="1"/>
  <c r="AJ47" i="1"/>
  <c r="AJ49" i="1"/>
  <c r="AJ52" i="1"/>
  <c r="AJ41" i="1"/>
  <c r="AJ43" i="1"/>
  <c r="AJ60" i="1"/>
  <c r="AK2" i="1"/>
  <c r="AJ38" i="1"/>
  <c r="AJ24" i="1"/>
  <c r="AJ32" i="1"/>
  <c r="AJ11" i="1"/>
  <c r="AJ10" i="1"/>
  <c r="AJ39" i="1"/>
  <c r="AJ13" i="1"/>
  <c r="AJ8" i="1"/>
  <c r="AJ25" i="1"/>
  <c r="AJ17" i="1"/>
  <c r="AJ7" i="1"/>
  <c r="AJ36" i="1"/>
  <c r="AJ15" i="1"/>
  <c r="AJ5" i="1"/>
  <c r="AJ12" i="1"/>
  <c r="AJ6" i="1"/>
  <c r="AJ62" i="1"/>
  <c r="AJ35" i="1"/>
  <c r="AJ30" i="1"/>
  <c r="AJ20" i="1"/>
  <c r="AJ26" i="1"/>
  <c r="AJ4" i="1"/>
  <c r="AJ64" i="1"/>
  <c r="AJ63" i="1"/>
  <c r="AJ46" i="1"/>
  <c r="AJ37" i="1"/>
  <c r="AJ18" i="1"/>
  <c r="AJ58" i="1"/>
  <c r="AJ9" i="1"/>
  <c r="AJ16" i="1"/>
  <c r="AJ19" i="1"/>
  <c r="AJ22" i="1"/>
  <c r="AJ29" i="1"/>
  <c r="AJ56" i="1"/>
  <c r="AJ28" i="1"/>
  <c r="AJ59" i="1"/>
  <c r="AJ27" i="1"/>
  <c r="AJ48" i="1"/>
  <c r="AJ34" i="1"/>
  <c r="AJ23" i="1"/>
  <c r="AJ61" i="1"/>
  <c r="AJ21" i="1"/>
  <c r="AJ14" i="1"/>
  <c r="AJ42" i="1"/>
  <c r="AJ57" i="1"/>
  <c r="AJ40" i="1"/>
  <c r="AJ33" i="1"/>
  <c r="AJ31" i="1"/>
  <c r="C153" i="2"/>
  <c r="C144" i="2"/>
  <c r="C135" i="2"/>
  <c r="D34" i="1" s="1"/>
  <c r="C119" i="2"/>
  <c r="C380" i="2" l="1"/>
  <c r="C381" i="2" s="1"/>
  <c r="C382" i="2" s="1"/>
  <c r="C128" i="2"/>
  <c r="D4" i="1"/>
  <c r="C4" i="1"/>
  <c r="H4" i="1" s="1"/>
  <c r="C405" i="2"/>
  <c r="C406" i="2" s="1"/>
  <c r="C407" i="2" s="1"/>
  <c r="C109" i="2"/>
  <c r="D49" i="1"/>
  <c r="C49" i="1"/>
  <c r="C81" i="2"/>
  <c r="C120" i="2"/>
  <c r="C25" i="1"/>
  <c r="G25" i="1" s="1"/>
  <c r="E25" i="1"/>
  <c r="C544" i="2"/>
  <c r="C545" i="2" s="1"/>
  <c r="D12" i="1"/>
  <c r="C12" i="1"/>
  <c r="H12" i="1" s="1"/>
  <c r="C552" i="2"/>
  <c r="C561" i="2"/>
  <c r="C414" i="2"/>
  <c r="C415" i="2" s="1"/>
  <c r="C423" i="2"/>
  <c r="H15" i="1"/>
  <c r="F15" i="1"/>
  <c r="AK44" i="1"/>
  <c r="AK45" i="1"/>
  <c r="AK54" i="1"/>
  <c r="AK55" i="1"/>
  <c r="AK53" i="1"/>
  <c r="AK51" i="1"/>
  <c r="AK50" i="1"/>
  <c r="AK47" i="1"/>
  <c r="AK49" i="1"/>
  <c r="AK52" i="1"/>
  <c r="AK41" i="1"/>
  <c r="AK43" i="1"/>
  <c r="AK60" i="1"/>
  <c r="AK13" i="1"/>
  <c r="AK30" i="1"/>
  <c r="AK64" i="1"/>
  <c r="AK48" i="1"/>
  <c r="AK22" i="1"/>
  <c r="AK31" i="1"/>
  <c r="AK56" i="1"/>
  <c r="AK6" i="1"/>
  <c r="AK26" i="1"/>
  <c r="AK4" i="1"/>
  <c r="AK7" i="1"/>
  <c r="AK58" i="1"/>
  <c r="AK63" i="1"/>
  <c r="AK39" i="1"/>
  <c r="AK12" i="1"/>
  <c r="AK8" i="1"/>
  <c r="AK32" i="1"/>
  <c r="AK23" i="1"/>
  <c r="AK42" i="1"/>
  <c r="AK29" i="1"/>
  <c r="AK16" i="1"/>
  <c r="AK46" i="1"/>
  <c r="AK19" i="1"/>
  <c r="AK59" i="1"/>
  <c r="AK5" i="1"/>
  <c r="AK37" i="1"/>
  <c r="AK15" i="1"/>
  <c r="AK25" i="1"/>
  <c r="AK17" i="1"/>
  <c r="AK28" i="1"/>
  <c r="AK24" i="1"/>
  <c r="AK18" i="1"/>
  <c r="AK20" i="1"/>
  <c r="AK62" i="1"/>
  <c r="AK34" i="1"/>
  <c r="AK9" i="1"/>
  <c r="AL2" i="1"/>
  <c r="AK36" i="1"/>
  <c r="AK14" i="1"/>
  <c r="AK61" i="1"/>
  <c r="AK40" i="1"/>
  <c r="AK27" i="1"/>
  <c r="AK38" i="1"/>
  <c r="AK10" i="1"/>
  <c r="AK35" i="1"/>
  <c r="AK33" i="1"/>
  <c r="AK21" i="1"/>
  <c r="AK11" i="1"/>
  <c r="AK57" i="1"/>
  <c r="C136" i="2"/>
  <c r="C145" i="2"/>
  <c r="C146" i="2" s="1"/>
  <c r="C163" i="2"/>
  <c r="C154" i="2"/>
  <c r="F25" i="1" l="1"/>
  <c r="H25" i="1"/>
  <c r="C110" i="2"/>
  <c r="C121" i="2"/>
  <c r="C122" i="2" s="1"/>
  <c r="C408" i="2"/>
  <c r="C409" i="2" s="1"/>
  <c r="C410" i="2" s="1"/>
  <c r="C411" i="2" s="1"/>
  <c r="C412" i="2" s="1"/>
  <c r="C562" i="2"/>
  <c r="C563" i="2" s="1"/>
  <c r="C564" i="2" s="1"/>
  <c r="C565" i="2" s="1"/>
  <c r="C566" i="2" s="1"/>
  <c r="C571" i="2"/>
  <c r="C82" i="2"/>
  <c r="C416" i="2"/>
  <c r="C417" i="2" s="1"/>
  <c r="C418" i="2" s="1"/>
  <c r="C419" i="2" s="1"/>
  <c r="C420" i="2" s="1"/>
  <c r="C421" i="2" s="1"/>
  <c r="C422" i="2" s="1"/>
  <c r="D54" i="1"/>
  <c r="C553" i="2"/>
  <c r="F4" i="1"/>
  <c r="G4" i="1"/>
  <c r="C129" i="2"/>
  <c r="C130" i="2" s="1"/>
  <c r="E34" i="1"/>
  <c r="F34" i="1" s="1"/>
  <c r="C433" i="2"/>
  <c r="C434" i="2" s="1"/>
  <c r="C424" i="2"/>
  <c r="F12" i="1"/>
  <c r="G12" i="1"/>
  <c r="C546" i="2"/>
  <c r="C547" i="2" s="1"/>
  <c r="C548" i="2" s="1"/>
  <c r="C54" i="1"/>
  <c r="H54" i="1" s="1"/>
  <c r="AL45" i="1"/>
  <c r="AL44" i="1"/>
  <c r="AL54" i="1"/>
  <c r="AL55" i="1"/>
  <c r="AL53" i="1"/>
  <c r="AL51" i="1"/>
  <c r="AL50" i="1"/>
  <c r="AL47" i="1"/>
  <c r="AL49" i="1"/>
  <c r="AL52" i="1"/>
  <c r="AL41" i="1"/>
  <c r="AL43" i="1"/>
  <c r="AL60" i="1"/>
  <c r="AL61" i="1"/>
  <c r="AL31" i="1"/>
  <c r="AL23" i="1"/>
  <c r="AL38" i="1"/>
  <c r="AL35" i="1"/>
  <c r="AL29" i="1"/>
  <c r="AL34" i="1"/>
  <c r="AL24" i="1"/>
  <c r="AL10" i="1"/>
  <c r="AL62" i="1"/>
  <c r="AL59" i="1"/>
  <c r="AL16" i="1"/>
  <c r="AL33" i="1"/>
  <c r="AL37" i="1"/>
  <c r="AL26" i="1"/>
  <c r="AL5" i="1"/>
  <c r="AL42" i="1"/>
  <c r="AL18" i="1"/>
  <c r="AL39" i="1"/>
  <c r="AL40" i="1"/>
  <c r="AL15" i="1"/>
  <c r="AL27" i="1"/>
  <c r="AL63" i="1"/>
  <c r="AL4" i="1"/>
  <c r="AL9" i="1"/>
  <c r="AM2" i="1"/>
  <c r="AL19" i="1"/>
  <c r="AL22" i="1"/>
  <c r="AL7" i="1"/>
  <c r="AL56" i="1"/>
  <c r="AL48" i="1"/>
  <c r="AL14" i="1"/>
  <c r="AL64" i="1"/>
  <c r="AL8" i="1"/>
  <c r="AL12" i="1"/>
  <c r="AL58" i="1"/>
  <c r="AL57" i="1"/>
  <c r="AL32" i="1"/>
  <c r="AL11" i="1"/>
  <c r="AL6" i="1"/>
  <c r="AL17" i="1"/>
  <c r="AL46" i="1"/>
  <c r="AL25" i="1"/>
  <c r="AL20" i="1"/>
  <c r="AL28" i="1"/>
  <c r="AL36" i="1"/>
  <c r="AL13" i="1"/>
  <c r="AL30" i="1"/>
  <c r="AL21" i="1"/>
  <c r="F49" i="1"/>
  <c r="G49" i="1"/>
  <c r="C147" i="2"/>
  <c r="C164" i="2"/>
  <c r="C173" i="2"/>
  <c r="C155" i="2"/>
  <c r="C137" i="2"/>
  <c r="H49" i="1"/>
  <c r="C60" i="1" l="1"/>
  <c r="D60" i="1"/>
  <c r="C581" i="2"/>
  <c r="C572" i="2"/>
  <c r="C573" i="2" s="1"/>
  <c r="C5" i="1"/>
  <c r="H5" i="1" s="1"/>
  <c r="D5" i="1"/>
  <c r="C425" i="2"/>
  <c r="C567" i="2"/>
  <c r="E7" i="1"/>
  <c r="C7" i="1"/>
  <c r="G7" i="1" s="1"/>
  <c r="C111" i="2"/>
  <c r="D10" i="1"/>
  <c r="C435" i="2"/>
  <c r="C554" i="2"/>
  <c r="C555" i="2" s="1"/>
  <c r="F54" i="1"/>
  <c r="G54" i="1"/>
  <c r="C131" i="2"/>
  <c r="E50" i="1"/>
  <c r="C549" i="2"/>
  <c r="C550" i="2" s="1"/>
  <c r="AM44" i="1"/>
  <c r="AM45" i="1"/>
  <c r="AM54" i="1"/>
  <c r="AM55" i="1"/>
  <c r="AM53" i="1"/>
  <c r="AM51" i="1"/>
  <c r="AM50" i="1"/>
  <c r="AM47" i="1"/>
  <c r="AM52" i="1"/>
  <c r="AM49" i="1"/>
  <c r="AM41" i="1"/>
  <c r="AM43" i="1"/>
  <c r="AM60" i="1"/>
  <c r="AM42" i="1"/>
  <c r="AM30" i="1"/>
  <c r="AM31" i="1"/>
  <c r="AM40" i="1"/>
  <c r="AM62" i="1"/>
  <c r="AM63" i="1"/>
  <c r="AM13" i="1"/>
  <c r="AM17" i="1"/>
  <c r="AM11" i="1"/>
  <c r="AM7" i="1"/>
  <c r="AM27" i="1"/>
  <c r="AM23" i="1"/>
  <c r="AM4" i="1"/>
  <c r="AM5" i="1"/>
  <c r="AM14" i="1"/>
  <c r="AM36" i="1"/>
  <c r="AM9" i="1"/>
  <c r="AM21" i="1"/>
  <c r="AM29" i="1"/>
  <c r="AM59" i="1"/>
  <c r="AM33" i="1"/>
  <c r="AM16" i="1"/>
  <c r="AM26" i="1"/>
  <c r="AM37" i="1"/>
  <c r="AM8" i="1"/>
  <c r="AM22" i="1"/>
  <c r="AM56" i="1"/>
  <c r="AM35" i="1"/>
  <c r="AM25" i="1"/>
  <c r="AM57" i="1"/>
  <c r="AM15" i="1"/>
  <c r="AM48" i="1"/>
  <c r="AM24" i="1"/>
  <c r="AM20" i="1"/>
  <c r="AM18" i="1"/>
  <c r="AM58" i="1"/>
  <c r="AM64" i="1"/>
  <c r="AM12" i="1"/>
  <c r="AM38" i="1"/>
  <c r="AM46" i="1"/>
  <c r="AM34" i="1"/>
  <c r="AM6" i="1"/>
  <c r="AM28" i="1"/>
  <c r="AM61" i="1"/>
  <c r="AM39" i="1"/>
  <c r="AM10" i="1"/>
  <c r="AM19" i="1"/>
  <c r="AM32" i="1"/>
  <c r="AN2" i="1"/>
  <c r="C174" i="2"/>
  <c r="C175" i="2" s="1"/>
  <c r="C176" i="2" s="1"/>
  <c r="C177" i="2" s="1"/>
  <c r="C138" i="2"/>
  <c r="C165" i="2"/>
  <c r="C148" i="2"/>
  <c r="C156" i="2"/>
  <c r="C556" i="2" l="1"/>
  <c r="C557" i="2" s="1"/>
  <c r="C132" i="2"/>
  <c r="H7" i="1"/>
  <c r="F7" i="1"/>
  <c r="D61" i="1"/>
  <c r="C112" i="2"/>
  <c r="E33" i="1"/>
  <c r="C33" i="1"/>
  <c r="C568" i="2"/>
  <c r="C569" i="2" s="1"/>
  <c r="C570" i="2" s="1"/>
  <c r="C574" i="2"/>
  <c r="C575" i="2" s="1"/>
  <c r="D21" i="1"/>
  <c r="C21" i="1"/>
  <c r="H21" i="1" s="1"/>
  <c r="C436" i="2"/>
  <c r="D45" i="1"/>
  <c r="C426" i="2"/>
  <c r="C427" i="2" s="1"/>
  <c r="D56" i="1"/>
  <c r="C591" i="2"/>
  <c r="C582" i="2"/>
  <c r="F5" i="1"/>
  <c r="G5" i="1"/>
  <c r="E35" i="1"/>
  <c r="D33" i="1"/>
  <c r="AN44" i="1"/>
  <c r="AN45" i="1"/>
  <c r="AN54" i="1"/>
  <c r="AN55" i="1"/>
  <c r="AN53" i="1"/>
  <c r="AN51" i="1"/>
  <c r="AN50" i="1"/>
  <c r="AN47" i="1"/>
  <c r="AN52" i="1"/>
  <c r="AN49" i="1"/>
  <c r="AN41" i="1"/>
  <c r="AN43" i="1"/>
  <c r="AN60" i="1"/>
  <c r="AN14" i="1"/>
  <c r="AN28" i="1"/>
  <c r="AN64" i="1"/>
  <c r="AN38" i="1"/>
  <c r="AN26" i="1"/>
  <c r="AN59" i="1"/>
  <c r="AN5" i="1"/>
  <c r="AN35" i="1"/>
  <c r="AN9" i="1"/>
  <c r="AN7" i="1"/>
  <c r="AN20" i="1"/>
  <c r="AN30" i="1"/>
  <c r="AN4" i="1"/>
  <c r="AN62" i="1"/>
  <c r="AN33" i="1"/>
  <c r="AN24" i="1"/>
  <c r="AN29" i="1"/>
  <c r="AN48" i="1"/>
  <c r="AN36" i="1"/>
  <c r="AN22" i="1"/>
  <c r="AN16" i="1"/>
  <c r="AN10" i="1"/>
  <c r="AN13" i="1"/>
  <c r="AN11" i="1"/>
  <c r="AN57" i="1"/>
  <c r="AN17" i="1"/>
  <c r="AN23" i="1"/>
  <c r="AN42" i="1"/>
  <c r="AN39" i="1"/>
  <c r="AN6" i="1"/>
  <c r="AN58" i="1"/>
  <c r="AO2" i="1"/>
  <c r="AN19" i="1"/>
  <c r="AN8" i="1"/>
  <c r="AN18" i="1"/>
  <c r="AN25" i="1"/>
  <c r="AN61" i="1"/>
  <c r="AN27" i="1"/>
  <c r="AN12" i="1"/>
  <c r="AN56" i="1"/>
  <c r="AN21" i="1"/>
  <c r="AN32" i="1"/>
  <c r="AN15" i="1"/>
  <c r="AN63" i="1"/>
  <c r="AN34" i="1"/>
  <c r="AN37" i="1"/>
  <c r="AN40" i="1"/>
  <c r="AN31" i="1"/>
  <c r="AN46" i="1"/>
  <c r="C157" i="2"/>
  <c r="C166" i="2"/>
  <c r="C139" i="2"/>
  <c r="C140" i="2" s="1"/>
  <c r="F60" i="1"/>
  <c r="G60" i="1"/>
  <c r="H60" i="1"/>
  <c r="C149" i="2"/>
  <c r="C150" i="2" s="1"/>
  <c r="C178" i="2"/>
  <c r="C179" i="2" s="1"/>
  <c r="G21" i="1" l="1"/>
  <c r="F21" i="1"/>
  <c r="C583" i="2"/>
  <c r="C576" i="2"/>
  <c r="D48" i="1"/>
  <c r="C39" i="1"/>
  <c r="G39" i="1" s="1"/>
  <c r="E39" i="1"/>
  <c r="C601" i="2"/>
  <c r="C592" i="2"/>
  <c r="D36" i="1"/>
  <c r="C558" i="2"/>
  <c r="C559" i="2" s="1"/>
  <c r="C560" i="2" s="1"/>
  <c r="C28" i="1"/>
  <c r="G28" i="1" s="1"/>
  <c r="E28" i="1"/>
  <c r="C437" i="2"/>
  <c r="C438" i="2" s="1"/>
  <c r="D19" i="1"/>
  <c r="C19" i="1"/>
  <c r="H19" i="1" s="1"/>
  <c r="C428" i="2"/>
  <c r="AO45" i="1"/>
  <c r="AO44" i="1"/>
  <c r="AO54" i="1"/>
  <c r="AO55" i="1"/>
  <c r="AO53" i="1"/>
  <c r="AO50" i="1"/>
  <c r="AO51" i="1"/>
  <c r="AO47" i="1"/>
  <c r="AO52" i="1"/>
  <c r="AO49" i="1"/>
  <c r="AO41" i="1"/>
  <c r="AO43" i="1"/>
  <c r="AO60" i="1"/>
  <c r="AO28" i="1"/>
  <c r="AO4" i="1"/>
  <c r="AO27" i="1"/>
  <c r="AO14" i="1"/>
  <c r="AO59" i="1"/>
  <c r="AO36" i="1"/>
  <c r="AO61" i="1"/>
  <c r="AO25" i="1"/>
  <c r="AO5" i="1"/>
  <c r="AO37" i="1"/>
  <c r="AO24" i="1"/>
  <c r="AO7" i="1"/>
  <c r="AO10" i="1"/>
  <c r="AO39" i="1"/>
  <c r="AO13" i="1"/>
  <c r="AO31" i="1"/>
  <c r="AO57" i="1"/>
  <c r="AO62" i="1"/>
  <c r="AO38" i="1"/>
  <c r="AO8" i="1"/>
  <c r="AO17" i="1"/>
  <c r="AO9" i="1"/>
  <c r="AO48" i="1"/>
  <c r="AO11" i="1"/>
  <c r="AO46" i="1"/>
  <c r="AO6" i="1"/>
  <c r="AO64" i="1"/>
  <c r="AO20" i="1"/>
  <c r="AO35" i="1"/>
  <c r="AO15" i="1"/>
  <c r="AO63" i="1"/>
  <c r="AO58" i="1"/>
  <c r="AO56" i="1"/>
  <c r="AP2" i="1"/>
  <c r="AO16" i="1"/>
  <c r="AO32" i="1"/>
  <c r="AO18" i="1"/>
  <c r="AO42" i="1"/>
  <c r="AO26" i="1"/>
  <c r="AO34" i="1"/>
  <c r="AO21" i="1"/>
  <c r="AO19" i="1"/>
  <c r="AO40" i="1"/>
  <c r="AO29" i="1"/>
  <c r="AO33" i="1"/>
  <c r="AO12" i="1"/>
  <c r="AO22" i="1"/>
  <c r="AO30" i="1"/>
  <c r="AO23" i="1"/>
  <c r="G33" i="1"/>
  <c r="C141" i="2"/>
  <c r="C158" i="2"/>
  <c r="C159" i="2" s="1"/>
  <c r="H33" i="1"/>
  <c r="F33" i="1"/>
  <c r="C151" i="2"/>
  <c r="C180" i="2"/>
  <c r="C181" i="2" s="1"/>
  <c r="C167" i="2"/>
  <c r="H28" i="1" l="1"/>
  <c r="F28" i="1"/>
  <c r="E10" i="1"/>
  <c r="C10" i="1"/>
  <c r="G10" i="1" s="1"/>
  <c r="C429" i="2"/>
  <c r="E63" i="1"/>
  <c r="C63" i="1"/>
  <c r="G63" i="1" s="1"/>
  <c r="C32" i="1"/>
  <c r="G32" i="1" s="1"/>
  <c r="E32" i="1"/>
  <c r="F39" i="1"/>
  <c r="H39" i="1"/>
  <c r="C11" i="1"/>
  <c r="E11" i="1"/>
  <c r="C577" i="2"/>
  <c r="G19" i="1"/>
  <c r="F19" i="1"/>
  <c r="C593" i="2"/>
  <c r="C594" i="2" s="1"/>
  <c r="C160" i="2"/>
  <c r="E46" i="1"/>
  <c r="C46" i="1"/>
  <c r="G46" i="1" s="1"/>
  <c r="C439" i="2"/>
  <c r="C611" i="2"/>
  <c r="C602" i="2"/>
  <c r="C603" i="2" s="1"/>
  <c r="D22" i="1"/>
  <c r="C22" i="1"/>
  <c r="H22" i="1" s="1"/>
  <c r="C584" i="2"/>
  <c r="AP44" i="1"/>
  <c r="AP45" i="1"/>
  <c r="AP54" i="1"/>
  <c r="AP55" i="1"/>
  <c r="AP53" i="1"/>
  <c r="AP51" i="1"/>
  <c r="AP50" i="1"/>
  <c r="AP47" i="1"/>
  <c r="AP52" i="1"/>
  <c r="AP49" i="1"/>
  <c r="AP41" i="1"/>
  <c r="AP43" i="1"/>
  <c r="AP60" i="1"/>
  <c r="AP64" i="1"/>
  <c r="AP36" i="1"/>
  <c r="AP9" i="1"/>
  <c r="AP14" i="1"/>
  <c r="AP28" i="1"/>
  <c r="AP59" i="1"/>
  <c r="AP15" i="1"/>
  <c r="AP63" i="1"/>
  <c r="AP13" i="1"/>
  <c r="AP48" i="1"/>
  <c r="AP18" i="1"/>
  <c r="AP21" i="1"/>
  <c r="AP30" i="1"/>
  <c r="AP10" i="1"/>
  <c r="AP37" i="1"/>
  <c r="AP12" i="1"/>
  <c r="AP33" i="1"/>
  <c r="AP31" i="1"/>
  <c r="AP39" i="1"/>
  <c r="AQ2" i="1"/>
  <c r="AP35" i="1"/>
  <c r="AP62" i="1"/>
  <c r="AP17" i="1"/>
  <c r="AP42" i="1"/>
  <c r="AP57" i="1"/>
  <c r="AP56" i="1"/>
  <c r="AP23" i="1"/>
  <c r="AP29" i="1"/>
  <c r="AP27" i="1"/>
  <c r="AP5" i="1"/>
  <c r="AP61" i="1"/>
  <c r="AP22" i="1"/>
  <c r="AP46" i="1"/>
  <c r="AP58" i="1"/>
  <c r="AP8" i="1"/>
  <c r="AP38" i="1"/>
  <c r="AP24" i="1"/>
  <c r="AP32" i="1"/>
  <c r="AP34" i="1"/>
  <c r="AP19" i="1"/>
  <c r="AP11" i="1"/>
  <c r="AP16" i="1"/>
  <c r="AP25" i="1"/>
  <c r="AP6" i="1"/>
  <c r="AP4" i="1"/>
  <c r="AP40" i="1"/>
  <c r="AP20" i="1"/>
  <c r="AP26" i="1"/>
  <c r="AP7" i="1"/>
  <c r="C168" i="2"/>
  <c r="C169" i="2" s="1"/>
  <c r="C142" i="2"/>
  <c r="C152" i="2"/>
  <c r="C182" i="2"/>
  <c r="C161" i="2"/>
  <c r="C621" i="2" l="1"/>
  <c r="C612" i="2"/>
  <c r="H63" i="1"/>
  <c r="F63" i="1"/>
  <c r="E8" i="1"/>
  <c r="C8" i="1"/>
  <c r="C440" i="2"/>
  <c r="C595" i="2"/>
  <c r="C430" i="2"/>
  <c r="H46" i="1"/>
  <c r="F46" i="1"/>
  <c r="H10" i="1"/>
  <c r="F10" i="1"/>
  <c r="E14" i="1"/>
  <c r="C14" i="1"/>
  <c r="C604" i="2"/>
  <c r="C605" i="2" s="1"/>
  <c r="C606" i="2" s="1"/>
  <c r="C607" i="2" s="1"/>
  <c r="C608" i="2" s="1"/>
  <c r="C609" i="2" s="1"/>
  <c r="C610" i="2" s="1"/>
  <c r="C585" i="2"/>
  <c r="D50" i="1"/>
  <c r="C50" i="1"/>
  <c r="H50" i="1" s="1"/>
  <c r="C26" i="1"/>
  <c r="E26" i="1"/>
  <c r="G22" i="1"/>
  <c r="F22" i="1"/>
  <c r="C578" i="2"/>
  <c r="AQ44" i="1"/>
  <c r="AQ45" i="1"/>
  <c r="AQ54" i="1"/>
  <c r="AQ55" i="1"/>
  <c r="AQ53" i="1"/>
  <c r="AQ51" i="1"/>
  <c r="AQ50" i="1"/>
  <c r="AQ47" i="1"/>
  <c r="AQ52" i="1"/>
  <c r="AQ49" i="1"/>
  <c r="AQ41" i="1"/>
  <c r="AQ43" i="1"/>
  <c r="AQ60" i="1"/>
  <c r="AQ23" i="1"/>
  <c r="AQ24" i="1"/>
  <c r="AQ48" i="1"/>
  <c r="AQ29" i="1"/>
  <c r="AQ19" i="1"/>
  <c r="AQ28" i="1"/>
  <c r="AQ56" i="1"/>
  <c r="AQ9" i="1"/>
  <c r="AQ33" i="1"/>
  <c r="AQ4" i="1"/>
  <c r="AQ58" i="1"/>
  <c r="AQ31" i="1"/>
  <c r="AQ34" i="1"/>
  <c r="AQ16" i="1"/>
  <c r="AQ11" i="1"/>
  <c r="AR2" i="1"/>
  <c r="AQ25" i="1"/>
  <c r="AQ39" i="1"/>
  <c r="AQ7" i="1"/>
  <c r="AQ8" i="1"/>
  <c r="AQ35" i="1"/>
  <c r="AQ32" i="1"/>
  <c r="AQ10" i="1"/>
  <c r="AQ26" i="1"/>
  <c r="AQ57" i="1"/>
  <c r="AQ36" i="1"/>
  <c r="AQ59" i="1"/>
  <c r="AQ17" i="1"/>
  <c r="AQ37" i="1"/>
  <c r="AQ40" i="1"/>
  <c r="AQ6" i="1"/>
  <c r="AQ38" i="1"/>
  <c r="AQ27" i="1"/>
  <c r="AQ18" i="1"/>
  <c r="AQ14" i="1"/>
  <c r="AQ63" i="1"/>
  <c r="AQ15" i="1"/>
  <c r="AQ20" i="1"/>
  <c r="AQ22" i="1"/>
  <c r="AQ46" i="1"/>
  <c r="AQ13" i="1"/>
  <c r="AQ62" i="1"/>
  <c r="AQ42" i="1"/>
  <c r="AQ21" i="1"/>
  <c r="AQ12" i="1"/>
  <c r="AQ5" i="1"/>
  <c r="AQ64" i="1"/>
  <c r="AQ61" i="1"/>
  <c r="AQ30" i="1"/>
  <c r="G27" i="1"/>
  <c r="H27" i="1"/>
  <c r="F27" i="1"/>
  <c r="G11" i="1"/>
  <c r="H11" i="1"/>
  <c r="F11" i="1"/>
  <c r="C162" i="2"/>
  <c r="C170" i="2"/>
  <c r="F32" i="1"/>
  <c r="H32" i="1"/>
  <c r="C596" i="2" l="1"/>
  <c r="C597" i="2" s="1"/>
  <c r="C579" i="2"/>
  <c r="G50" i="1"/>
  <c r="F50" i="1"/>
  <c r="C586" i="2"/>
  <c r="C587" i="2" s="1"/>
  <c r="E38" i="1"/>
  <c r="C431" i="2"/>
  <c r="C613" i="2"/>
  <c r="C622" i="2"/>
  <c r="AR44" i="1"/>
  <c r="AR45" i="1"/>
  <c r="AR54" i="1"/>
  <c r="AR55" i="1"/>
  <c r="AR53" i="1"/>
  <c r="AR51" i="1"/>
  <c r="AR50" i="1"/>
  <c r="AR47" i="1"/>
  <c r="AR49" i="1"/>
  <c r="AR52" i="1"/>
  <c r="AR41" i="1"/>
  <c r="AR43" i="1"/>
  <c r="AR60" i="1"/>
  <c r="AR23" i="1"/>
  <c r="AR9" i="1"/>
  <c r="AR27" i="1"/>
  <c r="AR63" i="1"/>
  <c r="AR12" i="1"/>
  <c r="AR36" i="1"/>
  <c r="AR6" i="1"/>
  <c r="AR8" i="1"/>
  <c r="AR33" i="1"/>
  <c r="AR29" i="1"/>
  <c r="AR56" i="1"/>
  <c r="AR64" i="1"/>
  <c r="AR16" i="1"/>
  <c r="AR10" i="1"/>
  <c r="AR38" i="1"/>
  <c r="AR30" i="1"/>
  <c r="AR42" i="1"/>
  <c r="AR31" i="1"/>
  <c r="AR7" i="1"/>
  <c r="AR14" i="1"/>
  <c r="AR18" i="1"/>
  <c r="AR19" i="1"/>
  <c r="AR22" i="1"/>
  <c r="AR15" i="1"/>
  <c r="AR17" i="1"/>
  <c r="AR62" i="1"/>
  <c r="AR11" i="1"/>
  <c r="AR5" i="1"/>
  <c r="AR46" i="1"/>
  <c r="AR24" i="1"/>
  <c r="AR58" i="1"/>
  <c r="AR21" i="1"/>
  <c r="AR57" i="1"/>
  <c r="AR32" i="1"/>
  <c r="AR28" i="1"/>
  <c r="AR59" i="1"/>
  <c r="AR13" i="1"/>
  <c r="AR37" i="1"/>
  <c r="AS2" i="1"/>
  <c r="AR40" i="1"/>
  <c r="AR4" i="1"/>
  <c r="AR39" i="1"/>
  <c r="AR25" i="1"/>
  <c r="AR34" i="1"/>
  <c r="AR48" i="1"/>
  <c r="AR20" i="1"/>
  <c r="AR26" i="1"/>
  <c r="AR35" i="1"/>
  <c r="AR61" i="1"/>
  <c r="G14" i="1"/>
  <c r="H8" i="1"/>
  <c r="F8" i="1"/>
  <c r="G26" i="1"/>
  <c r="F14" i="1"/>
  <c r="H14" i="1"/>
  <c r="C171" i="2"/>
  <c r="H26" i="1"/>
  <c r="F26" i="1"/>
  <c r="G8" i="1"/>
  <c r="C623" i="2" l="1"/>
  <c r="C624" i="2" s="1"/>
  <c r="C625" i="2" s="1"/>
  <c r="C626" i="2" s="1"/>
  <c r="C627" i="2" s="1"/>
  <c r="C614" i="2"/>
  <c r="C588" i="2"/>
  <c r="C589" i="2" s="1"/>
  <c r="C580" i="2"/>
  <c r="E52" i="1"/>
  <c r="C52" i="1"/>
  <c r="G52" i="1" s="1"/>
  <c r="C432" i="2"/>
  <c r="C598" i="2"/>
  <c r="C599" i="2" s="1"/>
  <c r="E61" i="1"/>
  <c r="C61" i="1"/>
  <c r="G61" i="1" s="1"/>
  <c r="AS44" i="1"/>
  <c r="AS45" i="1"/>
  <c r="AS54" i="1"/>
  <c r="AS55" i="1"/>
  <c r="AS53" i="1"/>
  <c r="AS50" i="1"/>
  <c r="AS51" i="1"/>
  <c r="AS47" i="1"/>
  <c r="AS49" i="1"/>
  <c r="AS52" i="1"/>
  <c r="AS41" i="1"/>
  <c r="AS43" i="1"/>
  <c r="AS60" i="1"/>
  <c r="AS15" i="1"/>
  <c r="AS19" i="1"/>
  <c r="AS9" i="1"/>
  <c r="AS25" i="1"/>
  <c r="AS10" i="1"/>
  <c r="AS5" i="1"/>
  <c r="AS37" i="1"/>
  <c r="AS33" i="1"/>
  <c r="AS26" i="1"/>
  <c r="AS46" i="1"/>
  <c r="AS56" i="1"/>
  <c r="AS32" i="1"/>
  <c r="AS16" i="1"/>
  <c r="AS6" i="1"/>
  <c r="AS59" i="1"/>
  <c r="AS30" i="1"/>
  <c r="AS36" i="1"/>
  <c r="AS20" i="1"/>
  <c r="AS7" i="1"/>
  <c r="AS18" i="1"/>
  <c r="AS17" i="1"/>
  <c r="AS28" i="1"/>
  <c r="AS57" i="1"/>
  <c r="AS62" i="1"/>
  <c r="AS11" i="1"/>
  <c r="AS21" i="1"/>
  <c r="AS42" i="1"/>
  <c r="AS14" i="1"/>
  <c r="AS23" i="1"/>
  <c r="AS58" i="1"/>
  <c r="AS12" i="1"/>
  <c r="AS39" i="1"/>
  <c r="AS48" i="1"/>
  <c r="AS24" i="1"/>
  <c r="AS38" i="1"/>
  <c r="AS61" i="1"/>
  <c r="AT2" i="1"/>
  <c r="AS34" i="1"/>
  <c r="AS29" i="1"/>
  <c r="AS40" i="1"/>
  <c r="AS27" i="1"/>
  <c r="AS64" i="1"/>
  <c r="AS35" i="1"/>
  <c r="AS4" i="1"/>
  <c r="AS63" i="1"/>
  <c r="AS31" i="1"/>
  <c r="AS22" i="1"/>
  <c r="AS8" i="1"/>
  <c r="AS13" i="1"/>
  <c r="C172" i="2"/>
  <c r="E45" i="1" l="1"/>
  <c r="C45" i="1"/>
  <c r="G45" i="1" s="1"/>
  <c r="E43" i="1"/>
  <c r="C43" i="1"/>
  <c r="H52" i="1"/>
  <c r="F52" i="1"/>
  <c r="C615" i="2"/>
  <c r="C628" i="2"/>
  <c r="H61" i="1"/>
  <c r="F61" i="1"/>
  <c r="E6" i="1"/>
  <c r="C600" i="2"/>
  <c r="C6" i="1"/>
  <c r="C590" i="2"/>
  <c r="AT45" i="1"/>
  <c r="AT44" i="1"/>
  <c r="AT54" i="1"/>
  <c r="AT55" i="1"/>
  <c r="AT53" i="1"/>
  <c r="AT51" i="1"/>
  <c r="AT50" i="1"/>
  <c r="AT47" i="1"/>
  <c r="AT49" i="1"/>
  <c r="AT52" i="1"/>
  <c r="AT41" i="1"/>
  <c r="AT43" i="1"/>
  <c r="AT60" i="1"/>
  <c r="AT27" i="1"/>
  <c r="AT36" i="1"/>
  <c r="AT7" i="1"/>
  <c r="AT22" i="1"/>
  <c r="AT30" i="1"/>
  <c r="AT6" i="1"/>
  <c r="AT61" i="1"/>
  <c r="AT14" i="1"/>
  <c r="AT62" i="1"/>
  <c r="AU2" i="1"/>
  <c r="AT12" i="1"/>
  <c r="AT38" i="1"/>
  <c r="AT59" i="1"/>
  <c r="AT26" i="1"/>
  <c r="AT63" i="1"/>
  <c r="AT37" i="1"/>
  <c r="AT56" i="1"/>
  <c r="AT10" i="1"/>
  <c r="AT57" i="1"/>
  <c r="AT5" i="1"/>
  <c r="AT32" i="1"/>
  <c r="AT16" i="1"/>
  <c r="AT21" i="1"/>
  <c r="AT33" i="1"/>
  <c r="AT4" i="1"/>
  <c r="AT11" i="1"/>
  <c r="AT15" i="1"/>
  <c r="AT34" i="1"/>
  <c r="AT23" i="1"/>
  <c r="AT48" i="1"/>
  <c r="AT17" i="1"/>
  <c r="AT9" i="1"/>
  <c r="AT31" i="1"/>
  <c r="AT19" i="1"/>
  <c r="AT58" i="1"/>
  <c r="AT18" i="1"/>
  <c r="AT40" i="1"/>
  <c r="AT8" i="1"/>
  <c r="AT46" i="1"/>
  <c r="AT35" i="1"/>
  <c r="AT39" i="1"/>
  <c r="AT28" i="1"/>
  <c r="AT25" i="1"/>
  <c r="AT42" i="1"/>
  <c r="AT20" i="1"/>
  <c r="AT13" i="1"/>
  <c r="AT29" i="1"/>
  <c r="AT64" i="1"/>
  <c r="AT24" i="1"/>
  <c r="C616" i="2" l="1"/>
  <c r="D6" i="1"/>
  <c r="H6" i="1"/>
  <c r="C629" i="2"/>
  <c r="H45" i="1"/>
  <c r="F45" i="1"/>
  <c r="AU44" i="1"/>
  <c r="AU45" i="1"/>
  <c r="AU54" i="1"/>
  <c r="AU55" i="1"/>
  <c r="AU53" i="1"/>
  <c r="AU51" i="1"/>
  <c r="AU50" i="1"/>
  <c r="AU47" i="1"/>
  <c r="AU49" i="1"/>
  <c r="AU52" i="1"/>
  <c r="AU41" i="1"/>
  <c r="AU43" i="1"/>
  <c r="AU60" i="1"/>
  <c r="AU27" i="1"/>
  <c r="AU34" i="1"/>
  <c r="AU46" i="1"/>
  <c r="AU8" i="1"/>
  <c r="AU9" i="1"/>
  <c r="AU26" i="1"/>
  <c r="AU61" i="1"/>
  <c r="AU4" i="1"/>
  <c r="AU12" i="1"/>
  <c r="AU15" i="1"/>
  <c r="AU33" i="1"/>
  <c r="AU31" i="1"/>
  <c r="AU25" i="1"/>
  <c r="AU30" i="1"/>
  <c r="AU63" i="1"/>
  <c r="AU7" i="1"/>
  <c r="AU21" i="1"/>
  <c r="AU5" i="1"/>
  <c r="AU18" i="1"/>
  <c r="AU19" i="1"/>
  <c r="AU40" i="1"/>
  <c r="AU48" i="1"/>
  <c r="AU20" i="1"/>
  <c r="AU35" i="1"/>
  <c r="AU36" i="1"/>
  <c r="AU17" i="1"/>
  <c r="AU56" i="1"/>
  <c r="AU42" i="1"/>
  <c r="AU6" i="1"/>
  <c r="AU62" i="1"/>
  <c r="AU10" i="1"/>
  <c r="AU14" i="1"/>
  <c r="AU57" i="1"/>
  <c r="AU32" i="1"/>
  <c r="AU64" i="1"/>
  <c r="AU58" i="1"/>
  <c r="AU28" i="1"/>
  <c r="AV2" i="1"/>
  <c r="AU39" i="1"/>
  <c r="AU24" i="1"/>
  <c r="AU22" i="1"/>
  <c r="AU23" i="1"/>
  <c r="AU11" i="1"/>
  <c r="AU29" i="1"/>
  <c r="AU37" i="1"/>
  <c r="AU16" i="1"/>
  <c r="AU59" i="1"/>
  <c r="AU38" i="1"/>
  <c r="AU13" i="1"/>
  <c r="F43" i="1"/>
  <c r="H43" i="1"/>
  <c r="G43" i="1"/>
  <c r="C630" i="2" l="1"/>
  <c r="C631" i="2" s="1"/>
  <c r="G6" i="1"/>
  <c r="F6" i="1"/>
  <c r="C617" i="2"/>
  <c r="AV44" i="1"/>
  <c r="AV45" i="1"/>
  <c r="AV54" i="1"/>
  <c r="AV55" i="1"/>
  <c r="AV53" i="1"/>
  <c r="AV51" i="1"/>
  <c r="AV50" i="1"/>
  <c r="AV47" i="1"/>
  <c r="AV52" i="1"/>
  <c r="AV49" i="1"/>
  <c r="AV41" i="1"/>
  <c r="AV43" i="1"/>
  <c r="AV60" i="1"/>
  <c r="AV59" i="1"/>
  <c r="AV23" i="1"/>
  <c r="AV19" i="1"/>
  <c r="AV39" i="1"/>
  <c r="AV18" i="1"/>
  <c r="AV48" i="1"/>
  <c r="AV61" i="1"/>
  <c r="AV46" i="1"/>
  <c r="AV24" i="1"/>
  <c r="AV7" i="1"/>
  <c r="AV33" i="1"/>
  <c r="AV30" i="1"/>
  <c r="AV38" i="1"/>
  <c r="AV63" i="1"/>
  <c r="AV42" i="1"/>
  <c r="AV11" i="1"/>
  <c r="AV25" i="1"/>
  <c r="AV17" i="1"/>
  <c r="AV26" i="1"/>
  <c r="AV6" i="1"/>
  <c r="AW2" i="1"/>
  <c r="AV32" i="1"/>
  <c r="AV20" i="1"/>
  <c r="AV31" i="1"/>
  <c r="AV35" i="1"/>
  <c r="AV4" i="1"/>
  <c r="AV37" i="1"/>
  <c r="AV36" i="1"/>
  <c r="AV22" i="1"/>
  <c r="AV58" i="1"/>
  <c r="AV57" i="1"/>
  <c r="AV62" i="1"/>
  <c r="AV9" i="1"/>
  <c r="AV34" i="1"/>
  <c r="AV15" i="1"/>
  <c r="AV14" i="1"/>
  <c r="AV21" i="1"/>
  <c r="AV13" i="1"/>
  <c r="AV5" i="1"/>
  <c r="AV16" i="1"/>
  <c r="AV10" i="1"/>
  <c r="AV56" i="1"/>
  <c r="AV8" i="1"/>
  <c r="AV64" i="1"/>
  <c r="AV29" i="1"/>
  <c r="AV27" i="1"/>
  <c r="AV28" i="1"/>
  <c r="AV40" i="1"/>
  <c r="AV12" i="1"/>
  <c r="C618" i="2" l="1"/>
  <c r="E40" i="1"/>
  <c r="C632" i="2"/>
  <c r="AW44" i="1"/>
  <c r="AW45" i="1"/>
  <c r="AW54" i="1"/>
  <c r="AW55" i="1"/>
  <c r="AW53" i="1"/>
  <c r="AW50" i="1"/>
  <c r="AW51" i="1"/>
  <c r="AW47" i="1"/>
  <c r="AW52" i="1"/>
  <c r="AW49" i="1"/>
  <c r="AW41" i="1"/>
  <c r="AW43" i="1"/>
  <c r="AW60" i="1"/>
  <c r="AW59" i="1"/>
  <c r="AW12" i="1"/>
  <c r="AW6" i="1"/>
  <c r="AW36" i="1"/>
  <c r="AW58" i="1"/>
  <c r="AW25" i="1"/>
  <c r="AW61" i="1"/>
  <c r="AW17" i="1"/>
  <c r="AW18" i="1"/>
  <c r="AW28" i="1"/>
  <c r="AW5" i="1"/>
  <c r="AW35" i="1"/>
  <c r="AW8" i="1"/>
  <c r="AW31" i="1"/>
  <c r="AW34" i="1"/>
  <c r="AW29" i="1"/>
  <c r="AW9" i="1"/>
  <c r="AW20" i="1"/>
  <c r="AW48" i="1"/>
  <c r="AW26" i="1"/>
  <c r="AW40" i="1"/>
  <c r="AW37" i="1"/>
  <c r="AW64" i="1"/>
  <c r="AW46" i="1"/>
  <c r="AW63" i="1"/>
  <c r="AW15" i="1"/>
  <c r="AX2" i="1"/>
  <c r="AW7" i="1"/>
  <c r="AW42" i="1"/>
  <c r="AW16" i="1"/>
  <c r="AW22" i="1"/>
  <c r="AW30" i="1"/>
  <c r="AW56" i="1"/>
  <c r="AW38" i="1"/>
  <c r="AW23" i="1"/>
  <c r="AW39" i="1"/>
  <c r="AW33" i="1"/>
  <c r="AW4" i="1"/>
  <c r="AW21" i="1"/>
  <c r="AW13" i="1"/>
  <c r="AW32" i="1"/>
  <c r="AW19" i="1"/>
  <c r="AW57" i="1"/>
  <c r="AW62" i="1"/>
  <c r="AW11" i="1"/>
  <c r="AW10" i="1"/>
  <c r="AW24" i="1"/>
  <c r="AW14" i="1"/>
  <c r="AW27" i="1"/>
  <c r="C633" i="2" l="1"/>
  <c r="D44" i="1"/>
  <c r="C619" i="2"/>
  <c r="AX44" i="1"/>
  <c r="AX45" i="1"/>
  <c r="AX54" i="1"/>
  <c r="AX55" i="1"/>
  <c r="AX53" i="1"/>
  <c r="AX51" i="1"/>
  <c r="AX50" i="1"/>
  <c r="AX47" i="1"/>
  <c r="AX52" i="1"/>
  <c r="AX49" i="1"/>
  <c r="AX41" i="1"/>
  <c r="AX43" i="1"/>
  <c r="AX60" i="1"/>
  <c r="AX23" i="1"/>
  <c r="AX48" i="1"/>
  <c r="AX30" i="1"/>
  <c r="AX21" i="1"/>
  <c r="AX40" i="1"/>
  <c r="AX28" i="1"/>
  <c r="AX33" i="1"/>
  <c r="AX36" i="1"/>
  <c r="AX25" i="1"/>
  <c r="AX32" i="1"/>
  <c r="AX37" i="1"/>
  <c r="AX64" i="1"/>
  <c r="AX15" i="1"/>
  <c r="AX35" i="1"/>
  <c r="AX57" i="1"/>
  <c r="AX7" i="1"/>
  <c r="AX39" i="1"/>
  <c r="AX14" i="1"/>
  <c r="AX4" i="1"/>
  <c r="AX26" i="1"/>
  <c r="AX42" i="1"/>
  <c r="AX10" i="1"/>
  <c r="AX19" i="1"/>
  <c r="AX63" i="1"/>
  <c r="AX11" i="1"/>
  <c r="AX6" i="1"/>
  <c r="AX5" i="1"/>
  <c r="AY2" i="1"/>
  <c r="AX18" i="1"/>
  <c r="AX58" i="1"/>
  <c r="AX56" i="1"/>
  <c r="AX22" i="1"/>
  <c r="AX24" i="1"/>
  <c r="AX31" i="1"/>
  <c r="AX16" i="1"/>
  <c r="AX46" i="1"/>
  <c r="AX34" i="1"/>
  <c r="AX27" i="1"/>
  <c r="AX62" i="1"/>
  <c r="AX9" i="1"/>
  <c r="AX20" i="1"/>
  <c r="AX13" i="1"/>
  <c r="AX29" i="1"/>
  <c r="AX59" i="1"/>
  <c r="AX12" i="1"/>
  <c r="AX8" i="1"/>
  <c r="AX61" i="1"/>
  <c r="AX38" i="1"/>
  <c r="AX17" i="1"/>
  <c r="C620" i="2" l="1"/>
  <c r="C634" i="2"/>
  <c r="AY44" i="1"/>
  <c r="AY45" i="1"/>
  <c r="AY54" i="1"/>
  <c r="AY55" i="1"/>
  <c r="AY53" i="1"/>
  <c r="AY51" i="1"/>
  <c r="AY50" i="1"/>
  <c r="AY47" i="1"/>
  <c r="AY52" i="1"/>
  <c r="AY49" i="1"/>
  <c r="AY41" i="1"/>
  <c r="AY43" i="1"/>
  <c r="AY60" i="1"/>
  <c r="AY6" i="1"/>
  <c r="AY26" i="1"/>
  <c r="AY40" i="1"/>
  <c r="AY56" i="1"/>
  <c r="AY31" i="1"/>
  <c r="AY13" i="1"/>
  <c r="AY14" i="1"/>
  <c r="AZ2" i="1"/>
  <c r="AY64" i="1"/>
  <c r="AY37" i="1"/>
  <c r="AY28" i="1"/>
  <c r="AY63" i="1"/>
  <c r="AY22" i="1"/>
  <c r="AY34" i="1"/>
  <c r="AY8" i="1"/>
  <c r="AY24" i="1"/>
  <c r="AY17" i="1"/>
  <c r="AY5" i="1"/>
  <c r="AY62" i="1"/>
  <c r="AY33" i="1"/>
  <c r="AY58" i="1"/>
  <c r="AY46" i="1"/>
  <c r="AY12" i="1"/>
  <c r="AY23" i="1"/>
  <c r="AY38" i="1"/>
  <c r="AY32" i="1"/>
  <c r="AY21" i="1"/>
  <c r="AY16" i="1"/>
  <c r="AY18" i="1"/>
  <c r="AY15" i="1"/>
  <c r="AY59" i="1"/>
  <c r="AY29" i="1"/>
  <c r="AY19" i="1"/>
  <c r="AY25" i="1"/>
  <c r="AY4" i="1"/>
  <c r="AY7" i="1"/>
  <c r="AY61" i="1"/>
  <c r="AY20" i="1"/>
  <c r="AY11" i="1"/>
  <c r="AY57" i="1"/>
  <c r="AY27" i="1"/>
  <c r="AY30" i="1"/>
  <c r="AY35" i="1"/>
  <c r="AY48" i="1"/>
  <c r="AY10" i="1"/>
  <c r="AY9" i="1"/>
  <c r="AY42" i="1"/>
  <c r="AY39" i="1"/>
  <c r="AY36" i="1"/>
  <c r="C635" i="2" l="1"/>
  <c r="D24" i="1"/>
  <c r="AZ44" i="1"/>
  <c r="AZ45" i="1"/>
  <c r="AZ54" i="1"/>
  <c r="AZ55" i="1"/>
  <c r="AZ53" i="1"/>
  <c r="AZ51" i="1"/>
  <c r="AZ50" i="1"/>
  <c r="AZ47" i="1"/>
  <c r="AZ49" i="1"/>
  <c r="AZ52" i="1"/>
  <c r="AZ41" i="1"/>
  <c r="AZ43" i="1"/>
  <c r="AZ60" i="1"/>
  <c r="AZ20" i="1"/>
  <c r="AZ26" i="1"/>
  <c r="AZ12" i="1"/>
  <c r="AZ25" i="1"/>
  <c r="AZ17" i="1"/>
  <c r="AZ9" i="1"/>
  <c r="AZ15" i="1"/>
  <c r="AZ11" i="1"/>
  <c r="AZ27" i="1"/>
  <c r="AZ23" i="1"/>
  <c r="AZ58" i="1"/>
  <c r="AZ57" i="1"/>
  <c r="AZ33" i="1"/>
  <c r="AZ7" i="1"/>
  <c r="AZ14" i="1"/>
  <c r="AZ6" i="1"/>
  <c r="AZ13" i="1"/>
  <c r="AZ8" i="1"/>
  <c r="AZ62" i="1"/>
  <c r="AZ32" i="1"/>
  <c r="AZ5" i="1"/>
  <c r="AZ16" i="1"/>
  <c r="AZ59" i="1"/>
  <c r="AZ30" i="1"/>
  <c r="AZ10" i="1"/>
  <c r="AZ34" i="1"/>
  <c r="AZ4" i="1"/>
  <c r="AZ31" i="1"/>
  <c r="AZ61" i="1"/>
  <c r="AZ28" i="1"/>
  <c r="AZ40" i="1"/>
  <c r="AZ42" i="1"/>
  <c r="AZ24" i="1"/>
  <c r="AZ56" i="1"/>
  <c r="AZ19" i="1"/>
  <c r="AZ21" i="1"/>
  <c r="BA2" i="1"/>
  <c r="AZ64" i="1"/>
  <c r="AZ37" i="1"/>
  <c r="AZ36" i="1"/>
  <c r="AZ63" i="1"/>
  <c r="AZ48" i="1"/>
  <c r="AZ38" i="1"/>
  <c r="AZ35" i="1"/>
  <c r="AZ22" i="1"/>
  <c r="AZ18" i="1"/>
  <c r="AZ46" i="1"/>
  <c r="AZ39" i="1"/>
  <c r="AZ29" i="1"/>
  <c r="C636" i="2" l="1"/>
  <c r="D53" i="1"/>
  <c r="BA44" i="1"/>
  <c r="BA45" i="1"/>
  <c r="BA54" i="1"/>
  <c r="BA55" i="1"/>
  <c r="BA53" i="1"/>
  <c r="BA51" i="1"/>
  <c r="BA50" i="1"/>
  <c r="BA47" i="1"/>
  <c r="BA49" i="1"/>
  <c r="BA52" i="1"/>
  <c r="BA41" i="1"/>
  <c r="BA43" i="1"/>
  <c r="BA60" i="1"/>
  <c r="BA59" i="1"/>
  <c r="BA10" i="1"/>
  <c r="BA18" i="1"/>
  <c r="BA21" i="1"/>
  <c r="BA31" i="1"/>
  <c r="BA6" i="1"/>
  <c r="BA61" i="1"/>
  <c r="BA11" i="1"/>
  <c r="BA26" i="1"/>
  <c r="BA16" i="1"/>
  <c r="BA14" i="1"/>
  <c r="BA28" i="1"/>
  <c r="BA40" i="1"/>
  <c r="BB2" i="1"/>
  <c r="BA7" i="1"/>
  <c r="BA19" i="1"/>
  <c r="BA57" i="1"/>
  <c r="BA12" i="1"/>
  <c r="BA56" i="1"/>
  <c r="BA5" i="1"/>
  <c r="BA38" i="1"/>
  <c r="BA23" i="1"/>
  <c r="BA9" i="1"/>
  <c r="BA34" i="1"/>
  <c r="BA8" i="1"/>
  <c r="BA17" i="1"/>
  <c r="BA24" i="1"/>
  <c r="BA63" i="1"/>
  <c r="BA29" i="1"/>
  <c r="BA25" i="1"/>
  <c r="BA39" i="1"/>
  <c r="BA27" i="1"/>
  <c r="BA20" i="1"/>
  <c r="BA62" i="1"/>
  <c r="BA22" i="1"/>
  <c r="BA32" i="1"/>
  <c r="BA15" i="1"/>
  <c r="BA30" i="1"/>
  <c r="BA58" i="1"/>
  <c r="BA36" i="1"/>
  <c r="BA37" i="1"/>
  <c r="BA46" i="1"/>
  <c r="BA42" i="1"/>
  <c r="BA35" i="1"/>
  <c r="BA4" i="1"/>
  <c r="BA33" i="1"/>
  <c r="BA13" i="1"/>
  <c r="BA64" i="1"/>
  <c r="BA48" i="1"/>
  <c r="C637" i="2" l="1"/>
  <c r="BB45" i="1"/>
  <c r="BB44" i="1"/>
  <c r="BB54" i="1"/>
  <c r="BB55" i="1"/>
  <c r="BB53" i="1"/>
  <c r="BB50" i="1"/>
  <c r="BB51" i="1"/>
  <c r="BB47" i="1"/>
  <c r="BB49" i="1"/>
  <c r="BB52" i="1"/>
  <c r="BB41" i="1"/>
  <c r="BB43" i="1"/>
  <c r="BB60" i="1"/>
  <c r="BB42" i="1"/>
  <c r="BB33" i="1"/>
  <c r="BB34" i="1"/>
  <c r="BB17" i="1"/>
  <c r="BB35" i="1"/>
  <c r="BB59" i="1"/>
  <c r="BB30" i="1"/>
  <c r="BB16" i="1"/>
  <c r="BB27" i="1"/>
  <c r="BB15" i="1"/>
  <c r="BB62" i="1"/>
  <c r="BB61" i="1"/>
  <c r="BB57" i="1"/>
  <c r="BB63" i="1"/>
  <c r="BB28" i="1"/>
  <c r="BB20" i="1"/>
  <c r="BB36" i="1"/>
  <c r="BB8" i="1"/>
  <c r="BB12" i="1"/>
  <c r="BB37" i="1"/>
  <c r="BB64" i="1"/>
  <c r="BB29" i="1"/>
  <c r="BB14" i="1"/>
  <c r="BB39" i="1"/>
  <c r="BB23" i="1"/>
  <c r="BB6" i="1"/>
  <c r="BB25" i="1"/>
  <c r="BB40" i="1"/>
  <c r="BB26" i="1"/>
  <c r="BC2" i="1"/>
  <c r="BB24" i="1"/>
  <c r="BB11" i="1"/>
  <c r="BB31" i="1"/>
  <c r="BB9" i="1"/>
  <c r="BB5" i="1"/>
  <c r="BB4" i="1"/>
  <c r="BB21" i="1"/>
  <c r="BB56" i="1"/>
  <c r="BB46" i="1"/>
  <c r="BB19" i="1"/>
  <c r="BB13" i="1"/>
  <c r="BB32" i="1"/>
  <c r="BB18" i="1"/>
  <c r="BB48" i="1"/>
  <c r="BB58" i="1"/>
  <c r="BB7" i="1"/>
  <c r="BB10" i="1"/>
  <c r="BB22" i="1"/>
  <c r="BB38" i="1"/>
  <c r="C638" i="2" l="1"/>
  <c r="BC44" i="1"/>
  <c r="BC45" i="1"/>
  <c r="BC54" i="1"/>
  <c r="BC55" i="1"/>
  <c r="BC53" i="1"/>
  <c r="BC51" i="1"/>
  <c r="BC50" i="1"/>
  <c r="BC47" i="1"/>
  <c r="BC49" i="1"/>
  <c r="BC52" i="1"/>
  <c r="BC41" i="1"/>
  <c r="BC43" i="1"/>
  <c r="BC60" i="1"/>
  <c r="BC57" i="1"/>
  <c r="BC7" i="1"/>
  <c r="BC26" i="1"/>
  <c r="BC28" i="1"/>
  <c r="BC56" i="1"/>
  <c r="BC20" i="1"/>
  <c r="BC61" i="1"/>
  <c r="BC8" i="1"/>
  <c r="BC18" i="1"/>
  <c r="BC16" i="1"/>
  <c r="BC13" i="1"/>
  <c r="BC22" i="1"/>
  <c r="BC35" i="1"/>
  <c r="BC14" i="1"/>
  <c r="BC17" i="1"/>
  <c r="BC6" i="1"/>
  <c r="BC4" i="1"/>
  <c r="BC23" i="1"/>
  <c r="BC64" i="1"/>
  <c r="BC39" i="1"/>
  <c r="BD2" i="1"/>
  <c r="BC30" i="1"/>
  <c r="BC21" i="1"/>
  <c r="BC25" i="1"/>
  <c r="BC46" i="1"/>
  <c r="BC12" i="1"/>
  <c r="BC48" i="1"/>
  <c r="BC62" i="1"/>
  <c r="BC37" i="1"/>
  <c r="BC33" i="1"/>
  <c r="BC32" i="1"/>
  <c r="BC63" i="1"/>
  <c r="BC9" i="1"/>
  <c r="BC5" i="1"/>
  <c r="BC58" i="1"/>
  <c r="BC29" i="1"/>
  <c r="BC19" i="1"/>
  <c r="BC59" i="1"/>
  <c r="BC34" i="1"/>
  <c r="BC10" i="1"/>
  <c r="BC24" i="1"/>
  <c r="BC11" i="1"/>
  <c r="BC40" i="1"/>
  <c r="BC42" i="1"/>
  <c r="BC27" i="1"/>
  <c r="BC15" i="1"/>
  <c r="BC36" i="1"/>
  <c r="BC31" i="1"/>
  <c r="BC38" i="1"/>
  <c r="C639" i="2" l="1"/>
  <c r="BD44" i="1"/>
  <c r="BD45" i="1"/>
  <c r="BD54" i="1"/>
  <c r="BD55" i="1"/>
  <c r="BD53" i="1"/>
  <c r="BD51" i="1"/>
  <c r="BD50" i="1"/>
  <c r="BD47" i="1"/>
  <c r="BD52" i="1"/>
  <c r="BD49" i="1"/>
  <c r="BD41" i="1"/>
  <c r="BD43" i="1"/>
  <c r="BD60" i="1"/>
  <c r="BD59" i="1"/>
  <c r="BD23" i="1"/>
  <c r="BD7" i="1"/>
  <c r="BD63" i="1"/>
  <c r="BD26" i="1"/>
  <c r="BD31" i="1"/>
  <c r="BD30" i="1"/>
  <c r="BD5" i="1"/>
  <c r="BD46" i="1"/>
  <c r="BD24" i="1"/>
  <c r="BD14" i="1"/>
  <c r="BD10" i="1"/>
  <c r="BD11" i="1"/>
  <c r="BD40" i="1"/>
  <c r="BD4" i="1"/>
  <c r="BD33" i="1"/>
  <c r="BE2" i="1"/>
  <c r="BD39" i="1"/>
  <c r="BD38" i="1"/>
  <c r="BD32" i="1"/>
  <c r="BD61" i="1"/>
  <c r="BD35" i="1"/>
  <c r="BD13" i="1"/>
  <c r="BD8" i="1"/>
  <c r="BD21" i="1"/>
  <c r="BD25" i="1"/>
  <c r="BD57" i="1"/>
  <c r="BD37" i="1"/>
  <c r="BD20" i="1"/>
  <c r="BD9" i="1"/>
  <c r="BD48" i="1"/>
  <c r="BD18" i="1"/>
  <c r="BD42" i="1"/>
  <c r="BD62" i="1"/>
  <c r="BD34" i="1"/>
  <c r="BD22" i="1"/>
  <c r="BD56" i="1"/>
  <c r="BD19" i="1"/>
  <c r="BD15" i="1"/>
  <c r="BD16" i="1"/>
  <c r="BD27" i="1"/>
  <c r="BD64" i="1"/>
  <c r="BD29" i="1"/>
  <c r="BD17" i="1"/>
  <c r="BD28" i="1"/>
  <c r="BD6" i="1"/>
  <c r="BD12" i="1"/>
  <c r="BD58" i="1"/>
  <c r="BD36" i="1"/>
  <c r="C640" i="2" l="1"/>
  <c r="C641" i="2" s="1"/>
  <c r="C642" i="2" s="1"/>
  <c r="E31" i="1"/>
  <c r="BE44" i="1"/>
  <c r="BE45" i="1"/>
  <c r="BE54" i="1"/>
  <c r="BE55" i="1"/>
  <c r="BE53" i="1"/>
  <c r="BE51" i="1"/>
  <c r="BE50" i="1"/>
  <c r="BE47" i="1"/>
  <c r="BE52" i="1"/>
  <c r="BE49" i="1"/>
  <c r="BE41" i="1"/>
  <c r="BE43" i="1"/>
  <c r="BE60" i="1"/>
  <c r="BE59" i="1"/>
  <c r="BE36" i="1"/>
  <c r="BE42" i="1"/>
  <c r="BE27" i="1"/>
  <c r="BE30" i="1"/>
  <c r="BE24" i="1"/>
  <c r="BE33" i="1"/>
  <c r="BE28" i="1"/>
  <c r="BE13" i="1"/>
  <c r="BE62" i="1"/>
  <c r="BE58" i="1"/>
  <c r="BE15" i="1"/>
  <c r="BE32" i="1"/>
  <c r="BE37" i="1"/>
  <c r="BE23" i="1"/>
  <c r="BE14" i="1"/>
  <c r="BE21" i="1"/>
  <c r="BE12" i="1"/>
  <c r="BE48" i="1"/>
  <c r="BE17" i="1"/>
  <c r="BE7" i="1"/>
  <c r="BE11" i="1"/>
  <c r="BE56" i="1"/>
  <c r="BE64" i="1"/>
  <c r="BE57" i="1"/>
  <c r="BE4" i="1"/>
  <c r="BE35" i="1"/>
  <c r="BE38" i="1"/>
  <c r="BE63" i="1"/>
  <c r="BE9" i="1"/>
  <c r="BE61" i="1"/>
  <c r="BE10" i="1"/>
  <c r="BE29" i="1"/>
  <c r="BE22" i="1"/>
  <c r="BE20" i="1"/>
  <c r="BE46" i="1"/>
  <c r="BE26" i="1"/>
  <c r="BF2" i="1"/>
  <c r="BE39" i="1"/>
  <c r="BE25" i="1"/>
  <c r="BE5" i="1"/>
  <c r="BE6" i="1"/>
  <c r="BE31" i="1"/>
  <c r="BE18" i="1"/>
  <c r="BE16" i="1"/>
  <c r="BE8" i="1"/>
  <c r="BE34" i="1"/>
  <c r="BE19" i="1"/>
  <c r="BE40" i="1"/>
  <c r="C643" i="2" l="1"/>
  <c r="BF44" i="1"/>
  <c r="BF45" i="1"/>
  <c r="BF54" i="1"/>
  <c r="BF55" i="1"/>
  <c r="BF53" i="1"/>
  <c r="BF50" i="1"/>
  <c r="BF51" i="1"/>
  <c r="BF47" i="1"/>
  <c r="BF52" i="1"/>
  <c r="BF49" i="1"/>
  <c r="BF41" i="1"/>
  <c r="BF43" i="1"/>
  <c r="BF60" i="1"/>
  <c r="BF58" i="1"/>
  <c r="BF12" i="1"/>
  <c r="BF34" i="1"/>
  <c r="BF15" i="1"/>
  <c r="BF39" i="1"/>
  <c r="BF42" i="1"/>
  <c r="BF31" i="1"/>
  <c r="BF56" i="1"/>
  <c r="BF37" i="1"/>
  <c r="BF21" i="1"/>
  <c r="BF46" i="1"/>
  <c r="BF4" i="1"/>
  <c r="BF33" i="1"/>
  <c r="BF25" i="1"/>
  <c r="BF28" i="1"/>
  <c r="BF6" i="1"/>
  <c r="BF13" i="1"/>
  <c r="BF17" i="1"/>
  <c r="BF36" i="1"/>
  <c r="BF40" i="1"/>
  <c r="BF22" i="1"/>
  <c r="BF57" i="1"/>
  <c r="BF48" i="1"/>
  <c r="BG2" i="1"/>
  <c r="BF20" i="1"/>
  <c r="BF10" i="1"/>
  <c r="BF14" i="1"/>
  <c r="BF38" i="1"/>
  <c r="BF61" i="1"/>
  <c r="BF24" i="1"/>
  <c r="BF35" i="1"/>
  <c r="BF64" i="1"/>
  <c r="BF18" i="1"/>
  <c r="BF59" i="1"/>
  <c r="BF5" i="1"/>
  <c r="BF9" i="1"/>
  <c r="BF29" i="1"/>
  <c r="BF63" i="1"/>
  <c r="BF62" i="1"/>
  <c r="BF32" i="1"/>
  <c r="BF16" i="1"/>
  <c r="BF19" i="1"/>
  <c r="BF11" i="1"/>
  <c r="BF7" i="1"/>
  <c r="BF27" i="1"/>
  <c r="BF26" i="1"/>
  <c r="BF30" i="1"/>
  <c r="BF8" i="1"/>
  <c r="BF23" i="1"/>
  <c r="C644" i="2" l="1"/>
  <c r="C645" i="2" s="1"/>
  <c r="C646" i="2" s="1"/>
  <c r="BG44" i="1"/>
  <c r="BG45" i="1"/>
  <c r="BG54" i="1"/>
  <c r="BG55" i="1"/>
  <c r="BG53" i="1"/>
  <c r="BG51" i="1"/>
  <c r="BG50" i="1"/>
  <c r="BG47" i="1"/>
  <c r="BG49" i="1"/>
  <c r="BG52" i="1"/>
  <c r="BG41" i="1"/>
  <c r="BG43" i="1"/>
  <c r="BG60" i="1"/>
  <c r="BG58" i="1"/>
  <c r="BG34" i="1"/>
  <c r="BG27" i="1"/>
  <c r="BG19" i="1"/>
  <c r="BG5" i="1"/>
  <c r="BG32" i="1"/>
  <c r="BG18" i="1"/>
  <c r="BG12" i="1"/>
  <c r="BG57" i="1"/>
  <c r="BG39" i="1"/>
  <c r="BG11" i="1"/>
  <c r="BG17" i="1"/>
  <c r="BG15" i="1"/>
  <c r="BG40" i="1"/>
  <c r="BG62" i="1"/>
  <c r="BG14" i="1"/>
  <c r="BG7" i="1"/>
  <c r="BG28" i="1"/>
  <c r="BG48" i="1"/>
  <c r="BG13" i="1"/>
  <c r="BG30" i="1"/>
  <c r="BG20" i="1"/>
  <c r="BG46" i="1"/>
  <c r="BG36" i="1"/>
  <c r="BG63" i="1"/>
  <c r="BG24" i="1"/>
  <c r="BG33" i="1"/>
  <c r="BG16" i="1"/>
  <c r="BG25" i="1"/>
  <c r="BG59" i="1"/>
  <c r="BG6" i="1"/>
  <c r="BG61" i="1"/>
  <c r="BG4" i="1"/>
  <c r="BH2" i="1"/>
  <c r="BG8" i="1"/>
  <c r="BG56" i="1"/>
  <c r="BG38" i="1"/>
  <c r="BG9" i="1"/>
  <c r="BG10" i="1"/>
  <c r="BG26" i="1"/>
  <c r="BG35" i="1"/>
  <c r="BG23" i="1"/>
  <c r="BG42" i="1"/>
  <c r="BG22" i="1"/>
  <c r="BG64" i="1"/>
  <c r="BG37" i="1"/>
  <c r="BG29" i="1"/>
  <c r="BG21" i="1"/>
  <c r="BG31" i="1"/>
  <c r="C647" i="2" l="1"/>
  <c r="E55" i="1"/>
  <c r="BH44" i="1"/>
  <c r="BH45" i="1"/>
  <c r="BH54" i="1"/>
  <c r="BH55" i="1"/>
  <c r="BH53" i="1"/>
  <c r="BH51" i="1"/>
  <c r="BH50" i="1"/>
  <c r="BH47" i="1"/>
  <c r="BH52" i="1"/>
  <c r="BH49" i="1"/>
  <c r="BH41" i="1"/>
  <c r="BH43" i="1"/>
  <c r="BH60" i="1"/>
  <c r="BH11" i="1"/>
  <c r="BI2" i="1"/>
  <c r="BH8" i="1"/>
  <c r="BH33" i="1"/>
  <c r="BH62" i="1"/>
  <c r="BH35" i="1"/>
  <c r="BH57" i="1"/>
  <c r="BH59" i="1"/>
  <c r="BH61" i="1"/>
  <c r="BH19" i="1"/>
  <c r="BH58" i="1"/>
  <c r="BH64" i="1"/>
  <c r="BH27" i="1"/>
  <c r="BH21" i="1"/>
  <c r="BH30" i="1"/>
  <c r="BH20" i="1"/>
  <c r="BH42" i="1"/>
  <c r="BH37" i="1"/>
  <c r="BH29" i="1"/>
  <c r="BH17" i="1"/>
  <c r="BH16" i="1"/>
  <c r="BH48" i="1"/>
  <c r="BH13" i="1"/>
  <c r="BH26" i="1"/>
  <c r="BH25" i="1"/>
  <c r="BH15" i="1"/>
  <c r="BH5" i="1"/>
  <c r="BH56" i="1"/>
  <c r="BH31" i="1"/>
  <c r="BH14" i="1"/>
  <c r="BH4" i="1"/>
  <c r="BH63" i="1"/>
  <c r="BH40" i="1"/>
  <c r="BH39" i="1"/>
  <c r="BH22" i="1"/>
  <c r="BH36" i="1"/>
  <c r="BH7" i="1"/>
  <c r="BH28" i="1"/>
  <c r="BH12" i="1"/>
  <c r="BH10" i="1"/>
  <c r="BH34" i="1"/>
  <c r="BH46" i="1"/>
  <c r="BH6" i="1"/>
  <c r="BH24" i="1"/>
  <c r="BH9" i="1"/>
  <c r="BH18" i="1"/>
  <c r="BH32" i="1"/>
  <c r="BH23" i="1"/>
  <c r="BH38" i="1"/>
  <c r="C648" i="2" l="1"/>
  <c r="BI44" i="1"/>
  <c r="BI45" i="1"/>
  <c r="BI54" i="1"/>
  <c r="BI55" i="1"/>
  <c r="BI53" i="1"/>
  <c r="BI51" i="1"/>
  <c r="BI50" i="1"/>
  <c r="BI47" i="1"/>
  <c r="BI49" i="1"/>
  <c r="BI52" i="1"/>
  <c r="BI41" i="1"/>
  <c r="BI43" i="1"/>
  <c r="BI60" i="1"/>
  <c r="BI15" i="1"/>
  <c r="BI62" i="1"/>
  <c r="BI56" i="1"/>
  <c r="BI24" i="1"/>
  <c r="BI6" i="1"/>
  <c r="BI25" i="1"/>
  <c r="BI58" i="1"/>
  <c r="BI30" i="1"/>
  <c r="BI61" i="1"/>
  <c r="BI34" i="1"/>
  <c r="BI29" i="1"/>
  <c r="BI46" i="1"/>
  <c r="BI31" i="1"/>
  <c r="BI16" i="1"/>
  <c r="BI39" i="1"/>
  <c r="BI7" i="1"/>
  <c r="BI26" i="1"/>
  <c r="BI28" i="1"/>
  <c r="BI20" i="1"/>
  <c r="BI37" i="1"/>
  <c r="BI32" i="1"/>
  <c r="BI22" i="1"/>
  <c r="BI36" i="1"/>
  <c r="BI48" i="1"/>
  <c r="BI12" i="1"/>
  <c r="BI35" i="1"/>
  <c r="BJ2" i="1"/>
  <c r="BI64" i="1"/>
  <c r="BI18" i="1"/>
  <c r="BI27" i="1"/>
  <c r="BI8" i="1"/>
  <c r="BI14" i="1"/>
  <c r="BI11" i="1"/>
  <c r="BI19" i="1"/>
  <c r="BI59" i="1"/>
  <c r="BI9" i="1"/>
  <c r="BI63" i="1"/>
  <c r="BI10" i="1"/>
  <c r="BI4" i="1"/>
  <c r="BI57" i="1"/>
  <c r="BI38" i="1"/>
  <c r="BI23" i="1"/>
  <c r="BI13" i="1"/>
  <c r="BI40" i="1"/>
  <c r="BI33" i="1"/>
  <c r="BI5" i="1"/>
  <c r="BI42" i="1"/>
  <c r="BI21" i="1"/>
  <c r="BI17" i="1"/>
  <c r="C649" i="2" l="1"/>
  <c r="E9" i="1"/>
  <c r="BJ45" i="1"/>
  <c r="BJ44" i="1"/>
  <c r="BJ54" i="1"/>
  <c r="BJ55" i="1"/>
  <c r="BJ53" i="1"/>
  <c r="BJ50" i="1"/>
  <c r="BJ51" i="1"/>
  <c r="BJ47" i="1"/>
  <c r="BJ49" i="1"/>
  <c r="BJ52" i="1"/>
  <c r="BJ41" i="1"/>
  <c r="BJ43" i="1"/>
  <c r="BJ60" i="1"/>
  <c r="BJ38" i="1"/>
  <c r="BJ32" i="1"/>
  <c r="BJ30" i="1"/>
  <c r="BJ48" i="1"/>
  <c r="BJ34" i="1"/>
  <c r="BJ46" i="1"/>
  <c r="BJ56" i="1"/>
  <c r="BJ27" i="1"/>
  <c r="BJ7" i="1"/>
  <c r="BJ61" i="1"/>
  <c r="BJ16" i="1"/>
  <c r="BJ25" i="1"/>
  <c r="BJ8" i="1"/>
  <c r="BJ23" i="1"/>
  <c r="BJ63" i="1"/>
  <c r="BJ13" i="1"/>
  <c r="BJ10" i="1"/>
  <c r="BJ24" i="1"/>
  <c r="BJ37" i="1"/>
  <c r="BK2" i="1"/>
  <c r="BJ33" i="1"/>
  <c r="BJ29" i="1"/>
  <c r="BJ17" i="1"/>
  <c r="BJ26" i="1"/>
  <c r="BJ28" i="1"/>
  <c r="BJ5" i="1"/>
  <c r="BJ36" i="1"/>
  <c r="BJ31" i="1"/>
  <c r="BJ57" i="1"/>
  <c r="BJ22" i="1"/>
  <c r="BJ39" i="1"/>
  <c r="BJ14" i="1"/>
  <c r="BJ19" i="1"/>
  <c r="BJ42" i="1"/>
  <c r="BJ58" i="1"/>
  <c r="BJ9" i="1"/>
  <c r="BJ21" i="1"/>
  <c r="BJ62" i="1"/>
  <c r="BJ11" i="1"/>
  <c r="BJ35" i="1"/>
  <c r="BJ15" i="1"/>
  <c r="BJ40" i="1"/>
  <c r="BJ4" i="1"/>
  <c r="BJ18" i="1"/>
  <c r="BJ59" i="1"/>
  <c r="BJ12" i="1"/>
  <c r="BJ64" i="1"/>
  <c r="BJ20" i="1"/>
  <c r="BJ6" i="1"/>
  <c r="C650" i="2" l="1"/>
  <c r="E24" i="1"/>
  <c r="C24" i="1"/>
  <c r="G24" i="1" s="1"/>
  <c r="BK44" i="1"/>
  <c r="BK45" i="1"/>
  <c r="BK54" i="1"/>
  <c r="BK55" i="1"/>
  <c r="BK53" i="1"/>
  <c r="BK51" i="1"/>
  <c r="BK50" i="1"/>
  <c r="BK47" i="1"/>
  <c r="BK49" i="1"/>
  <c r="BK52" i="1"/>
  <c r="BK41" i="1"/>
  <c r="BK43" i="1"/>
  <c r="BK60" i="1"/>
  <c r="BK32" i="1"/>
  <c r="BK28" i="1"/>
  <c r="BK42" i="1"/>
  <c r="BK35" i="1"/>
  <c r="BK56" i="1"/>
  <c r="BK11" i="1"/>
  <c r="BK39" i="1"/>
  <c r="BK29" i="1"/>
  <c r="BK57" i="1"/>
  <c r="BK33" i="1"/>
  <c r="BK20" i="1"/>
  <c r="BK58" i="1"/>
  <c r="BK59" i="1"/>
  <c r="BK22" i="1"/>
  <c r="BK63" i="1"/>
  <c r="BK14" i="1"/>
  <c r="BL2" i="1"/>
  <c r="BK6" i="1"/>
  <c r="BK21" i="1"/>
  <c r="BK34" i="1"/>
  <c r="BK23" i="1"/>
  <c r="BK64" i="1"/>
  <c r="BK27" i="1"/>
  <c r="BK24" i="1"/>
  <c r="BK61" i="1"/>
  <c r="BK30" i="1"/>
  <c r="BK9" i="1"/>
  <c r="BK17" i="1"/>
  <c r="BK10" i="1"/>
  <c r="BK38" i="1"/>
  <c r="BK25" i="1"/>
  <c r="BK15" i="1"/>
  <c r="BK4" i="1"/>
  <c r="BK16" i="1"/>
  <c r="BK7" i="1"/>
  <c r="BK62" i="1"/>
  <c r="BK37" i="1"/>
  <c r="BK31" i="1"/>
  <c r="BK19" i="1"/>
  <c r="BK26" i="1"/>
  <c r="BK8" i="1"/>
  <c r="BK18" i="1"/>
  <c r="BK48" i="1"/>
  <c r="BK40" i="1"/>
  <c r="BK12" i="1"/>
  <c r="BK5" i="1"/>
  <c r="BK46" i="1"/>
  <c r="BK36" i="1"/>
  <c r="BK13" i="1"/>
  <c r="H24" i="1" l="1"/>
  <c r="F24" i="1"/>
  <c r="C651" i="2"/>
  <c r="E53" i="1"/>
  <c r="C53" i="1"/>
  <c r="G53" i="1" s="1"/>
  <c r="BL45" i="1"/>
  <c r="BL44" i="1"/>
  <c r="BL54" i="1"/>
  <c r="BL55" i="1"/>
  <c r="BL53" i="1"/>
  <c r="BL51" i="1"/>
  <c r="BL50" i="1"/>
  <c r="BL47" i="1"/>
  <c r="BL52" i="1"/>
  <c r="BL49" i="1"/>
  <c r="BL41" i="1"/>
  <c r="BL43" i="1"/>
  <c r="BL60" i="1"/>
  <c r="BL48" i="1"/>
  <c r="BL22" i="1"/>
  <c r="BL26" i="1"/>
  <c r="BL13" i="1"/>
  <c r="BL35" i="1"/>
  <c r="BL42" i="1"/>
  <c r="BL21" i="1"/>
  <c r="BL27" i="1"/>
  <c r="BL20" i="1"/>
  <c r="BL4" i="1"/>
  <c r="BL28" i="1"/>
  <c r="BL30" i="1"/>
  <c r="BL6" i="1"/>
  <c r="BL29" i="1"/>
  <c r="BL40" i="1"/>
  <c r="BL56" i="1"/>
  <c r="BL15" i="1"/>
  <c r="BL24" i="1"/>
  <c r="BL12" i="1"/>
  <c r="BM2" i="1"/>
  <c r="BL11" i="1"/>
  <c r="BL9" i="1"/>
  <c r="BL38" i="1"/>
  <c r="BL8" i="1"/>
  <c r="BL17" i="1"/>
  <c r="BL19" i="1"/>
  <c r="BL61" i="1"/>
  <c r="BL33" i="1"/>
  <c r="BL10" i="1"/>
  <c r="BL37" i="1"/>
  <c r="BL58" i="1"/>
  <c r="BL7" i="1"/>
  <c r="BL23" i="1"/>
  <c r="BL57" i="1"/>
  <c r="BL64" i="1"/>
  <c r="BL62" i="1"/>
  <c r="BL31" i="1"/>
  <c r="BL39" i="1"/>
  <c r="BL25" i="1"/>
  <c r="BL16" i="1"/>
  <c r="BL32" i="1"/>
  <c r="BL63" i="1"/>
  <c r="BL14" i="1"/>
  <c r="BL34" i="1"/>
  <c r="BL59" i="1"/>
  <c r="BL36" i="1"/>
  <c r="BL18" i="1"/>
  <c r="BL5" i="1"/>
  <c r="BL46" i="1"/>
  <c r="H53" i="1" l="1"/>
  <c r="F53" i="1"/>
  <c r="B9" i="5" s="1"/>
  <c r="C652" i="2"/>
  <c r="D58" i="1"/>
  <c r="BM45" i="1"/>
  <c r="BM44" i="1"/>
  <c r="BM54" i="1"/>
  <c r="BM55" i="1"/>
  <c r="BM53" i="1"/>
  <c r="BM51" i="1"/>
  <c r="BM50" i="1"/>
  <c r="BM47" i="1"/>
  <c r="BM52" i="1"/>
  <c r="BM49" i="1"/>
  <c r="BM41" i="1"/>
  <c r="BM43" i="1"/>
  <c r="BM60" i="1"/>
  <c r="BN2" i="1"/>
  <c r="BM42" i="1"/>
  <c r="BM22" i="1"/>
  <c r="BM11" i="1"/>
  <c r="BM35" i="1"/>
  <c r="BM16" i="1"/>
  <c r="BM63" i="1"/>
  <c r="BM27" i="1"/>
  <c r="BM6" i="1"/>
  <c r="BM57" i="1"/>
  <c r="BM10" i="1"/>
  <c r="BM62" i="1"/>
  <c r="BM32" i="1"/>
  <c r="BM23" i="1"/>
  <c r="BM12" i="1"/>
  <c r="BM5" i="1"/>
  <c r="BM64" i="1"/>
  <c r="BM38" i="1"/>
  <c r="BM24" i="1"/>
  <c r="BM17" i="1"/>
  <c r="BM21" i="1"/>
  <c r="BM9" i="1"/>
  <c r="BM14" i="1"/>
  <c r="BM56" i="1"/>
  <c r="BM34" i="1"/>
  <c r="BM61" i="1"/>
  <c r="BM28" i="1"/>
  <c r="BM36" i="1"/>
  <c r="BM29" i="1"/>
  <c r="BM30" i="1"/>
  <c r="BM20" i="1"/>
  <c r="BM4" i="1"/>
  <c r="BM19" i="1"/>
  <c r="BM58" i="1"/>
  <c r="BM59" i="1"/>
  <c r="BM40" i="1"/>
  <c r="BM26" i="1"/>
  <c r="BM48" i="1"/>
  <c r="BM25" i="1"/>
  <c r="BM18" i="1"/>
  <c r="BM13" i="1"/>
  <c r="BM31" i="1"/>
  <c r="BM39" i="1"/>
  <c r="BM46" i="1"/>
  <c r="BM15" i="1"/>
  <c r="BM33" i="1"/>
  <c r="BM8" i="1"/>
  <c r="BM7" i="1"/>
  <c r="BM37" i="1"/>
  <c r="C653" i="2" l="1"/>
  <c r="BN44" i="1"/>
  <c r="BN45" i="1"/>
  <c r="BN54" i="1"/>
  <c r="BN55" i="1"/>
  <c r="BN53" i="1"/>
  <c r="BN51" i="1"/>
  <c r="BN50" i="1"/>
  <c r="BN47" i="1"/>
  <c r="BN52" i="1"/>
  <c r="BN49" i="1"/>
  <c r="BN41" i="1"/>
  <c r="BN43" i="1"/>
  <c r="BN60" i="1"/>
  <c r="BN57" i="1"/>
  <c r="BN32" i="1"/>
  <c r="BN48" i="1"/>
  <c r="BN46" i="1"/>
  <c r="BN8" i="1"/>
  <c r="BN15" i="1"/>
  <c r="BN11" i="1"/>
  <c r="BN22" i="1"/>
  <c r="BN27" i="1"/>
  <c r="BN18" i="1"/>
  <c r="BN28" i="1"/>
  <c r="BN61" i="1"/>
  <c r="BN30" i="1"/>
  <c r="BN23" i="1"/>
  <c r="BN4" i="1"/>
  <c r="BN63" i="1"/>
  <c r="BN13" i="1"/>
  <c r="BN42" i="1"/>
  <c r="BN37" i="1"/>
  <c r="BN39" i="1"/>
  <c r="BO2" i="1"/>
  <c r="BN56" i="1"/>
  <c r="BN33" i="1"/>
  <c r="BN9" i="1"/>
  <c r="BN25" i="1"/>
  <c r="BN6" i="1"/>
  <c r="BN31" i="1"/>
  <c r="BN34" i="1"/>
  <c r="BN38" i="1"/>
  <c r="BN16" i="1"/>
  <c r="BN35" i="1"/>
  <c r="BN7" i="1"/>
  <c r="BN40" i="1"/>
  <c r="BN12" i="1"/>
  <c r="BN21" i="1"/>
  <c r="BN29" i="1"/>
  <c r="BN64" i="1"/>
  <c r="BN62" i="1"/>
  <c r="BN36" i="1"/>
  <c r="BN20" i="1"/>
  <c r="BN19" i="1"/>
  <c r="BN58" i="1"/>
  <c r="BN24" i="1"/>
  <c r="BN17" i="1"/>
  <c r="BN14" i="1"/>
  <c r="BN10" i="1"/>
  <c r="BN5" i="1"/>
  <c r="BN59" i="1"/>
  <c r="BN26" i="1"/>
  <c r="C654" i="2" l="1"/>
  <c r="D57" i="1"/>
  <c r="BO44" i="1"/>
  <c r="BO45" i="1"/>
  <c r="BO54" i="1"/>
  <c r="BO55" i="1"/>
  <c r="BO53" i="1"/>
  <c r="BO51" i="1"/>
  <c r="BO50" i="1"/>
  <c r="BO47" i="1"/>
  <c r="BO49" i="1"/>
  <c r="BO52" i="1"/>
  <c r="BO41" i="1"/>
  <c r="BO43" i="1"/>
  <c r="BO60" i="1"/>
  <c r="BO22" i="1"/>
  <c r="BO19" i="1"/>
  <c r="BO8" i="1"/>
  <c r="BO16" i="1"/>
  <c r="BO28" i="1"/>
  <c r="BO30" i="1"/>
  <c r="BP2" i="1"/>
  <c r="BO56" i="1"/>
  <c r="BO6" i="1"/>
  <c r="BO7" i="1"/>
  <c r="BO29" i="1"/>
  <c r="BO25" i="1"/>
  <c r="BO62" i="1"/>
  <c r="BO26" i="1"/>
  <c r="BO14" i="1"/>
  <c r="BO57" i="1"/>
  <c r="BO24" i="1"/>
  <c r="BO15" i="1"/>
  <c r="BO63" i="1"/>
  <c r="BO17" i="1"/>
  <c r="BO5" i="1"/>
  <c r="BO38" i="1"/>
  <c r="BO34" i="1"/>
  <c r="BO42" i="1"/>
  <c r="BO27" i="1"/>
  <c r="BO36" i="1"/>
  <c r="BO9" i="1"/>
  <c r="BO48" i="1"/>
  <c r="BO4" i="1"/>
  <c r="BO33" i="1"/>
  <c r="BO61" i="1"/>
  <c r="BO12" i="1"/>
  <c r="BO64" i="1"/>
  <c r="BO32" i="1"/>
  <c r="BO10" i="1"/>
  <c r="BO37" i="1"/>
  <c r="BO35" i="1"/>
  <c r="BO23" i="1"/>
  <c r="BO31" i="1"/>
  <c r="BO21" i="1"/>
  <c r="BO59" i="1"/>
  <c r="BO20" i="1"/>
  <c r="BO13" i="1"/>
  <c r="BO58" i="1"/>
  <c r="BO40" i="1"/>
  <c r="BO46" i="1"/>
  <c r="BO39" i="1"/>
  <c r="BO18" i="1"/>
  <c r="BO11" i="1"/>
  <c r="C655" i="2" l="1"/>
  <c r="D31" i="1"/>
  <c r="C31" i="1"/>
  <c r="H31" i="1" s="1"/>
  <c r="BP44" i="1"/>
  <c r="BP45" i="1"/>
  <c r="BP54" i="1"/>
  <c r="BP55" i="1"/>
  <c r="BP53" i="1"/>
  <c r="BP51" i="1"/>
  <c r="BP50" i="1"/>
  <c r="BP47" i="1"/>
  <c r="BP52" i="1"/>
  <c r="BP49" i="1"/>
  <c r="BP41" i="1"/>
  <c r="BP43" i="1"/>
  <c r="BP60" i="1"/>
  <c r="BP15" i="1"/>
  <c r="BP18" i="1"/>
  <c r="BP28" i="1"/>
  <c r="BP10" i="1"/>
  <c r="BP19" i="1"/>
  <c r="BP37" i="1"/>
  <c r="BP39" i="1"/>
  <c r="BP33" i="1"/>
  <c r="BP61" i="1"/>
  <c r="BP23" i="1"/>
  <c r="BP34" i="1"/>
  <c r="BP11" i="1"/>
  <c r="BP36" i="1"/>
  <c r="BP42" i="1"/>
  <c r="BP17" i="1"/>
  <c r="BP21" i="1"/>
  <c r="BP13" i="1"/>
  <c r="BP56" i="1"/>
  <c r="BP4" i="1"/>
  <c r="BQ2" i="1"/>
  <c r="BP30" i="1"/>
  <c r="BP9" i="1"/>
  <c r="BP64" i="1"/>
  <c r="BP14" i="1"/>
  <c r="BP35" i="1"/>
  <c r="BP22" i="1"/>
  <c r="BP8" i="1"/>
  <c r="BP38" i="1"/>
  <c r="BP24" i="1"/>
  <c r="BP27" i="1"/>
  <c r="BP40" i="1"/>
  <c r="BP31" i="1"/>
  <c r="BP12" i="1"/>
  <c r="BP62" i="1"/>
  <c r="BP20" i="1"/>
  <c r="BP32" i="1"/>
  <c r="BP59" i="1"/>
  <c r="BP63" i="1"/>
  <c r="BP58" i="1"/>
  <c r="BP48" i="1"/>
  <c r="BP25" i="1"/>
  <c r="BP7" i="1"/>
  <c r="BP46" i="1"/>
  <c r="BP5" i="1"/>
  <c r="BP6" i="1"/>
  <c r="BP29" i="1"/>
  <c r="BP26" i="1"/>
  <c r="BP16" i="1"/>
  <c r="BP57" i="1"/>
  <c r="G31" i="1" l="1"/>
  <c r="F31" i="1"/>
  <c r="C656" i="2"/>
  <c r="C657" i="2" s="1"/>
  <c r="BQ44" i="1"/>
  <c r="BQ45" i="1"/>
  <c r="BQ54" i="1"/>
  <c r="BQ55" i="1"/>
  <c r="BQ53" i="1"/>
  <c r="BQ51" i="1"/>
  <c r="BQ50" i="1"/>
  <c r="BQ47" i="1"/>
  <c r="BQ49" i="1"/>
  <c r="BQ52" i="1"/>
  <c r="BQ41" i="1"/>
  <c r="BQ43" i="1"/>
  <c r="BQ60" i="1"/>
  <c r="BR2" i="1"/>
  <c r="BQ56" i="1"/>
  <c r="BQ14" i="1"/>
  <c r="BQ28" i="1"/>
  <c r="BQ39" i="1"/>
  <c r="BQ31" i="1"/>
  <c r="BQ42" i="1"/>
  <c r="BQ27" i="1"/>
  <c r="BQ18" i="1"/>
  <c r="BQ8" i="1"/>
  <c r="BQ22" i="1"/>
  <c r="BQ40" i="1"/>
  <c r="BQ29" i="1"/>
  <c r="BQ5" i="1"/>
  <c r="BQ34" i="1"/>
  <c r="BQ11" i="1"/>
  <c r="BQ64" i="1"/>
  <c r="BQ36" i="1"/>
  <c r="BQ35" i="1"/>
  <c r="BQ33" i="1"/>
  <c r="BQ38" i="1"/>
  <c r="BQ26" i="1"/>
  <c r="BQ32" i="1"/>
  <c r="BQ19" i="1"/>
  <c r="BQ48" i="1"/>
  <c r="BQ15" i="1"/>
  <c r="BQ30" i="1"/>
  <c r="BQ37" i="1"/>
  <c r="BQ57" i="1"/>
  <c r="BQ46" i="1"/>
  <c r="BQ61" i="1"/>
  <c r="BQ24" i="1"/>
  <c r="BQ4" i="1"/>
  <c r="BQ58" i="1"/>
  <c r="BQ7" i="1"/>
  <c r="BQ17" i="1"/>
  <c r="BQ20" i="1"/>
  <c r="BQ10" i="1"/>
  <c r="BQ9" i="1"/>
  <c r="BQ12" i="1"/>
  <c r="BQ62" i="1"/>
  <c r="BQ63" i="1"/>
  <c r="BQ21" i="1"/>
  <c r="BQ59" i="1"/>
  <c r="BQ23" i="1"/>
  <c r="BQ6" i="1"/>
  <c r="BQ13" i="1"/>
  <c r="BQ16" i="1"/>
  <c r="BQ25" i="1"/>
  <c r="C658" i="2" l="1"/>
  <c r="E51" i="1"/>
  <c r="B17" i="5"/>
  <c r="BR45" i="1"/>
  <c r="BR44" i="1"/>
  <c r="BR54" i="1"/>
  <c r="BR55" i="1"/>
  <c r="BR53" i="1"/>
  <c r="BR51" i="1"/>
  <c r="BR50" i="1"/>
  <c r="BR47" i="1"/>
  <c r="BR49" i="1"/>
  <c r="BR52" i="1"/>
  <c r="BR41" i="1"/>
  <c r="BR43" i="1"/>
  <c r="BR60" i="1"/>
  <c r="BR18" i="1"/>
  <c r="BR5" i="1"/>
  <c r="BR22" i="1"/>
  <c r="BR64" i="1"/>
  <c r="BR34" i="1"/>
  <c r="BR33" i="1"/>
  <c r="BR58" i="1"/>
  <c r="BR31" i="1"/>
  <c r="BR42" i="1"/>
  <c r="BR11" i="1"/>
  <c r="BR63" i="1"/>
  <c r="BS2" i="1"/>
  <c r="BR4" i="1"/>
  <c r="BR15" i="1"/>
  <c r="BR21" i="1"/>
  <c r="BR17" i="1"/>
  <c r="BR29" i="1"/>
  <c r="BR8" i="1"/>
  <c r="BR9" i="1"/>
  <c r="BR23" i="1"/>
  <c r="BR57" i="1"/>
  <c r="BR14" i="1"/>
  <c r="BR56" i="1"/>
  <c r="BR7" i="1"/>
  <c r="BR62" i="1"/>
  <c r="BR48" i="1"/>
  <c r="BR36" i="1"/>
  <c r="BR24" i="1"/>
  <c r="BR16" i="1"/>
  <c r="BR27" i="1"/>
  <c r="BR38" i="1"/>
  <c r="BR61" i="1"/>
  <c r="BR12" i="1"/>
  <c r="BR25" i="1"/>
  <c r="BR28" i="1"/>
  <c r="BR26" i="1"/>
  <c r="BR59" i="1"/>
  <c r="BR6" i="1"/>
  <c r="BR37" i="1"/>
  <c r="BR39" i="1"/>
  <c r="BR40" i="1"/>
  <c r="BR46" i="1"/>
  <c r="BR30" i="1"/>
  <c r="BR19" i="1"/>
  <c r="BR13" i="1"/>
  <c r="BR32" i="1"/>
  <c r="BR20" i="1"/>
  <c r="BR10" i="1"/>
  <c r="BR35" i="1"/>
  <c r="C659" i="2" l="1"/>
  <c r="C47" i="1"/>
  <c r="E47" i="1"/>
  <c r="BS44" i="1"/>
  <c r="BS45" i="1"/>
  <c r="BS54" i="1"/>
  <c r="BS55" i="1"/>
  <c r="BS53" i="1"/>
  <c r="BS50" i="1"/>
  <c r="BS51" i="1"/>
  <c r="BS47" i="1"/>
  <c r="BS49" i="1"/>
  <c r="BS52" i="1"/>
  <c r="BS41" i="1"/>
  <c r="BS43" i="1"/>
  <c r="BS60" i="1"/>
  <c r="BS34" i="1"/>
  <c r="BS42" i="1"/>
  <c r="BS10" i="1"/>
  <c r="BS11" i="1"/>
  <c r="BS6" i="1"/>
  <c r="BS30" i="1"/>
  <c r="BS27" i="1"/>
  <c r="BS18" i="1"/>
  <c r="BS64" i="1"/>
  <c r="BS61" i="1"/>
  <c r="BS33" i="1"/>
  <c r="BS17" i="1"/>
  <c r="BS31" i="1"/>
  <c r="BS19" i="1"/>
  <c r="BS46" i="1"/>
  <c r="BS57" i="1"/>
  <c r="BS5" i="1"/>
  <c r="BS39" i="1"/>
  <c r="BS38" i="1"/>
  <c r="BT2" i="1"/>
  <c r="BS26" i="1"/>
  <c r="BS28" i="1"/>
  <c r="BS36" i="1"/>
  <c r="BS24" i="1"/>
  <c r="BS12" i="1"/>
  <c r="BS23" i="1"/>
  <c r="BS63" i="1"/>
  <c r="BS13" i="1"/>
  <c r="BS20" i="1"/>
  <c r="BS4" i="1"/>
  <c r="BS62" i="1"/>
  <c r="BS16" i="1"/>
  <c r="BS29" i="1"/>
  <c r="BS8" i="1"/>
  <c r="BS35" i="1"/>
  <c r="BS7" i="1"/>
  <c r="BS14" i="1"/>
  <c r="BS37" i="1"/>
  <c r="BS15" i="1"/>
  <c r="BS40" i="1"/>
  <c r="BS56" i="1"/>
  <c r="BS9" i="1"/>
  <c r="BS58" i="1"/>
  <c r="BS59" i="1"/>
  <c r="BS25" i="1"/>
  <c r="BS48" i="1"/>
  <c r="BS21" i="1"/>
  <c r="BS22" i="1"/>
  <c r="BS32" i="1"/>
  <c r="H47" i="1" l="1"/>
  <c r="C660" i="2"/>
  <c r="E13" i="1"/>
  <c r="C13" i="1"/>
  <c r="G13" i="1" s="1"/>
  <c r="BT44" i="1"/>
  <c r="BT45" i="1"/>
  <c r="BT54" i="1"/>
  <c r="BT55" i="1"/>
  <c r="BT53" i="1"/>
  <c r="BT51" i="1"/>
  <c r="BT50" i="1"/>
  <c r="BT47" i="1"/>
  <c r="BT52" i="1"/>
  <c r="BT49" i="1"/>
  <c r="BT41" i="1"/>
  <c r="BT43" i="1"/>
  <c r="BT60" i="1"/>
  <c r="BT26" i="1"/>
  <c r="BT15" i="1"/>
  <c r="BT31" i="1"/>
  <c r="BT16" i="1"/>
  <c r="BT35" i="1"/>
  <c r="BT4" i="1"/>
  <c r="BT8" i="1"/>
  <c r="BT27" i="1"/>
  <c r="BT23" i="1"/>
  <c r="BT33" i="1"/>
  <c r="BT6" i="1"/>
  <c r="BT36" i="1"/>
  <c r="BT46" i="1"/>
  <c r="BT14" i="1"/>
  <c r="BT28" i="1"/>
  <c r="BU2" i="1"/>
  <c r="BT11" i="1"/>
  <c r="BT12" i="1"/>
  <c r="BT30" i="1"/>
  <c r="BT34" i="1"/>
  <c r="BT24" i="1"/>
  <c r="BT13" i="1"/>
  <c r="BT61" i="1"/>
  <c r="BT64" i="1"/>
  <c r="BT39" i="1"/>
  <c r="BT7" i="1"/>
  <c r="BT48" i="1"/>
  <c r="BT32" i="1"/>
  <c r="BT19" i="1"/>
  <c r="BT56" i="1"/>
  <c r="BT10" i="1"/>
  <c r="BT37" i="1"/>
  <c r="BT57" i="1"/>
  <c r="BT62" i="1"/>
  <c r="BT42" i="1"/>
  <c r="BT17" i="1"/>
  <c r="BT58" i="1"/>
  <c r="BT5" i="1"/>
  <c r="BT18" i="1"/>
  <c r="BT20" i="1"/>
  <c r="BT29" i="1"/>
  <c r="BT63" i="1"/>
  <c r="BT59" i="1"/>
  <c r="BT40" i="1"/>
  <c r="BT22" i="1"/>
  <c r="BT25" i="1"/>
  <c r="BT9" i="1"/>
  <c r="BT21" i="1"/>
  <c r="BT38" i="1"/>
  <c r="H13" i="1" l="1"/>
  <c r="F13" i="1"/>
  <c r="C661" i="2"/>
  <c r="BU44" i="1"/>
  <c r="BU45" i="1"/>
  <c r="BU54" i="1"/>
  <c r="BU55" i="1"/>
  <c r="BU53" i="1"/>
  <c r="BU51" i="1"/>
  <c r="BU50" i="1"/>
  <c r="BU47" i="1"/>
  <c r="BU52" i="1"/>
  <c r="BU49" i="1"/>
  <c r="BU41" i="1"/>
  <c r="BU43" i="1"/>
  <c r="BU60" i="1"/>
  <c r="BV2" i="1"/>
  <c r="BU38" i="1"/>
  <c r="BU46" i="1"/>
  <c r="BU64" i="1"/>
  <c r="BU17" i="1"/>
  <c r="BU48" i="1"/>
  <c r="BU56" i="1"/>
  <c r="BU13" i="1"/>
  <c r="BU61" i="1"/>
  <c r="BU31" i="1"/>
  <c r="BU23" i="1"/>
  <c r="BU36" i="1"/>
  <c r="BU30" i="1"/>
  <c r="BU16" i="1"/>
  <c r="BU4" i="1"/>
  <c r="BU58" i="1"/>
  <c r="BU39" i="1"/>
  <c r="BU37" i="1"/>
  <c r="BU42" i="1"/>
  <c r="BU14" i="1"/>
  <c r="BU8" i="1"/>
  <c r="BU10" i="1"/>
  <c r="BU24" i="1"/>
  <c r="BU29" i="1"/>
  <c r="BU27" i="1"/>
  <c r="BU21" i="1"/>
  <c r="BU33" i="1"/>
  <c r="BU5" i="1"/>
  <c r="BU18" i="1"/>
  <c r="BU32" i="1"/>
  <c r="BU6" i="1"/>
  <c r="BU15" i="1"/>
  <c r="BU62" i="1"/>
  <c r="BU40" i="1"/>
  <c r="BU12" i="1"/>
  <c r="BU59" i="1"/>
  <c r="BU7" i="1"/>
  <c r="BU34" i="1"/>
  <c r="BU63" i="1"/>
  <c r="BU26" i="1"/>
  <c r="BU28" i="1"/>
  <c r="BU57" i="1"/>
  <c r="BU20" i="1"/>
  <c r="BU22" i="1"/>
  <c r="BU11" i="1"/>
  <c r="BU25" i="1"/>
  <c r="BU35" i="1"/>
  <c r="BU9" i="1"/>
  <c r="BU19" i="1"/>
  <c r="D51" i="1" l="1"/>
  <c r="C662" i="2"/>
  <c r="C51" i="1"/>
  <c r="H51" i="1" s="1"/>
  <c r="BV44" i="1"/>
  <c r="BV45" i="1"/>
  <c r="BV54" i="1"/>
  <c r="BV55" i="1"/>
  <c r="BV53" i="1"/>
  <c r="BV51" i="1"/>
  <c r="BV50" i="1"/>
  <c r="BV47" i="1"/>
  <c r="BV49" i="1"/>
  <c r="BV52" i="1"/>
  <c r="BV41" i="1"/>
  <c r="BV43" i="1"/>
  <c r="BV60" i="1"/>
  <c r="BV17" i="1"/>
  <c r="BV38" i="1"/>
  <c r="BV34" i="1"/>
  <c r="BV18" i="1"/>
  <c r="BV6" i="1"/>
  <c r="BV57" i="1"/>
  <c r="BV7" i="1"/>
  <c r="BV42" i="1"/>
  <c r="BW2" i="1"/>
  <c r="BV25" i="1"/>
  <c r="BV61" i="1"/>
  <c r="BV40" i="1"/>
  <c r="BV32" i="1"/>
  <c r="BV26" i="1"/>
  <c r="BV16" i="1"/>
  <c r="BV29" i="1"/>
  <c r="BV23" i="1"/>
  <c r="BV13" i="1"/>
  <c r="BV12" i="1"/>
  <c r="BV14" i="1"/>
  <c r="BV27" i="1"/>
  <c r="BV21" i="1"/>
  <c r="BV62" i="1"/>
  <c r="BV11" i="1"/>
  <c r="BV46" i="1"/>
  <c r="BV56" i="1"/>
  <c r="BV35" i="1"/>
  <c r="BV39" i="1"/>
  <c r="BV48" i="1"/>
  <c r="BV30" i="1"/>
  <c r="BV36" i="1"/>
  <c r="BV37" i="1"/>
  <c r="BV31" i="1"/>
  <c r="BV4" i="1"/>
  <c r="BV28" i="1"/>
  <c r="BV33" i="1"/>
  <c r="BV9" i="1"/>
  <c r="BV63" i="1"/>
  <c r="BV8" i="1"/>
  <c r="BV58" i="1"/>
  <c r="BV5" i="1"/>
  <c r="BV15" i="1"/>
  <c r="BV10" i="1"/>
  <c r="BV64" i="1"/>
  <c r="BV19" i="1"/>
  <c r="BV24" i="1"/>
  <c r="BV22" i="1"/>
  <c r="BV59" i="1"/>
  <c r="BV20" i="1"/>
  <c r="C663" i="2" l="1"/>
  <c r="F51" i="1"/>
  <c r="B14" i="5" s="1"/>
  <c r="G51" i="1"/>
  <c r="BW44" i="1"/>
  <c r="BW45" i="1"/>
  <c r="BW54" i="1"/>
  <c r="BW55" i="1"/>
  <c r="BW53" i="1"/>
  <c r="BW50" i="1"/>
  <c r="BW51" i="1"/>
  <c r="BW47" i="1"/>
  <c r="BW49" i="1"/>
  <c r="BW52" i="1"/>
  <c r="BW41" i="1"/>
  <c r="BW43" i="1"/>
  <c r="BW60" i="1"/>
  <c r="BX2" i="1"/>
  <c r="BW40" i="1"/>
  <c r="BW21" i="1"/>
  <c r="BW5" i="1"/>
  <c r="BW20" i="1"/>
  <c r="BW33" i="1"/>
  <c r="BW6" i="1"/>
  <c r="BW27" i="1"/>
  <c r="BW7" i="1"/>
  <c r="BW36" i="1"/>
  <c r="BW61" i="1"/>
  <c r="BW64" i="1"/>
  <c r="BW46" i="1"/>
  <c r="BW34" i="1"/>
  <c r="BW59" i="1"/>
  <c r="BW22" i="1"/>
  <c r="BW30" i="1"/>
  <c r="BW38" i="1"/>
  <c r="BW11" i="1"/>
  <c r="BW9" i="1"/>
  <c r="BW63" i="1"/>
  <c r="BW17" i="1"/>
  <c r="BW24" i="1"/>
  <c r="BW48" i="1"/>
  <c r="BW28" i="1"/>
  <c r="BW18" i="1"/>
  <c r="BW39" i="1"/>
  <c r="BW15" i="1"/>
  <c r="BW16" i="1"/>
  <c r="BW32" i="1"/>
  <c r="BW62" i="1"/>
  <c r="BW8" i="1"/>
  <c r="BW4" i="1"/>
  <c r="BW10" i="1"/>
  <c r="BW26" i="1"/>
  <c r="BW57" i="1"/>
  <c r="BW13" i="1"/>
  <c r="BW37" i="1"/>
  <c r="BW29" i="1"/>
  <c r="BW58" i="1"/>
  <c r="BW23" i="1"/>
  <c r="BW35" i="1"/>
  <c r="BW31" i="1"/>
  <c r="BW12" i="1"/>
  <c r="BW14" i="1"/>
  <c r="BW25" i="1"/>
  <c r="BW56" i="1"/>
  <c r="BW19" i="1"/>
  <c r="BW42" i="1"/>
  <c r="C664" i="2" l="1"/>
  <c r="D9" i="1"/>
  <c r="C9" i="1"/>
  <c r="H9" i="1" s="1"/>
  <c r="BX44" i="1"/>
  <c r="BX45" i="1"/>
  <c r="BX54" i="1"/>
  <c r="BX55" i="1"/>
  <c r="BX53" i="1"/>
  <c r="BX51" i="1"/>
  <c r="BX50" i="1"/>
  <c r="BX47" i="1"/>
  <c r="BX49" i="1"/>
  <c r="BX52" i="1"/>
  <c r="BX41" i="1"/>
  <c r="BX43" i="1"/>
  <c r="BX60" i="1"/>
  <c r="BX24" i="1"/>
  <c r="BX8" i="1"/>
  <c r="BX18" i="1"/>
  <c r="BX37" i="1"/>
  <c r="BX13" i="1"/>
  <c r="BX17" i="1"/>
  <c r="BX56" i="1"/>
  <c r="BX57" i="1"/>
  <c r="BX23" i="1"/>
  <c r="BX58" i="1"/>
  <c r="BX62" i="1"/>
  <c r="BX38" i="1"/>
  <c r="BX22" i="1"/>
  <c r="BX30" i="1"/>
  <c r="BX31" i="1"/>
  <c r="BX63" i="1"/>
  <c r="BX16" i="1"/>
  <c r="BX28" i="1"/>
  <c r="BX10" i="1"/>
  <c r="BX9" i="1"/>
  <c r="BX25" i="1"/>
  <c r="BX7" i="1"/>
  <c r="BX6" i="1"/>
  <c r="BX35" i="1"/>
  <c r="BX15" i="1"/>
  <c r="BX27" i="1"/>
  <c r="BX20" i="1"/>
  <c r="BX4" i="1"/>
  <c r="BX46" i="1"/>
  <c r="BX42" i="1"/>
  <c r="BX40" i="1"/>
  <c r="BX61" i="1"/>
  <c r="BX5" i="1"/>
  <c r="BX26" i="1"/>
  <c r="BX12" i="1"/>
  <c r="BX29" i="1"/>
  <c r="BX21" i="1"/>
  <c r="BX19" i="1"/>
  <c r="BX59" i="1"/>
  <c r="BX39" i="1"/>
  <c r="BX11" i="1"/>
  <c r="BX34" i="1"/>
  <c r="BX36" i="1"/>
  <c r="BY2" i="1"/>
  <c r="BX48" i="1"/>
  <c r="BX32" i="1"/>
  <c r="BX64" i="1"/>
  <c r="BX33" i="1"/>
  <c r="BX14" i="1"/>
  <c r="G9" i="1" l="1"/>
  <c r="F9" i="1"/>
  <c r="B11" i="5" s="1"/>
  <c r="C665" i="2"/>
  <c r="D37" i="1"/>
  <c r="BY44" i="1"/>
  <c r="BY45" i="1"/>
  <c r="BY54" i="1"/>
  <c r="BY55" i="1"/>
  <c r="BY53" i="1"/>
  <c r="BY51" i="1"/>
  <c r="BY50" i="1"/>
  <c r="BY47" i="1"/>
  <c r="BY52" i="1"/>
  <c r="BY49" i="1"/>
  <c r="BY41" i="1"/>
  <c r="BY43" i="1"/>
  <c r="BY60" i="1"/>
  <c r="BY29" i="1"/>
  <c r="BY56" i="1"/>
  <c r="BY7" i="1"/>
  <c r="BY34" i="1"/>
  <c r="BY58" i="1"/>
  <c r="BY31" i="1"/>
  <c r="BY17" i="1"/>
  <c r="BY25" i="1"/>
  <c r="BY64" i="1"/>
  <c r="BY35" i="1"/>
  <c r="BY62" i="1"/>
  <c r="BY11" i="1"/>
  <c r="BY26" i="1"/>
  <c r="BY30" i="1"/>
  <c r="BY32" i="1"/>
  <c r="BY59" i="1"/>
  <c r="BY9" i="1"/>
  <c r="BY40" i="1"/>
  <c r="BY37" i="1"/>
  <c r="BY13" i="1"/>
  <c r="BY19" i="1"/>
  <c r="BY14" i="1"/>
  <c r="BY28" i="1"/>
  <c r="BY8" i="1"/>
  <c r="BY27" i="1"/>
  <c r="BY38" i="1"/>
  <c r="BY36" i="1"/>
  <c r="BY48" i="1"/>
  <c r="BY61" i="1"/>
  <c r="BY39" i="1"/>
  <c r="BY21" i="1"/>
  <c r="BY23" i="1"/>
  <c r="BZ2" i="1"/>
  <c r="BY57" i="1"/>
  <c r="BY18" i="1"/>
  <c r="BY20" i="1"/>
  <c r="BY22" i="1"/>
  <c r="BY4" i="1"/>
  <c r="BY15" i="1"/>
  <c r="BY42" i="1"/>
  <c r="BY24" i="1"/>
  <c r="BY6" i="1"/>
  <c r="BY10" i="1"/>
  <c r="BY46" i="1"/>
  <c r="BY33" i="1"/>
  <c r="BY16" i="1"/>
  <c r="BY12" i="1"/>
  <c r="BY5" i="1"/>
  <c r="BY63" i="1"/>
  <c r="C666" i="2" l="1"/>
  <c r="C667" i="2" s="1"/>
  <c r="BZ45" i="1"/>
  <c r="BZ44" i="1"/>
  <c r="BZ54" i="1"/>
  <c r="BZ55" i="1"/>
  <c r="BZ53" i="1"/>
  <c r="BZ51" i="1"/>
  <c r="BZ50" i="1"/>
  <c r="BZ47" i="1"/>
  <c r="BZ49" i="1"/>
  <c r="BZ52" i="1"/>
  <c r="BZ41" i="1"/>
  <c r="BZ43" i="1"/>
  <c r="BZ60" i="1"/>
  <c r="BZ20" i="1"/>
  <c r="BZ5" i="1"/>
  <c r="BZ8" i="1"/>
  <c r="BZ12" i="1"/>
  <c r="BZ34" i="1"/>
  <c r="BZ63" i="1"/>
  <c r="BZ27" i="1"/>
  <c r="BZ24" i="1"/>
  <c r="BZ31" i="1"/>
  <c r="BZ18" i="1"/>
  <c r="BZ21" i="1"/>
  <c r="BZ56" i="1"/>
  <c r="BZ46" i="1"/>
  <c r="BZ35" i="1"/>
  <c r="BZ39" i="1"/>
  <c r="BZ42" i="1"/>
  <c r="BZ26" i="1"/>
  <c r="BZ33" i="1"/>
  <c r="BZ17" i="1"/>
  <c r="BZ9" i="1"/>
  <c r="BZ64" i="1"/>
  <c r="BZ61" i="1"/>
  <c r="BZ16" i="1"/>
  <c r="BZ57" i="1"/>
  <c r="BZ62" i="1"/>
  <c r="BZ48" i="1"/>
  <c r="BZ32" i="1"/>
  <c r="BZ30" i="1"/>
  <c r="BZ23" i="1"/>
  <c r="BZ14" i="1"/>
  <c r="BZ13" i="1"/>
  <c r="BZ59" i="1"/>
  <c r="BZ37" i="1"/>
  <c r="BZ58" i="1"/>
  <c r="BZ22" i="1"/>
  <c r="BZ25" i="1"/>
  <c r="BZ6" i="1"/>
  <c r="BZ36" i="1"/>
  <c r="BZ15" i="1"/>
  <c r="BZ4" i="1"/>
  <c r="BZ40" i="1"/>
  <c r="BZ28" i="1"/>
  <c r="BZ10" i="1"/>
  <c r="BZ38" i="1"/>
  <c r="BZ29" i="1"/>
  <c r="BZ11" i="1"/>
  <c r="BZ19" i="1"/>
  <c r="BZ7" i="1"/>
  <c r="C668" i="2" l="1"/>
  <c r="E62" i="1"/>
  <c r="C669" i="2" l="1"/>
  <c r="C44" i="1"/>
  <c r="G44" i="1" s="1"/>
  <c r="C670" i="2" l="1"/>
  <c r="E48" i="1"/>
  <c r="C48" i="1"/>
  <c r="G48" i="1" s="1"/>
  <c r="F48" i="1" l="1"/>
  <c r="H48" i="1"/>
  <c r="C671" i="2"/>
  <c r="C672" i="2" s="1"/>
  <c r="C673" i="2" s="1"/>
  <c r="C674" i="2" s="1"/>
  <c r="E41" i="1"/>
  <c r="C675" i="2" l="1"/>
  <c r="C676" i="2" s="1"/>
  <c r="D38" i="1"/>
  <c r="C38" i="1"/>
  <c r="H38" i="1" s="1"/>
  <c r="G38" i="1" l="1"/>
  <c r="F38" i="1"/>
  <c r="C677" i="2"/>
  <c r="E56" i="1"/>
  <c r="C56" i="1"/>
  <c r="G56" i="1" s="1"/>
  <c r="H56" i="1" l="1"/>
  <c r="F56" i="1"/>
  <c r="C678" i="2"/>
  <c r="E64" i="1"/>
  <c r="B20" i="5"/>
  <c r="C679" i="2" l="1"/>
  <c r="C680" i="2" s="1"/>
  <c r="E58" i="1"/>
  <c r="F58" i="1" l="1"/>
  <c r="B5" i="5" s="1"/>
  <c r="C34" i="1"/>
  <c r="E59" i="1"/>
  <c r="D47" i="1"/>
  <c r="C40" i="1"/>
  <c r="H40" i="1" s="1"/>
  <c r="C36" i="1"/>
  <c r="G36" i="1" s="1"/>
  <c r="D35" i="1"/>
  <c r="D55" i="1"/>
  <c r="C41" i="1"/>
  <c r="H41" i="1" s="1"/>
  <c r="D41" i="1"/>
  <c r="C42" i="1"/>
  <c r="E42" i="1"/>
  <c r="C35" i="1"/>
  <c r="H35" i="1" s="1"/>
  <c r="D40" i="1"/>
  <c r="E36" i="1"/>
  <c r="D64" i="1"/>
  <c r="C57" i="1"/>
  <c r="G57" i="1" s="1"/>
  <c r="C55" i="1"/>
  <c r="H55" i="1" s="1"/>
  <c r="C62" i="1"/>
  <c r="H62" i="1" s="1"/>
  <c r="E57" i="1"/>
  <c r="D59" i="1"/>
  <c r="C64" i="1"/>
  <c r="H64" i="1" s="1"/>
  <c r="E44" i="1"/>
  <c r="C58" i="1"/>
  <c r="G58" i="1" s="1"/>
  <c r="D62" i="1"/>
  <c r="E37" i="1"/>
  <c r="C37" i="1"/>
  <c r="G37" i="1" s="1"/>
  <c r="C59" i="1"/>
  <c r="D42" i="1"/>
  <c r="H42" i="1" l="1"/>
  <c r="H44" i="1"/>
  <c r="F44" i="1"/>
  <c r="B18" i="5" s="1"/>
  <c r="F36" i="1"/>
  <c r="H36" i="1"/>
  <c r="F35" i="1"/>
  <c r="G35" i="1"/>
  <c r="F64" i="1"/>
  <c r="G64" i="1"/>
  <c r="F40" i="1"/>
  <c r="G40" i="1"/>
  <c r="F42" i="1"/>
  <c r="B13" i="5" s="1"/>
  <c r="G42" i="1"/>
  <c r="G59" i="1"/>
  <c r="F59" i="1"/>
  <c r="B4" i="5" s="1"/>
  <c r="F2" i="5" s="1"/>
  <c r="H57" i="1"/>
  <c r="F57" i="1"/>
  <c r="B7" i="5" s="1"/>
  <c r="G47" i="1"/>
  <c r="F47" i="1"/>
  <c r="B6" i="5" s="1"/>
  <c r="H59" i="1"/>
  <c r="H37" i="1"/>
  <c r="F37" i="1"/>
  <c r="G41" i="1"/>
  <c r="F41" i="1"/>
  <c r="G34" i="1"/>
  <c r="H34" i="1"/>
  <c r="G62" i="1"/>
  <c r="F62" i="1"/>
  <c r="F55" i="1"/>
  <c r="B3" i="5" s="1"/>
  <c r="G55" i="1"/>
  <c r="H58" i="1"/>
  <c r="B8" i="5" l="1"/>
  <c r="B19" i="5"/>
  <c r="F3" i="5" s="1"/>
  <c r="B12" i="5"/>
  <c r="B16" i="5"/>
  <c r="B21" i="5"/>
  <c r="F4" i="5" s="1"/>
  <c r="B10" i="5"/>
  <c r="B15" i="5"/>
  <c r="B2" i="5"/>
  <c r="F3" i="3" l="1"/>
  <c r="F2" i="3"/>
  <c r="F5" i="5"/>
  <c r="F20" i="5"/>
  <c r="F21" i="5" s="1"/>
  <c r="F4" i="3" l="1"/>
</calcChain>
</file>

<file path=xl/sharedStrings.xml><?xml version="1.0" encoding="utf-8"?>
<sst xmlns="http://schemas.openxmlformats.org/spreadsheetml/2006/main" count="1867" uniqueCount="157">
  <si>
    <t>Have Reached</t>
  </si>
  <si>
    <t>Tournament</t>
  </si>
  <si>
    <t>Player</t>
  </si>
  <si>
    <t>Played</t>
  </si>
  <si>
    <t>Won</t>
  </si>
  <si>
    <t>Lost</t>
  </si>
  <si>
    <t>Handicap*</t>
  </si>
  <si>
    <t>% Won</t>
  </si>
  <si>
    <t>%Lost</t>
  </si>
  <si>
    <t>Last 5 Games</t>
  </si>
  <si>
    <t>5 Red</t>
  </si>
  <si>
    <t>5 Green</t>
  </si>
  <si>
    <t>Min Games</t>
  </si>
  <si>
    <t>Tanoo</t>
  </si>
  <si>
    <t>ü</t>
  </si>
  <si>
    <t>Caique</t>
  </si>
  <si>
    <t>Ensar</t>
  </si>
  <si>
    <t>Adel</t>
  </si>
  <si>
    <t>Alex</t>
  </si>
  <si>
    <t>Antoine</t>
  </si>
  <si>
    <t>Matthew</t>
  </si>
  <si>
    <t>Kieran</t>
  </si>
  <si>
    <t>Miguel</t>
  </si>
  <si>
    <t>Eslam</t>
  </si>
  <si>
    <t>Thijs</t>
  </si>
  <si>
    <t>Petit</t>
  </si>
  <si>
    <t>Stijn</t>
  </si>
  <si>
    <t>Vinny</t>
  </si>
  <si>
    <t>Dmytro</t>
  </si>
  <si>
    <t>Pete</t>
  </si>
  <si>
    <t>Gianluca</t>
  </si>
  <si>
    <t>Victor</t>
  </si>
  <si>
    <t>Reza</t>
  </si>
  <si>
    <t>Firat</t>
  </si>
  <si>
    <t>Kwinten</t>
  </si>
  <si>
    <t>Dobro</t>
  </si>
  <si>
    <t>Wouter</t>
  </si>
  <si>
    <t>Tchi</t>
  </si>
  <si>
    <t>Marco</t>
  </si>
  <si>
    <t>Onur</t>
  </si>
  <si>
    <t>Samir</t>
  </si>
  <si>
    <t>Fais</t>
  </si>
  <si>
    <t>Pablo OG</t>
  </si>
  <si>
    <t>Nima</t>
  </si>
  <si>
    <t>Sizwe</t>
  </si>
  <si>
    <t>Giovanni</t>
  </si>
  <si>
    <t>Luca</t>
  </si>
  <si>
    <t>Adi</t>
  </si>
  <si>
    <t>Pablo P</t>
  </si>
  <si>
    <t>Arne</t>
  </si>
  <si>
    <t>Iman</t>
  </si>
  <si>
    <t>Michiel</t>
  </si>
  <si>
    <t>Bram</t>
  </si>
  <si>
    <t>Adam</t>
  </si>
  <si>
    <t>Akbar</t>
  </si>
  <si>
    <t>Baris</t>
  </si>
  <si>
    <t>Giosafat</t>
  </si>
  <si>
    <t>Sandero</t>
  </si>
  <si>
    <t>Maarten</t>
  </si>
  <si>
    <t>Filip</t>
  </si>
  <si>
    <t>Jay</t>
  </si>
  <si>
    <t>Bishoy</t>
  </si>
  <si>
    <t>Record</t>
  </si>
  <si>
    <t># Games</t>
  </si>
  <si>
    <t>*Handicap = Won - Lost</t>
  </si>
  <si>
    <r>
      <t>Longest Winning Streak</t>
    </r>
    <r>
      <rPr>
        <sz val="10"/>
        <color theme="9" tint="-0.499984740745262"/>
        <rFont val="Calibri"/>
        <family val="2"/>
      </rPr>
      <t xml:space="preserve"> </t>
    </r>
    <r>
      <rPr>
        <sz val="10"/>
        <color theme="9" tint="-0.249977111117893"/>
        <rFont val="Webdings"/>
        <family val="1"/>
        <charset val="2"/>
      </rPr>
      <t>5</t>
    </r>
  </si>
  <si>
    <r>
      <t xml:space="preserve">Longest Losing Streak </t>
    </r>
    <r>
      <rPr>
        <sz val="10"/>
        <color rgb="FFFF0000"/>
        <rFont val="Webdings"/>
        <family val="1"/>
        <charset val="2"/>
      </rPr>
      <t>6</t>
    </r>
  </si>
  <si>
    <t>Key</t>
  </si>
  <si>
    <t>Date</t>
  </si>
  <si>
    <t>Result</t>
  </si>
  <si>
    <t>Playing Together</t>
  </si>
  <si>
    <t>Name Check</t>
  </si>
  <si>
    <t>W</t>
  </si>
  <si>
    <t>L</t>
  </si>
  <si>
    <t>Handicap</t>
  </si>
  <si>
    <t>Team</t>
  </si>
  <si>
    <t>Correct Name Check</t>
  </si>
  <si>
    <t>Team 1</t>
  </si>
  <si>
    <t>Team 2</t>
  </si>
  <si>
    <t>Difference</t>
  </si>
  <si>
    <t>Team 3</t>
  </si>
  <si>
    <t>Team 4</t>
  </si>
  <si>
    <t>Handicap Goal</t>
  </si>
  <si>
    <t>Sum Handicap</t>
  </si>
  <si>
    <t>Divided by 4</t>
  </si>
  <si>
    <t>Total Games Played Together and % of Wins/Losses (Find your name and look at your line)</t>
  </si>
  <si>
    <t>Legend</t>
  </si>
  <si>
    <t>0% - 17%</t>
  </si>
  <si>
    <t>18% - 34%</t>
  </si>
  <si>
    <t>35% - 50%</t>
  </si>
  <si>
    <t>51% - 67%</t>
  </si>
  <si>
    <t>68% - 83%</t>
  </si>
  <si>
    <t>84% - 100%</t>
  </si>
  <si>
    <t>% Games Won Together (Find your name and look at your line)</t>
  </si>
  <si>
    <t>Updating after the game</t>
  </si>
  <si>
    <t>1-</t>
  </si>
  <si>
    <t>Open the file on onedrive</t>
  </si>
  <si>
    <t>2-</t>
  </si>
  <si>
    <t>Select editing and open in Desktop App - this is to ensure the macro can be ran</t>
  </si>
  <si>
    <t>3-</t>
  </si>
  <si>
    <t>On database tab - copy the last 10 rows and paste under</t>
  </si>
  <si>
    <t>4-</t>
  </si>
  <si>
    <t>On database tab - change the date of the game (column C) and the name of the players (column D) for W and L</t>
  </si>
  <si>
    <t>5-</t>
  </si>
  <si>
    <t>On database tab - check if all players from that game are already in the Stats tab, using name check (column J)</t>
  </si>
  <si>
    <t>6-</t>
  </si>
  <si>
    <r>
      <rPr>
        <sz val="10"/>
        <color rgb="FF000000"/>
        <rFont val="Calibri"/>
        <family val="2"/>
      </rPr>
      <t xml:space="preserve">On stats tab - copy any player line and paste to add a new player </t>
    </r>
    <r>
      <rPr>
        <b/>
        <sz val="10"/>
        <color rgb="FF000000"/>
        <rFont val="Calibri"/>
        <family val="2"/>
      </rPr>
      <t>*JUST IF STEP 5 HAD SOMEONE NOT IN THE LIST*</t>
    </r>
  </si>
  <si>
    <t>7-</t>
  </si>
  <si>
    <t>On stats tab - press sort &amp; filter button to sort and filter the stats accordingly</t>
  </si>
  <si>
    <t>8-</t>
  </si>
  <si>
    <t>On stats tab - columns O, P, Q are manual</t>
  </si>
  <si>
    <t>9-</t>
  </si>
  <si>
    <t>On stats tab - use the columns U:BS to see if a player has reached 5 wins of 5 losses, then add a red or green mark on column O and P</t>
  </si>
  <si>
    <t>9.1-</t>
  </si>
  <si>
    <t>For information - column U means the last game played and goes on until column BS - which is the oldest game</t>
  </si>
  <si>
    <t>10-</t>
  </si>
  <si>
    <t>On stats tab - column Q are to be added only when there is a tournament</t>
  </si>
  <si>
    <t>11-</t>
  </si>
  <si>
    <t>On stats tab - longest winning and losing streak are manual - use the columns U:BS to count the number of games</t>
  </si>
  <si>
    <t>11.1-</t>
  </si>
  <si>
    <t>For information - column S filters out not to show players who have played less than 3 games. You can adjust the formula if you want to change the number of games</t>
  </si>
  <si>
    <t>12-</t>
  </si>
  <si>
    <t>Save the file and the onedrive file should be updated with this new information</t>
  </si>
  <si>
    <t>13-</t>
  </si>
  <si>
    <t>Take a screnshot of the stats and send in the Dok Noord Organizers group</t>
  </si>
  <si>
    <t>Spliting the teams</t>
  </si>
  <si>
    <t>Select editing and open in Desktop App - this is to ensure python can pick up the data</t>
  </si>
  <si>
    <t>Save as and select to save on any specific folder in your local machine</t>
  </si>
  <si>
    <t>On teams split tab - add the players who will play on column A</t>
  </si>
  <si>
    <t>Use the correct name check to make sure you have spelled the names correctly and they are in the database already</t>
  </si>
  <si>
    <t>5.1-</t>
  </si>
  <si>
    <t>If it is a new player that name will show as #N/A</t>
  </si>
  <si>
    <t>5.2-</t>
  </si>
  <si>
    <t>New player handicap will be 0 and their chemistry with other players wil be 50%</t>
  </si>
  <si>
    <t>Open the python script</t>
  </si>
  <si>
    <t>Make sure you replace the file path between " ". It will be the path that you have saved the file on your machine</t>
  </si>
  <si>
    <t>Run the script and you will have the team combinations</t>
  </si>
  <si>
    <t>Backup</t>
  </si>
  <si>
    <t>From time to time, every 1 or 3 months. Make sure you make a copy of the file and save as back-up just for safety of never losing any data.</t>
  </si>
  <si>
    <t>T</t>
  </si>
  <si>
    <t>Mohsen</t>
  </si>
  <si>
    <t>Pedja</t>
  </si>
  <si>
    <t>David</t>
  </si>
  <si>
    <t>Pablo p</t>
  </si>
  <si>
    <t>Thibaut</t>
  </si>
  <si>
    <t>Joachim</t>
  </si>
  <si>
    <t>Lars</t>
  </si>
  <si>
    <t>Renaud</t>
  </si>
  <si>
    <t>Dries</t>
  </si>
  <si>
    <t>Jo Han</t>
  </si>
  <si>
    <t>Gregor</t>
  </si>
  <si>
    <t>Miro</t>
  </si>
  <si>
    <t>Shawn</t>
  </si>
  <si>
    <t>Cedric</t>
  </si>
  <si>
    <t>All time record</t>
  </si>
  <si>
    <t>2025 Season</t>
  </si>
  <si>
    <r>
      <t>ü</t>
    </r>
    <r>
      <rPr>
        <vertAlign val="superscript"/>
        <sz val="10"/>
        <color theme="9" tint="-0.499984740745262"/>
        <rFont val="Calibri"/>
        <family val="2"/>
        <scheme val="minor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</si>
</sst>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;\-0;\-;@"/>
    <numFmt numFmtId="165" formatCode="0;\-0;&quot;-&quot;"/>
    <numFmt numFmtId="166" formatCode="_-* #,##0_-;\-* #,##0_-;_-* &quot;-&quot;??_-;_-@_-"/>
  </numFmts>
  <fonts count="16" x14ac:knownFonts="1">
    <font>
      <sz val="10"/>
      <color theme="1"/>
      <name val="Calibri"/>
      <family val="2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sz val="10"/>
      <color theme="0"/>
      <name val="Calibri"/>
      <family val="2"/>
    </font>
    <font>
      <sz val="10"/>
      <color theme="1"/>
      <name val="Webdings"/>
      <family val="1"/>
      <charset val="2"/>
    </font>
    <font>
      <b/>
      <sz val="12"/>
      <color theme="0"/>
      <name val="Calibri"/>
      <family val="2"/>
    </font>
    <font>
      <i/>
      <sz val="9.5"/>
      <color theme="1"/>
      <name val="Calibri"/>
      <family val="2"/>
    </font>
    <font>
      <sz val="10"/>
      <color rgb="FFFF0000"/>
      <name val="Webdings"/>
      <family val="1"/>
      <charset val="2"/>
    </font>
    <font>
      <sz val="10"/>
      <color theme="9" tint="-0.249977111117893"/>
      <name val="Webdings"/>
      <family val="1"/>
      <charset val="2"/>
    </font>
    <font>
      <sz val="10"/>
      <color theme="9" tint="-0.499984740745262"/>
      <name val="Calibri"/>
      <family val="2"/>
    </font>
    <font>
      <sz val="10"/>
      <color rgb="FFFF0000"/>
      <name val="Calibri"/>
      <family val="2"/>
    </font>
    <font>
      <sz val="10"/>
      <color rgb="FFFF0000"/>
      <name val="Wingdings"/>
      <charset val="2"/>
    </font>
    <font>
      <sz val="10"/>
      <color theme="9" tint="-0.499984740745262"/>
      <name val="Wingdings"/>
      <charset val="2"/>
    </font>
    <font>
      <sz val="10"/>
      <color rgb="FF000000"/>
      <name val="Calibri"/>
      <family val="2"/>
    </font>
    <font>
      <b/>
      <sz val="10"/>
      <color rgb="FF000000"/>
      <name val="Calibri"/>
      <family val="2"/>
    </font>
    <font>
      <vertAlign val="superscript"/>
      <sz val="10"/>
      <color theme="9" tint="-0.499984740745262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4F4F"/>
        <bgColor indexed="64"/>
      </patternFill>
    </fill>
    <fill>
      <patternFill patternType="solid">
        <fgColor rgb="FFFFA7A7"/>
        <bgColor indexed="64"/>
      </patternFill>
    </fill>
    <fill>
      <patternFill patternType="solid">
        <fgColor rgb="FFFFD9D9"/>
        <bgColor indexed="64"/>
      </patternFill>
    </fill>
    <fill>
      <patternFill patternType="solid">
        <fgColor rgb="FF48AE63"/>
        <bgColor indexed="64"/>
      </patternFill>
    </fill>
    <fill>
      <patternFill patternType="solid">
        <fgColor rgb="FFABDDB8"/>
        <bgColor indexed="64"/>
      </patternFill>
    </fill>
    <fill>
      <patternFill patternType="solid">
        <fgColor rgb="FFE1F3E5"/>
        <bgColor indexed="64"/>
      </patternFill>
    </fill>
    <fill>
      <patternFill patternType="solid">
        <fgColor rgb="FFFFBDBF"/>
        <bgColor indexed="64"/>
      </patternFill>
    </fill>
    <fill>
      <patternFill patternType="solid">
        <fgColor rgb="FFC0D7B7"/>
        <bgColor indexed="64"/>
      </patternFill>
    </fill>
    <fill>
      <patternFill patternType="solid">
        <fgColor theme="1" tint="0.499984740745262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hair">
        <color indexed="64"/>
      </bottom>
      <diagonal/>
    </border>
    <border>
      <left/>
      <right style="thin">
        <color theme="0" tint="-0.499984740745262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499984740745262"/>
      </left>
      <right/>
      <top/>
      <bottom style="thin">
        <color indexed="64"/>
      </bottom>
      <diagonal/>
    </border>
    <border>
      <left/>
      <right style="thin">
        <color theme="0" tint="-0.499984740745262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theme="0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theme="0" tint="-0.49998474074526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49">
    <xf numFmtId="0" fontId="0" fillId="0" borderId="0" xfId="0"/>
    <xf numFmtId="164" fontId="0" fillId="0" borderId="0" xfId="0" applyNumberFormat="1" applyAlignment="1">
      <alignment horizontal="center"/>
    </xf>
    <xf numFmtId="0" fontId="0" fillId="0" borderId="1" xfId="0" applyBorder="1"/>
    <xf numFmtId="14" fontId="0" fillId="0" borderId="2" xfId="0" applyNumberFormat="1" applyBorder="1"/>
    <xf numFmtId="0" fontId="0" fillId="0" borderId="3" xfId="0" applyBorder="1"/>
    <xf numFmtId="0" fontId="0" fillId="0" borderId="4" xfId="0" applyBorder="1"/>
    <xf numFmtId="14" fontId="0" fillId="0" borderId="5" xfId="0" applyNumberFormat="1" applyBorder="1"/>
    <xf numFmtId="0" fontId="0" fillId="0" borderId="6" xfId="0" applyBorder="1"/>
    <xf numFmtId="14" fontId="0" fillId="0" borderId="7" xfId="0" applyNumberFormat="1" applyBorder="1"/>
    <xf numFmtId="0" fontId="0" fillId="0" borderId="8" xfId="0" applyBorder="1"/>
    <xf numFmtId="0" fontId="2" fillId="2" borderId="9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0" fillId="0" borderId="7" xfId="0" applyBorder="1"/>
    <xf numFmtId="9" fontId="0" fillId="0" borderId="6" xfId="1" applyFont="1" applyBorder="1" applyAlignment="1">
      <alignment horizontal="center"/>
    </xf>
    <xf numFmtId="9" fontId="0" fillId="0" borderId="8" xfId="1" applyFon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0" fillId="0" borderId="13" xfId="0" applyBorder="1"/>
    <xf numFmtId="0" fontId="0" fillId="0" borderId="14" xfId="0" applyBorder="1"/>
    <xf numFmtId="9" fontId="0" fillId="0" borderId="0" xfId="1" applyFont="1" applyBorder="1" applyAlignment="1">
      <alignment horizontal="center"/>
    </xf>
    <xf numFmtId="14" fontId="0" fillId="0" borderId="0" xfId="0" applyNumberFormat="1"/>
    <xf numFmtId="0" fontId="4" fillId="0" borderId="0" xfId="1" applyNumberFormat="1" applyFont="1" applyBorder="1" applyAlignment="1">
      <alignment horizontal="center"/>
    </xf>
    <xf numFmtId="0" fontId="3" fillId="0" borderId="0" xfId="0" applyFont="1"/>
    <xf numFmtId="0" fontId="2" fillId="2" borderId="9" xfId="0" applyFont="1" applyFill="1" applyBorder="1" applyAlignment="1">
      <alignment horizontal="centerContinuous"/>
    </xf>
    <xf numFmtId="0" fontId="2" fillId="2" borderId="10" xfId="0" applyFont="1" applyFill="1" applyBorder="1" applyAlignment="1">
      <alignment horizontal="centerContinuous"/>
    </xf>
    <xf numFmtId="0" fontId="2" fillId="2" borderId="11" xfId="0" applyFont="1" applyFill="1" applyBorder="1" applyAlignment="1">
      <alignment horizontal="centerContinuous"/>
    </xf>
    <xf numFmtId="0" fontId="4" fillId="0" borderId="5" xfId="1" applyNumberFormat="1" applyFont="1" applyBorder="1" applyAlignment="1">
      <alignment horizontal="center"/>
    </xf>
    <xf numFmtId="0" fontId="4" fillId="0" borderId="6" xfId="1" applyNumberFormat="1" applyFont="1" applyBorder="1" applyAlignment="1">
      <alignment horizontal="center"/>
    </xf>
    <xf numFmtId="0" fontId="4" fillId="0" borderId="7" xfId="1" applyNumberFormat="1" applyFont="1" applyBorder="1" applyAlignment="1">
      <alignment horizontal="center"/>
    </xf>
    <xf numFmtId="0" fontId="4" fillId="0" borderId="1" xfId="1" applyNumberFormat="1" applyFont="1" applyBorder="1" applyAlignment="1">
      <alignment horizontal="center"/>
    </xf>
    <xf numFmtId="0" fontId="0" fillId="0" borderId="5" xfId="0" applyBorder="1"/>
    <xf numFmtId="0" fontId="0" fillId="0" borderId="0" xfId="0" applyAlignment="1">
      <alignment horizontal="right"/>
    </xf>
    <xf numFmtId="9" fontId="0" fillId="0" borderId="0" xfId="2" applyNumberFormat="1" applyFont="1" applyFill="1" applyBorder="1" applyAlignment="1">
      <alignment horizontal="center"/>
    </xf>
    <xf numFmtId="9" fontId="0" fillId="0" borderId="0" xfId="1" applyFont="1" applyAlignment="1">
      <alignment horizontal="right"/>
    </xf>
    <xf numFmtId="9" fontId="0" fillId="0" borderId="1" xfId="1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6" fillId="0" borderId="0" xfId="0" applyFont="1"/>
    <xf numFmtId="0" fontId="2" fillId="2" borderId="2" xfId="0" applyFont="1" applyFill="1" applyBorder="1" applyAlignment="1">
      <alignment horizontal="centerContinuous" vertical="center"/>
    </xf>
    <xf numFmtId="0" fontId="2" fillId="2" borderId="4" xfId="0" applyFont="1" applyFill="1" applyBorder="1" applyAlignment="1">
      <alignment horizontal="centerContinuous" vertical="center"/>
    </xf>
    <xf numFmtId="0" fontId="2" fillId="12" borderId="7" xfId="0" applyFont="1" applyFill="1" applyBorder="1" applyAlignment="1">
      <alignment horizontal="centerContinuous"/>
    </xf>
    <xf numFmtId="0" fontId="2" fillId="13" borderId="8" xfId="0" applyFont="1" applyFill="1" applyBorder="1" applyAlignment="1">
      <alignment horizontal="centerContinuous"/>
    </xf>
    <xf numFmtId="0" fontId="0" fillId="0" borderId="2" xfId="0" applyBorder="1"/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Alignment="1">
      <alignment vertical="center" wrapText="1"/>
    </xf>
    <xf numFmtId="0" fontId="2" fillId="4" borderId="7" xfId="0" applyFont="1" applyFill="1" applyBorder="1"/>
    <xf numFmtId="0" fontId="2" fillId="4" borderId="9" xfId="0" applyFont="1" applyFill="1" applyBorder="1" applyAlignment="1">
      <alignment horizontal="center" vertical="center" wrapText="1"/>
    </xf>
    <xf numFmtId="0" fontId="2" fillId="4" borderId="11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164" fontId="10" fillId="0" borderId="5" xfId="0" applyNumberFormat="1" applyFont="1" applyBorder="1" applyAlignment="1">
      <alignment horizontal="center" vertical="center"/>
    </xf>
    <xf numFmtId="164" fontId="11" fillId="0" borderId="5" xfId="0" applyNumberFormat="1" applyFont="1" applyBorder="1" applyAlignment="1">
      <alignment horizontal="center" vertical="center"/>
    </xf>
    <xf numFmtId="164" fontId="12" fillId="0" borderId="6" xfId="0" applyNumberFormat="1" applyFont="1" applyBorder="1" applyAlignment="1">
      <alignment horizontal="center" vertical="center"/>
    </xf>
    <xf numFmtId="0" fontId="9" fillId="0" borderId="6" xfId="0" applyFont="1" applyBorder="1" applyAlignment="1">
      <alignment vertical="center"/>
    </xf>
    <xf numFmtId="164" fontId="12" fillId="0" borderId="6" xfId="0" applyNumberFormat="1" applyFont="1" applyBorder="1" applyAlignment="1">
      <alignment vertical="center"/>
    </xf>
    <xf numFmtId="0" fontId="0" fillId="2" borderId="7" xfId="0" applyFill="1" applyBorder="1"/>
    <xf numFmtId="0" fontId="0" fillId="2" borderId="1" xfId="0" applyFill="1" applyBorder="1"/>
    <xf numFmtId="0" fontId="0" fillId="2" borderId="8" xfId="0" applyFill="1" applyBorder="1" applyAlignment="1">
      <alignment horizontal="center"/>
    </xf>
    <xf numFmtId="164" fontId="12" fillId="0" borderId="6" xfId="0" applyNumberFormat="1" applyFont="1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2" fillId="4" borderId="9" xfId="0" applyFont="1" applyFill="1" applyBorder="1" applyAlignment="1">
      <alignment vertical="center" wrapText="1"/>
    </xf>
    <xf numFmtId="166" fontId="0" fillId="0" borderId="0" xfId="2" applyNumberFormat="1" applyFont="1"/>
    <xf numFmtId="0" fontId="0" fillId="0" borderId="16" xfId="0" applyBorder="1"/>
    <xf numFmtId="0" fontId="0" fillId="0" borderId="17" xfId="0" applyBorder="1" applyAlignment="1">
      <alignment horizontal="center"/>
    </xf>
    <xf numFmtId="0" fontId="2" fillId="4" borderId="18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21" xfId="0" applyBorder="1"/>
    <xf numFmtId="0" fontId="0" fillId="0" borderId="22" xfId="0" applyBorder="1" applyAlignment="1">
      <alignment horizontal="center"/>
    </xf>
    <xf numFmtId="0" fontId="2" fillId="4" borderId="23" xfId="0" applyFont="1" applyFill="1" applyBorder="1" applyAlignment="1">
      <alignment horizontal="centerContinuous" vertical="center" wrapText="1"/>
    </xf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2" fillId="0" borderId="24" xfId="0" applyFont="1" applyBorder="1"/>
    <xf numFmtId="0" fontId="2" fillId="0" borderId="28" xfId="0" applyFont="1" applyBorder="1"/>
    <xf numFmtId="0" fontId="2" fillId="2" borderId="12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64" fontId="12" fillId="0" borderId="13" xfId="0" applyNumberFormat="1" applyFont="1" applyBorder="1" applyAlignment="1">
      <alignment horizontal="center"/>
    </xf>
    <xf numFmtId="164" fontId="11" fillId="0" borderId="2" xfId="0" applyNumberFormat="1" applyFont="1" applyBorder="1" applyAlignment="1">
      <alignment horizontal="center" vertical="center"/>
    </xf>
    <xf numFmtId="9" fontId="0" fillId="0" borderId="27" xfId="2" applyNumberFormat="1" applyFont="1" applyFill="1" applyBorder="1" applyAlignment="1">
      <alignment horizontal="center"/>
    </xf>
    <xf numFmtId="0" fontId="2" fillId="4" borderId="2" xfId="0" applyFont="1" applyFill="1" applyBorder="1"/>
    <xf numFmtId="0" fontId="2" fillId="4" borderId="5" xfId="0" applyFont="1" applyFill="1" applyBorder="1"/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9" fontId="0" fillId="3" borderId="0" xfId="2" applyNumberFormat="1" applyFont="1" applyFill="1" applyBorder="1" applyAlignment="1">
      <alignment horizontal="center"/>
    </xf>
    <xf numFmtId="9" fontId="0" fillId="3" borderId="24" xfId="2" applyNumberFormat="1" applyFont="1" applyFill="1" applyBorder="1" applyAlignment="1">
      <alignment horizontal="center"/>
    </xf>
    <xf numFmtId="9" fontId="0" fillId="0" borderId="32" xfId="2" applyNumberFormat="1" applyFont="1" applyFill="1" applyBorder="1" applyAlignment="1">
      <alignment horizontal="center"/>
    </xf>
    <xf numFmtId="9" fontId="0" fillId="0" borderId="25" xfId="2" applyNumberFormat="1" applyFont="1" applyFill="1" applyBorder="1" applyAlignment="1">
      <alignment horizontal="center"/>
    </xf>
    <xf numFmtId="9" fontId="0" fillId="0" borderId="26" xfId="2" applyNumberFormat="1" applyFont="1" applyFill="1" applyBorder="1" applyAlignment="1">
      <alignment horizontal="center"/>
    </xf>
    <xf numFmtId="9" fontId="0" fillId="0" borderId="28" xfId="2" applyNumberFormat="1" applyFont="1" applyFill="1" applyBorder="1" applyAlignment="1">
      <alignment horizontal="center"/>
    </xf>
    <xf numFmtId="9" fontId="0" fillId="0" borderId="30" xfId="2" applyNumberFormat="1" applyFont="1" applyFill="1" applyBorder="1" applyAlignment="1">
      <alignment horizontal="center"/>
    </xf>
    <xf numFmtId="9" fontId="0" fillId="3" borderId="29" xfId="2" applyNumberFormat="1" applyFont="1" applyFill="1" applyBorder="1" applyAlignment="1">
      <alignment horizontal="center"/>
    </xf>
    <xf numFmtId="9" fontId="0" fillId="0" borderId="32" xfId="1" applyFont="1" applyFill="1" applyBorder="1" applyAlignment="1">
      <alignment horizontal="center"/>
    </xf>
    <xf numFmtId="0" fontId="2" fillId="2" borderId="0" xfId="0" applyFont="1" applyFill="1" applyAlignment="1">
      <alignment horizontal="left"/>
    </xf>
    <xf numFmtId="0" fontId="0" fillId="14" borderId="0" xfId="0" applyFill="1"/>
    <xf numFmtId="0" fontId="13" fillId="0" borderId="0" xfId="0" applyFont="1"/>
    <xf numFmtId="9" fontId="0" fillId="0" borderId="0" xfId="1" applyFont="1" applyAlignment="1">
      <alignment horizontal="center"/>
    </xf>
    <xf numFmtId="0" fontId="4" fillId="0" borderId="0" xfId="1" applyNumberFormat="1" applyFont="1" applyAlignment="1">
      <alignment horizontal="center"/>
    </xf>
    <xf numFmtId="0" fontId="0" fillId="0" borderId="33" xfId="0" applyBorder="1"/>
    <xf numFmtId="14" fontId="0" fillId="0" borderId="21" xfId="0" applyNumberFormat="1" applyBorder="1"/>
    <xf numFmtId="0" fontId="0" fillId="0" borderId="30" xfId="0" applyBorder="1"/>
    <xf numFmtId="0" fontId="0" fillId="0" borderId="22" xfId="0" applyBorder="1"/>
    <xf numFmtId="0" fontId="0" fillId="9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2" fillId="4" borderId="0" xfId="0" applyFont="1" applyFill="1" applyAlignment="1">
      <alignment horizontal="center"/>
    </xf>
    <xf numFmtId="0" fontId="0" fillId="8" borderId="0" xfId="0" applyFill="1" applyAlignment="1">
      <alignment horizontal="center" vertical="center"/>
    </xf>
    <xf numFmtId="0" fontId="0" fillId="0" borderId="34" xfId="0" applyBorder="1"/>
    <xf numFmtId="0" fontId="2" fillId="4" borderId="34" xfId="0" applyFont="1" applyFill="1" applyBorder="1"/>
    <xf numFmtId="9" fontId="0" fillId="0" borderId="34" xfId="1" applyFont="1" applyFill="1" applyBorder="1" applyAlignment="1">
      <alignment horizontal="center"/>
    </xf>
    <xf numFmtId="9" fontId="0" fillId="0" borderId="34" xfId="2" applyNumberFormat="1" applyFont="1" applyFill="1" applyBorder="1" applyAlignment="1">
      <alignment horizontal="center"/>
    </xf>
    <xf numFmtId="165" fontId="0" fillId="0" borderId="34" xfId="2" applyNumberFormat="1" applyFont="1" applyFill="1" applyBorder="1" applyAlignment="1">
      <alignment horizontal="center"/>
    </xf>
    <xf numFmtId="0" fontId="2" fillId="4" borderId="23" xfId="0" applyFont="1" applyFill="1" applyBorder="1"/>
    <xf numFmtId="0" fontId="0" fillId="0" borderId="20" xfId="0" applyBorder="1"/>
    <xf numFmtId="0" fontId="0" fillId="0" borderId="35" xfId="0" applyBorder="1"/>
    <xf numFmtId="9" fontId="0" fillId="0" borderId="35" xfId="1" applyFont="1" applyFill="1" applyBorder="1" applyAlignment="1">
      <alignment horizontal="center"/>
    </xf>
    <xf numFmtId="0" fontId="2" fillId="4" borderId="34" xfId="0" applyFont="1" applyFill="1" applyBorder="1" applyAlignment="1">
      <alignment horizontal="center"/>
    </xf>
    <xf numFmtId="0" fontId="0" fillId="0" borderId="38" xfId="0" applyBorder="1" applyAlignment="1">
      <alignment horizontal="center" vertical="center"/>
    </xf>
    <xf numFmtId="164" fontId="12" fillId="0" borderId="13" xfId="0" applyNumberFormat="1" applyFont="1" applyBorder="1" applyAlignment="1">
      <alignment horizontal="center" vertical="center"/>
    </xf>
    <xf numFmtId="0" fontId="0" fillId="0" borderId="32" xfId="0" applyBorder="1"/>
    <xf numFmtId="0" fontId="0" fillId="0" borderId="0" xfId="0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" xfId="0" applyNumberFormat="1" applyBorder="1" applyAlignment="1">
      <alignment horizontal="center"/>
    </xf>
    <xf numFmtId="164" fontId="10" fillId="0" borderId="7" xfId="0" applyNumberFormat="1" applyFont="1" applyBorder="1" applyAlignment="1">
      <alignment horizontal="center" vertical="center"/>
    </xf>
    <xf numFmtId="164" fontId="12" fillId="0" borderId="8" xfId="0" applyNumberFormat="1" applyFont="1" applyBorder="1" applyAlignment="1">
      <alignment horizontal="center"/>
    </xf>
    <xf numFmtId="164" fontId="12" fillId="0" borderId="14" xfId="0" applyNumberFormat="1" applyFont="1" applyBorder="1" applyAlignment="1">
      <alignment horizontal="center"/>
    </xf>
    <xf numFmtId="0" fontId="2" fillId="4" borderId="4" xfId="0" applyFont="1" applyFill="1" applyBorder="1" applyAlignment="1">
      <alignment horizontal="center" vertical="center" wrapText="1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3" xfId="0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5" fillId="5" borderId="20" xfId="0" applyFont="1" applyFill="1" applyBorder="1" applyAlignment="1">
      <alignment horizontal="center"/>
    </xf>
    <xf numFmtId="0" fontId="5" fillId="5" borderId="37" xfId="0" applyFont="1" applyFill="1" applyBorder="1" applyAlignment="1">
      <alignment horizontal="center"/>
    </xf>
    <xf numFmtId="0" fontId="5" fillId="5" borderId="35" xfId="0" applyFont="1" applyFill="1" applyBorder="1" applyAlignment="1">
      <alignment horizontal="center"/>
    </xf>
    <xf numFmtId="0" fontId="5" fillId="5" borderId="36" xfId="0" applyFont="1" applyFill="1" applyBorder="1" applyAlignment="1">
      <alignment horizontal="center"/>
    </xf>
  </cellXfs>
  <cellStyles count="3">
    <cellStyle name="Comma" xfId="2" builtinId="3"/>
    <cellStyle name="Normal" xfId="0" builtinId="0"/>
    <cellStyle name="Percent" xfId="1" builtinId="5"/>
  </cellStyles>
  <dxfs count="73">
    <dxf>
      <fill>
        <patternFill>
          <bgColor rgb="FF48AE63"/>
        </patternFill>
      </fill>
    </dxf>
    <dxf>
      <fill>
        <patternFill>
          <bgColor rgb="FFABDDB8"/>
        </patternFill>
      </fill>
    </dxf>
    <dxf>
      <fill>
        <patternFill>
          <bgColor rgb="FFE1F3E5"/>
        </patternFill>
      </fill>
    </dxf>
    <dxf>
      <fill>
        <patternFill>
          <bgColor rgb="FFFF4F4F"/>
        </patternFill>
      </fill>
    </dxf>
    <dxf>
      <fill>
        <patternFill>
          <bgColor rgb="FFFFA7A7"/>
        </patternFill>
      </fill>
    </dxf>
    <dxf>
      <fill>
        <patternFill>
          <bgColor rgb="FFFFD9D9"/>
        </patternFill>
      </fill>
    </dxf>
    <dxf>
      <fill>
        <patternFill>
          <bgColor rgb="FF48AE63"/>
        </patternFill>
      </fill>
    </dxf>
    <dxf>
      <fill>
        <patternFill>
          <bgColor rgb="FFABDDB8"/>
        </patternFill>
      </fill>
    </dxf>
    <dxf>
      <fill>
        <patternFill>
          <bgColor rgb="FFE1F3E5"/>
        </patternFill>
      </fill>
    </dxf>
    <dxf>
      <fill>
        <patternFill>
          <bgColor rgb="FFFF4F4F"/>
        </patternFill>
      </fill>
    </dxf>
    <dxf>
      <fill>
        <patternFill>
          <bgColor rgb="FFFFA7A7"/>
        </patternFill>
      </fill>
    </dxf>
    <dxf>
      <fill>
        <patternFill>
          <bgColor rgb="FFFFD9D9"/>
        </patternFill>
      </fill>
    </dxf>
    <dxf>
      <fill>
        <patternFill>
          <bgColor rgb="FF48AE63"/>
        </patternFill>
      </fill>
    </dxf>
    <dxf>
      <fill>
        <patternFill>
          <bgColor rgb="FFABDDB8"/>
        </patternFill>
      </fill>
    </dxf>
    <dxf>
      <fill>
        <patternFill>
          <bgColor rgb="FFE1F3E5"/>
        </patternFill>
      </fill>
    </dxf>
    <dxf>
      <fill>
        <patternFill>
          <bgColor rgb="FFFF4F4F"/>
        </patternFill>
      </fill>
    </dxf>
    <dxf>
      <fill>
        <patternFill>
          <bgColor rgb="FFFFA7A7"/>
        </patternFill>
      </fill>
    </dxf>
    <dxf>
      <fill>
        <patternFill>
          <bgColor rgb="FFFFD9D9"/>
        </patternFill>
      </fill>
    </dxf>
    <dxf>
      <fill>
        <patternFill>
          <bgColor rgb="FF48AE63"/>
        </patternFill>
      </fill>
    </dxf>
    <dxf>
      <fill>
        <patternFill>
          <bgColor rgb="FFABDDB8"/>
        </patternFill>
      </fill>
    </dxf>
    <dxf>
      <fill>
        <patternFill>
          <bgColor rgb="FFE1F3E5"/>
        </patternFill>
      </fill>
    </dxf>
    <dxf>
      <fill>
        <patternFill>
          <bgColor rgb="FFFF4F4F"/>
        </patternFill>
      </fill>
    </dxf>
    <dxf>
      <fill>
        <patternFill>
          <bgColor rgb="FFFFA7A7"/>
        </patternFill>
      </fill>
    </dxf>
    <dxf>
      <fill>
        <patternFill>
          <bgColor rgb="FFFFD9D9"/>
        </patternFill>
      </fill>
    </dxf>
    <dxf>
      <fill>
        <patternFill>
          <bgColor rgb="FF48AE63"/>
        </patternFill>
      </fill>
    </dxf>
    <dxf>
      <fill>
        <patternFill>
          <bgColor rgb="FFABDDB8"/>
        </patternFill>
      </fill>
    </dxf>
    <dxf>
      <fill>
        <patternFill>
          <bgColor rgb="FFE1F3E5"/>
        </patternFill>
      </fill>
    </dxf>
    <dxf>
      <fill>
        <patternFill>
          <bgColor rgb="FFFF4F4F"/>
        </patternFill>
      </fill>
    </dxf>
    <dxf>
      <fill>
        <patternFill>
          <bgColor rgb="FFFFA7A7"/>
        </patternFill>
      </fill>
    </dxf>
    <dxf>
      <fill>
        <patternFill>
          <bgColor rgb="FFFFD9D9"/>
        </patternFill>
      </fill>
    </dxf>
    <dxf>
      <fill>
        <patternFill>
          <bgColor rgb="FF48AE63"/>
        </patternFill>
      </fill>
    </dxf>
    <dxf>
      <fill>
        <patternFill>
          <bgColor rgb="FFABDDB8"/>
        </patternFill>
      </fill>
    </dxf>
    <dxf>
      <fill>
        <patternFill>
          <bgColor rgb="FFE1F3E5"/>
        </patternFill>
      </fill>
    </dxf>
    <dxf>
      <fill>
        <patternFill>
          <bgColor rgb="FFFF4F4F"/>
        </patternFill>
      </fill>
    </dxf>
    <dxf>
      <fill>
        <patternFill>
          <bgColor rgb="FFFFA7A7"/>
        </patternFill>
      </fill>
    </dxf>
    <dxf>
      <fill>
        <patternFill>
          <bgColor rgb="FFFFD9D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ont>
        <color theme="9" tint="-0.24994659260841701"/>
      </font>
    </dxf>
    <dxf>
      <font>
        <color theme="9" tint="-0.24994659260841701"/>
      </font>
    </dxf>
    <dxf>
      <font>
        <color rgb="FFFF0000"/>
      </font>
    </dxf>
    <dxf>
      <font>
        <color rgb="FFFF0000"/>
      </font>
    </dxf>
    <dxf>
      <fill>
        <patternFill>
          <bgColor theme="2"/>
        </patternFill>
      </fill>
    </dxf>
  </dxfs>
  <tableStyles count="0" defaultTableStyle="TableStyleMedium2" defaultPivotStyle="PivotStyleLight16"/>
  <colors>
    <mruColors>
      <color rgb="FFC0D7B7"/>
      <color rgb="FFC0B989"/>
      <color rgb="FFFFBDBF"/>
      <color rgb="FF74C689"/>
      <color rgb="FF48AE63"/>
      <color rgb="FFFF8181"/>
      <color rgb="FFFFA7A7"/>
      <color rgb="FFE1F3E5"/>
      <color rgb="FFABDDB8"/>
      <color rgb="FFFF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25879</xdr:colOff>
          <xdr:row>66</xdr:row>
          <xdr:rowOff>51758</xdr:rowOff>
        </xdr:from>
        <xdr:to>
          <xdr:col>33</xdr:col>
          <xdr:colOff>112143</xdr:colOff>
          <xdr:row>69</xdr:row>
          <xdr:rowOff>8626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B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Filter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25879</xdr:colOff>
          <xdr:row>6</xdr:row>
          <xdr:rowOff>69011</xdr:rowOff>
        </xdr:from>
        <xdr:to>
          <xdr:col>5</xdr:col>
          <xdr:colOff>603849</xdr:colOff>
          <xdr:row>8</xdr:row>
          <xdr:rowOff>103517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B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Split Teams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25879</xdr:colOff>
          <xdr:row>8</xdr:row>
          <xdr:rowOff>69011</xdr:rowOff>
        </xdr:from>
        <xdr:to>
          <xdr:col>5</xdr:col>
          <xdr:colOff>603849</xdr:colOff>
          <xdr:row>10</xdr:row>
          <xdr:rowOff>103517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B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Split Teams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266700</xdr:colOff>
      <xdr:row>0</xdr:row>
      <xdr:rowOff>123825</xdr:rowOff>
    </xdr:from>
    <xdr:to>
      <xdr:col>22</xdr:col>
      <xdr:colOff>505199</xdr:colOff>
      <xdr:row>12</xdr:row>
      <xdr:rowOff>66904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58425" y="123825"/>
          <a:ext cx="2676899" cy="1638529"/>
        </a:xfrm>
        <a:prstGeom prst="rect">
          <a:avLst/>
        </a:prstGeom>
      </xdr:spPr>
    </xdr:pic>
    <xdr:clientData/>
  </xdr:twoCellAnchor>
  <xdr:twoCellAnchor>
    <xdr:from>
      <xdr:col>10</xdr:col>
      <xdr:colOff>114300</xdr:colOff>
      <xdr:row>3</xdr:row>
      <xdr:rowOff>76200</xdr:rowOff>
    </xdr:from>
    <xdr:to>
      <xdr:col>18</xdr:col>
      <xdr:colOff>142875</xdr:colOff>
      <xdr:row>3</xdr:row>
      <xdr:rowOff>76200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>
          <a:off x="4543425" y="561975"/>
          <a:ext cx="490537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361950</xdr:colOff>
      <xdr:row>23</xdr:row>
      <xdr:rowOff>76200</xdr:rowOff>
    </xdr:from>
    <xdr:to>
      <xdr:col>18</xdr:col>
      <xdr:colOff>142875</xdr:colOff>
      <xdr:row>23</xdr:row>
      <xdr:rowOff>76200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CxnSpPr/>
      </xdr:nvCxnSpPr>
      <xdr:spPr>
        <a:xfrm>
          <a:off x="4791075" y="3429000"/>
          <a:ext cx="465772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18</xdr:col>
      <xdr:colOff>257175</xdr:colOff>
      <xdr:row>19</xdr:row>
      <xdr:rowOff>19050</xdr:rowOff>
    </xdr:from>
    <xdr:to>
      <xdr:col>22</xdr:col>
      <xdr:colOff>495674</xdr:colOff>
      <xdr:row>30</xdr:row>
      <xdr:rowOff>229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63100" y="2724150"/>
          <a:ext cx="2676899" cy="1638529"/>
        </a:xfrm>
        <a:prstGeom prst="rect">
          <a:avLst/>
        </a:prstGeom>
      </xdr:spPr>
    </xdr:pic>
    <xdr:clientData/>
  </xdr:twoCellAnchor>
  <xdr:twoCellAnchor editAs="oneCell">
    <xdr:from>
      <xdr:col>18</xdr:col>
      <xdr:colOff>295275</xdr:colOff>
      <xdr:row>31</xdr:row>
      <xdr:rowOff>95250</xdr:rowOff>
    </xdr:from>
    <xdr:to>
      <xdr:col>26</xdr:col>
      <xdr:colOff>143534</xdr:colOff>
      <xdr:row>35</xdr:row>
      <xdr:rowOff>104867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01200" y="4495800"/>
          <a:ext cx="4725059" cy="657317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32</xdr:row>
      <xdr:rowOff>85725</xdr:rowOff>
    </xdr:from>
    <xdr:to>
      <xdr:col>18</xdr:col>
      <xdr:colOff>95250</xdr:colOff>
      <xdr:row>32</xdr:row>
      <xdr:rowOff>85725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CxnSpPr/>
      </xdr:nvCxnSpPr>
      <xdr:spPr>
        <a:xfrm>
          <a:off x="6257925" y="4648200"/>
          <a:ext cx="31432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B1:BZ115"/>
  <sheetViews>
    <sheetView showGridLines="0" zoomScaleNormal="100" workbookViewId="0">
      <selection activeCell="T44" sqref="T44"/>
    </sheetView>
  </sheetViews>
  <sheetFormatPr defaultColWidth="9" defaultRowHeight="12.75" customHeight="1" x14ac:dyDescent="0.25"/>
  <cols>
    <col min="1" max="1" width="3.85546875" customWidth="1"/>
    <col min="2" max="2" width="11.140625" customWidth="1"/>
    <col min="3" max="6" width="12.85546875" customWidth="1"/>
    <col min="7" max="7" width="11.5703125" customWidth="1"/>
    <col min="8" max="8" width="11.140625" customWidth="1"/>
    <col min="9" max="9" width="0.85546875" customWidth="1"/>
    <col min="10" max="12" width="7.140625" customWidth="1"/>
    <col min="13" max="13" width="10.140625" bestFit="1" customWidth="1"/>
    <col min="14" max="14" width="11.5703125" customWidth="1"/>
    <col min="15" max="15" width="11.28515625" customWidth="1"/>
    <col min="16" max="16" width="1" customWidth="1"/>
    <col min="17" max="21" width="3.140625" customWidth="1"/>
    <col min="22" max="23" width="8" customWidth="1"/>
    <col min="24" max="24" width="11.85546875" style="33" bestFit="1" customWidth="1"/>
    <col min="25" max="25" width="1.85546875" customWidth="1"/>
    <col min="26" max="26" width="11.5703125" style="33" customWidth="1"/>
    <col min="27" max="27" width="10.140625" style="33" customWidth="1"/>
    <col min="28" max="78" width="3.140625" customWidth="1"/>
  </cols>
  <sheetData>
    <row r="1" spans="2:78" ht="7.5" customHeight="1" x14ac:dyDescent="0.25">
      <c r="Q1" s="21"/>
      <c r="R1" s="21"/>
      <c r="S1" s="21"/>
      <c r="T1" s="21"/>
      <c r="U1" s="21"/>
    </row>
    <row r="2" spans="2:78" ht="12.75" customHeight="1" x14ac:dyDescent="0.25">
      <c r="C2" s="25" t="s">
        <v>155</v>
      </c>
      <c r="D2" s="26"/>
      <c r="E2" s="26"/>
      <c r="F2" s="26"/>
      <c r="G2" s="26"/>
      <c r="H2" s="27"/>
      <c r="J2" s="25" t="s">
        <v>154</v>
      </c>
      <c r="K2" s="26"/>
      <c r="L2" s="26"/>
      <c r="M2" s="26"/>
      <c r="N2" s="26"/>
      <c r="O2" s="27"/>
      <c r="Q2" s="24">
        <v>5</v>
      </c>
      <c r="R2" s="24">
        <v>4</v>
      </c>
      <c r="S2" s="24">
        <v>3</v>
      </c>
      <c r="T2" s="24">
        <v>2</v>
      </c>
      <c r="U2" s="24">
        <v>1</v>
      </c>
      <c r="V2" s="41" t="s">
        <v>0</v>
      </c>
      <c r="W2" s="42"/>
      <c r="X2" s="84" t="s">
        <v>1</v>
      </c>
      <c r="AB2" s="132">
        <v>1</v>
      </c>
      <c r="AC2" s="132">
        <f>+AB2+1</f>
        <v>2</v>
      </c>
      <c r="AD2" s="132">
        <f t="shared" ref="AD2:BZ2" si="0">+AC2+1</f>
        <v>3</v>
      </c>
      <c r="AE2" s="132">
        <f t="shared" si="0"/>
        <v>4</v>
      </c>
      <c r="AF2" s="132">
        <f t="shared" si="0"/>
        <v>5</v>
      </c>
      <c r="AG2" s="132">
        <f t="shared" si="0"/>
        <v>6</v>
      </c>
      <c r="AH2" s="132">
        <f t="shared" si="0"/>
        <v>7</v>
      </c>
      <c r="AI2" s="132">
        <f t="shared" si="0"/>
        <v>8</v>
      </c>
      <c r="AJ2" s="132">
        <f t="shared" si="0"/>
        <v>9</v>
      </c>
      <c r="AK2" s="132">
        <f t="shared" si="0"/>
        <v>10</v>
      </c>
      <c r="AL2" s="132">
        <f t="shared" si="0"/>
        <v>11</v>
      </c>
      <c r="AM2" s="132">
        <f t="shared" si="0"/>
        <v>12</v>
      </c>
      <c r="AN2" s="132">
        <f t="shared" si="0"/>
        <v>13</v>
      </c>
      <c r="AO2" s="132">
        <f t="shared" si="0"/>
        <v>14</v>
      </c>
      <c r="AP2" s="132">
        <f t="shared" si="0"/>
        <v>15</v>
      </c>
      <c r="AQ2" s="132">
        <f t="shared" si="0"/>
        <v>16</v>
      </c>
      <c r="AR2" s="132">
        <f t="shared" si="0"/>
        <v>17</v>
      </c>
      <c r="AS2" s="132">
        <f t="shared" si="0"/>
        <v>18</v>
      </c>
      <c r="AT2" s="132">
        <f t="shared" si="0"/>
        <v>19</v>
      </c>
      <c r="AU2" s="132">
        <f t="shared" si="0"/>
        <v>20</v>
      </c>
      <c r="AV2" s="132">
        <f t="shared" si="0"/>
        <v>21</v>
      </c>
      <c r="AW2" s="132">
        <f t="shared" si="0"/>
        <v>22</v>
      </c>
      <c r="AX2" s="132">
        <f t="shared" si="0"/>
        <v>23</v>
      </c>
      <c r="AY2" s="132">
        <f t="shared" si="0"/>
        <v>24</v>
      </c>
      <c r="AZ2" s="132">
        <f t="shared" si="0"/>
        <v>25</v>
      </c>
      <c r="BA2" s="132">
        <f t="shared" si="0"/>
        <v>26</v>
      </c>
      <c r="BB2" s="132">
        <f t="shared" si="0"/>
        <v>27</v>
      </c>
      <c r="BC2" s="132">
        <f t="shared" si="0"/>
        <v>28</v>
      </c>
      <c r="BD2" s="132">
        <f t="shared" si="0"/>
        <v>29</v>
      </c>
      <c r="BE2" s="132">
        <f t="shared" si="0"/>
        <v>30</v>
      </c>
      <c r="BF2" s="132">
        <f t="shared" si="0"/>
        <v>31</v>
      </c>
      <c r="BG2" s="132">
        <f t="shared" si="0"/>
        <v>32</v>
      </c>
      <c r="BH2" s="132">
        <f t="shared" si="0"/>
        <v>33</v>
      </c>
      <c r="BI2" s="132">
        <f t="shared" si="0"/>
        <v>34</v>
      </c>
      <c r="BJ2" s="132">
        <f t="shared" si="0"/>
        <v>35</v>
      </c>
      <c r="BK2" s="132">
        <f t="shared" si="0"/>
        <v>36</v>
      </c>
      <c r="BL2" s="132">
        <f t="shared" si="0"/>
        <v>37</v>
      </c>
      <c r="BM2" s="132">
        <f t="shared" si="0"/>
        <v>38</v>
      </c>
      <c r="BN2" s="132">
        <f t="shared" si="0"/>
        <v>39</v>
      </c>
      <c r="BO2" s="132">
        <f t="shared" si="0"/>
        <v>40</v>
      </c>
      <c r="BP2" s="132">
        <f t="shared" si="0"/>
        <v>41</v>
      </c>
      <c r="BQ2" s="132">
        <f t="shared" si="0"/>
        <v>42</v>
      </c>
      <c r="BR2" s="132">
        <f t="shared" si="0"/>
        <v>43</v>
      </c>
      <c r="BS2" s="132">
        <f t="shared" si="0"/>
        <v>44</v>
      </c>
      <c r="BT2" s="132">
        <f t="shared" si="0"/>
        <v>45</v>
      </c>
      <c r="BU2" s="132">
        <f t="shared" si="0"/>
        <v>46</v>
      </c>
      <c r="BV2" s="132">
        <f t="shared" si="0"/>
        <v>47</v>
      </c>
      <c r="BW2" s="132">
        <f t="shared" si="0"/>
        <v>48</v>
      </c>
      <c r="BX2" s="132">
        <f t="shared" si="0"/>
        <v>49</v>
      </c>
      <c r="BY2" s="132">
        <f t="shared" si="0"/>
        <v>50</v>
      </c>
      <c r="BZ2" s="132">
        <f t="shared" si="0"/>
        <v>51</v>
      </c>
    </row>
    <row r="3" spans="2:78" ht="12.75" customHeight="1" x14ac:dyDescent="0.25">
      <c r="B3" s="18" t="s">
        <v>2</v>
      </c>
      <c r="C3" s="38" t="s">
        <v>3</v>
      </c>
      <c r="D3" s="37" t="s">
        <v>4</v>
      </c>
      <c r="E3" s="37" t="s">
        <v>5</v>
      </c>
      <c r="F3" s="37" t="s">
        <v>6</v>
      </c>
      <c r="G3" s="37" t="s">
        <v>7</v>
      </c>
      <c r="H3" s="39" t="s">
        <v>8</v>
      </c>
      <c r="I3" s="24"/>
      <c r="J3" s="38" t="s">
        <v>3</v>
      </c>
      <c r="K3" s="37" t="s">
        <v>4</v>
      </c>
      <c r="L3" s="37" t="s">
        <v>5</v>
      </c>
      <c r="M3" s="37" t="s">
        <v>6</v>
      </c>
      <c r="N3" s="37" t="s">
        <v>7</v>
      </c>
      <c r="O3" s="39" t="s">
        <v>8</v>
      </c>
      <c r="P3" s="24"/>
      <c r="Q3" s="25" t="s">
        <v>9</v>
      </c>
      <c r="R3" s="26"/>
      <c r="S3" s="26"/>
      <c r="T3" s="26"/>
      <c r="U3" s="27"/>
      <c r="V3" s="43" t="s">
        <v>10</v>
      </c>
      <c r="W3" s="44" t="s">
        <v>11</v>
      </c>
      <c r="X3" s="83" t="str">
        <f>CONCATENATE("Winner"," 🏆")</f>
        <v>Winner 🏆</v>
      </c>
      <c r="Y3" s="24"/>
      <c r="Z3" s="82" t="s">
        <v>12</v>
      </c>
    </row>
    <row r="4" spans="2:78" ht="14.3" hidden="1" x14ac:dyDescent="0.3">
      <c r="B4" s="19" t="s">
        <v>17</v>
      </c>
      <c r="C4" s="16">
        <f>COUNTIFS(Database!$D:$D,$B4,Database!$C:$C,"&gt;1/1/25")</f>
        <v>0</v>
      </c>
      <c r="D4" s="1">
        <f>COUNTIFS(Database!$D:$D,$B4,Database!$E:$E,"W",Database!$C:$C,"&gt;1/1/25")</f>
        <v>0</v>
      </c>
      <c r="E4" s="1">
        <f>COUNTIFS(Database!$D:$D,$B4,Database!$E:$E,"L",Database!$C:$C,"&gt;1/1/25")</f>
        <v>0</v>
      </c>
      <c r="F4" s="1">
        <f t="shared" ref="F4:F35" si="1">D4-E4</f>
        <v>0</v>
      </c>
      <c r="G4" s="106" t="str">
        <f t="shared" ref="G4:G35" si="2">IFERROR(D4/C4,"-")</f>
        <v>-</v>
      </c>
      <c r="H4" s="14" t="str">
        <f t="shared" ref="H4:H35" si="3">IFERROR(E4/C4,"-")</f>
        <v>-</v>
      </c>
      <c r="J4" s="16">
        <f>COUNTIF(Database!$D:$D,$B4)</f>
        <v>4</v>
      </c>
      <c r="K4" s="1">
        <f>COUNTIFS(Database!$D:$D,$B4,Database!$E:$E,"W")</f>
        <v>4</v>
      </c>
      <c r="L4" s="1">
        <f>COUNTIFS(Database!$D:$D,$B4,Database!$E:$E,"L")</f>
        <v>0</v>
      </c>
      <c r="M4" s="1">
        <f t="shared" ref="M4:M35" si="4">K4-L4</f>
        <v>4</v>
      </c>
      <c r="N4" s="106">
        <f t="shared" ref="N4:N35" si="5">IFERROR(K4/J4,"-")</f>
        <v>1</v>
      </c>
      <c r="O4" s="14">
        <f t="shared" ref="O4:O35" si="6">IFERROR(L4/J4,"-")</f>
        <v>0</v>
      </c>
      <c r="Q4" s="28" t="str">
        <f>IFERROR(IF(VLOOKUP(CONCATENATE($B4,Q$2),Database!$B:$E,4,0)="L",6,5),"")</f>
        <v/>
      </c>
      <c r="R4" s="107">
        <f>IFERROR(IF(VLOOKUP(CONCATENATE($B4,R$2),Database!$B:$E,4,0)="L",6,5),"")</f>
        <v>5</v>
      </c>
      <c r="S4" s="107">
        <f>IFERROR(IF(VLOOKUP(CONCATENATE($B4,S$2),Database!$B:$E,4,0)="L",6,5),"")</f>
        <v>5</v>
      </c>
      <c r="T4" s="107">
        <f>IFERROR(IF(VLOOKUP(CONCATENATE($B4,T$2),Database!$B:$E,4,0)="L",6,5),"")</f>
        <v>5</v>
      </c>
      <c r="U4" s="29">
        <f>IFERROR(IF(VLOOKUP(CONCATENATE($B4,U$2),Database!$B:$E,4,0)="L",6,5),"")</f>
        <v>5</v>
      </c>
      <c r="V4" s="87"/>
      <c r="W4" s="58"/>
      <c r="X4" s="85"/>
      <c r="Z4" s="63" t="str">
        <f t="shared" ref="Z4:Z31" si="7">IF(J4&lt;5,"N","Y")</f>
        <v>N</v>
      </c>
      <c r="AB4" s="29">
        <f>IFERROR(IF(VLOOKUP(CONCATENATE($B4,AB$2),Database!$B:$E,4,0)="L",6,5),"")</f>
        <v>5</v>
      </c>
      <c r="AC4" s="29">
        <f>IFERROR(IF(VLOOKUP(CONCATENATE($B4,AC$2),Database!$B:$E,4,0)="L",6,5),"")</f>
        <v>5</v>
      </c>
      <c r="AD4" s="29">
        <f>IFERROR(IF(VLOOKUP(CONCATENATE($B4,AD$2),Database!$B:$E,4,0)="L",6,5),"")</f>
        <v>5</v>
      </c>
      <c r="AE4" s="29">
        <f>IFERROR(IF(VLOOKUP(CONCATENATE($B4,AE$2),Database!$B:$E,4,0)="L",6,5),"")</f>
        <v>5</v>
      </c>
      <c r="AF4" s="29" t="str">
        <f>IFERROR(IF(VLOOKUP(CONCATENATE($B4,AF$2),Database!$B:$E,4,0)="L",6,5),"")</f>
        <v/>
      </c>
      <c r="AG4" s="29" t="str">
        <f>IFERROR(IF(VLOOKUP(CONCATENATE($B4,AG$2),Database!$B:$E,4,0)="L",6,5),"")</f>
        <v/>
      </c>
      <c r="AH4" s="29" t="str">
        <f>IFERROR(IF(VLOOKUP(CONCATENATE($B4,AH$2),Database!$B:$E,4,0)="L",6,5),"")</f>
        <v/>
      </c>
      <c r="AI4" s="29" t="str">
        <f>IFERROR(IF(VLOOKUP(CONCATENATE($B4,AI$2),Database!$B:$E,4,0)="L",6,5),"")</f>
        <v/>
      </c>
      <c r="AJ4" s="29" t="str">
        <f>IFERROR(IF(VLOOKUP(CONCATENATE($B4,AJ$2),Database!$B:$E,4,0)="L",6,5),"")</f>
        <v/>
      </c>
      <c r="AK4" s="29" t="str">
        <f>IFERROR(IF(VLOOKUP(CONCATENATE($B4,AK$2),Database!$B:$E,4,0)="L",6,5),"")</f>
        <v/>
      </c>
      <c r="AL4" s="29" t="str">
        <f>IFERROR(IF(VLOOKUP(CONCATENATE($B4,AL$2),Database!$B:$E,4,0)="L",6,5),"")</f>
        <v/>
      </c>
      <c r="AM4" s="29" t="str">
        <f>IFERROR(IF(VLOOKUP(CONCATENATE($B4,AM$2),Database!$B:$E,4,0)="L",6,5),"")</f>
        <v/>
      </c>
      <c r="AN4" s="29" t="str">
        <f>IFERROR(IF(VLOOKUP(CONCATENATE($B4,AN$2),Database!$B:$E,4,0)="L",6,5),"")</f>
        <v/>
      </c>
      <c r="AO4" s="29" t="str">
        <f>IFERROR(IF(VLOOKUP(CONCATENATE($B4,AO$2),Database!$B:$E,4,0)="L",6,5),"")</f>
        <v/>
      </c>
      <c r="AP4" s="29" t="str">
        <f>IFERROR(IF(VLOOKUP(CONCATENATE($B4,AP$2),Database!$B:$E,4,0)="L",6,5),"")</f>
        <v/>
      </c>
      <c r="AQ4" s="29" t="str">
        <f>IFERROR(IF(VLOOKUP(CONCATENATE($B4,AQ$2),Database!$B:$E,4,0)="L",6,5),"")</f>
        <v/>
      </c>
      <c r="AR4" s="29" t="str">
        <f>IFERROR(IF(VLOOKUP(CONCATENATE($B4,AR$2),Database!$B:$E,4,0)="L",6,5),"")</f>
        <v/>
      </c>
      <c r="AS4" s="29" t="str">
        <f>IFERROR(IF(VLOOKUP(CONCATENATE($B4,AS$2),Database!$B:$E,4,0)="L",6,5),"")</f>
        <v/>
      </c>
      <c r="AT4" s="29" t="str">
        <f>IFERROR(IF(VLOOKUP(CONCATENATE($B4,AT$2),Database!$B:$E,4,0)="L",6,5),"")</f>
        <v/>
      </c>
      <c r="AU4" s="29" t="str">
        <f>IFERROR(IF(VLOOKUP(CONCATENATE($B4,AU$2),Database!$B:$E,4,0)="L",6,5),"")</f>
        <v/>
      </c>
      <c r="AV4" s="29" t="str">
        <f>IFERROR(IF(VLOOKUP(CONCATENATE($B4,AV$2),Database!$B:$E,4,0)="L",6,5),"")</f>
        <v/>
      </c>
      <c r="AW4" s="29" t="str">
        <f>IFERROR(IF(VLOOKUP(CONCATENATE($B4,AW$2),Database!$B:$E,4,0)="L",6,5),"")</f>
        <v/>
      </c>
      <c r="AX4" s="29" t="str">
        <f>IFERROR(IF(VLOOKUP(CONCATENATE($B4,AX$2),Database!$B:$E,4,0)="L",6,5),"")</f>
        <v/>
      </c>
      <c r="AY4" s="29" t="str">
        <f>IFERROR(IF(VLOOKUP(CONCATENATE($B4,AY$2),Database!$B:$E,4,0)="L",6,5),"")</f>
        <v/>
      </c>
      <c r="AZ4" s="29" t="str">
        <f>IFERROR(IF(VLOOKUP(CONCATENATE($B4,AZ$2),Database!$B:$E,4,0)="L",6,5),"")</f>
        <v/>
      </c>
      <c r="BA4" s="29" t="str">
        <f>IFERROR(IF(VLOOKUP(CONCATENATE($B4,BA$2),Database!$B:$E,4,0)="L",6,5),"")</f>
        <v/>
      </c>
      <c r="BB4" s="29" t="str">
        <f>IFERROR(IF(VLOOKUP(CONCATENATE($B4,BB$2),Database!$B:$E,4,0)="L",6,5),"")</f>
        <v/>
      </c>
      <c r="BC4" s="29" t="str">
        <f>IFERROR(IF(VLOOKUP(CONCATENATE($B4,BC$2),Database!$B:$E,4,0)="L",6,5),"")</f>
        <v/>
      </c>
      <c r="BD4" s="29" t="str">
        <f>IFERROR(IF(VLOOKUP(CONCATENATE($B4,BD$2),Database!$B:$E,4,0)="L",6,5),"")</f>
        <v/>
      </c>
      <c r="BE4" s="29" t="str">
        <f>IFERROR(IF(VLOOKUP(CONCATENATE($B4,BE$2),Database!$B:$E,4,0)="L",6,5),"")</f>
        <v/>
      </c>
      <c r="BF4" s="29" t="str">
        <f>IFERROR(IF(VLOOKUP(CONCATENATE($B4,BF$2),Database!$B:$E,4,0)="L",6,5),"")</f>
        <v/>
      </c>
      <c r="BG4" s="29" t="str">
        <f>IFERROR(IF(VLOOKUP(CONCATENATE($B4,BG$2),Database!$B:$E,4,0)="L",6,5),"")</f>
        <v/>
      </c>
      <c r="BH4" s="29" t="str">
        <f>IFERROR(IF(VLOOKUP(CONCATENATE($B4,BH$2),Database!$B:$E,4,0)="L",6,5),"")</f>
        <v/>
      </c>
      <c r="BI4" s="29" t="str">
        <f>IFERROR(IF(VLOOKUP(CONCATENATE($B4,BI$2),Database!$B:$E,4,0)="L",6,5),"")</f>
        <v/>
      </c>
      <c r="BJ4" s="29" t="str">
        <f>IFERROR(IF(VLOOKUP(CONCATENATE($B4,BJ$2),Database!$B:$E,4,0)="L",6,5),"")</f>
        <v/>
      </c>
      <c r="BK4" s="29" t="str">
        <f>IFERROR(IF(VLOOKUP(CONCATENATE($B4,BK$2),Database!$B:$E,4,0)="L",6,5),"")</f>
        <v/>
      </c>
      <c r="BL4" s="29" t="str">
        <f>IFERROR(IF(VLOOKUP(CONCATENATE($B4,BL$2),Database!$B:$E,4,0)="L",6,5),"")</f>
        <v/>
      </c>
      <c r="BM4" s="29" t="str">
        <f>IFERROR(IF(VLOOKUP(CONCATENATE($B4,BM$2),Database!$B:$E,4,0)="L",6,5),"")</f>
        <v/>
      </c>
      <c r="BN4" s="29" t="str">
        <f>IFERROR(IF(VLOOKUP(CONCATENATE($B4,BN$2),Database!$B:$E,4,0)="L",6,5),"")</f>
        <v/>
      </c>
      <c r="BO4" s="29" t="str">
        <f>IFERROR(IF(VLOOKUP(CONCATENATE($B4,BO$2),Database!$B:$E,4,0)="L",6,5),"")</f>
        <v/>
      </c>
      <c r="BP4" s="29" t="str">
        <f>IFERROR(IF(VLOOKUP(CONCATENATE($B4,BP$2),Database!$B:$E,4,0)="L",6,5),"")</f>
        <v/>
      </c>
      <c r="BQ4" s="29" t="str">
        <f>IFERROR(IF(VLOOKUP(CONCATENATE($B4,BQ$2),Database!$B:$E,4,0)="L",6,5),"")</f>
        <v/>
      </c>
      <c r="BR4" s="29" t="str">
        <f>IFERROR(IF(VLOOKUP(CONCATENATE($B4,BR$2),Database!$B:$E,4,0)="L",6,5),"")</f>
        <v/>
      </c>
      <c r="BS4" s="29" t="str">
        <f>IFERROR(IF(VLOOKUP(CONCATENATE($B4,BS$2),Database!$B:$E,4,0)="L",6,5),"")</f>
        <v/>
      </c>
      <c r="BT4" s="29" t="str">
        <f>IFERROR(IF(VLOOKUP(CONCATENATE($B4,BT$2),Database!$B:$E,4,0)="L",6,5),"")</f>
        <v/>
      </c>
      <c r="BU4" s="29" t="str">
        <f>IFERROR(IF(VLOOKUP(CONCATENATE($B4,BU$2),Database!$B:$E,4,0)="L",6,5),"")</f>
        <v/>
      </c>
      <c r="BV4" s="29" t="str">
        <f>IFERROR(IF(VLOOKUP(CONCATENATE($B4,BV$2),Database!$B:$E,4,0)="L",6,5),"")</f>
        <v/>
      </c>
      <c r="BW4" s="29" t="str">
        <f>IFERROR(IF(VLOOKUP(CONCATENATE($B4,BW$2),Database!$B:$E,4,0)="L",6,5),"")</f>
        <v/>
      </c>
      <c r="BX4" s="29" t="str">
        <f>IFERROR(IF(VLOOKUP(CONCATENATE($B4,BX$2),Database!$B:$E,4,0)="L",6,5),"")</f>
        <v/>
      </c>
      <c r="BY4" s="29" t="str">
        <f>IFERROR(IF(VLOOKUP(CONCATENATE($B4,BY$2),Database!$B:$E,4,0)="L",6,5),"")</f>
        <v/>
      </c>
      <c r="BZ4" s="29" t="str">
        <f>IFERROR(IF(VLOOKUP(CONCATENATE($B4,BZ$2),Database!$B:$E,4,0)="L",6,5),"")</f>
        <v/>
      </c>
    </row>
    <row r="5" spans="2:78" ht="14.3" hidden="1" x14ac:dyDescent="0.3">
      <c r="B5" s="19" t="s">
        <v>15</v>
      </c>
      <c r="C5" s="16">
        <f>COUNTIFS(Database!$D:$D,$B5,Database!$C:$C,"&gt;1/1/25")</f>
        <v>0</v>
      </c>
      <c r="D5" s="1">
        <f>COUNTIFS(Database!$D:$D,$B5,Database!$E:$E,"W",Database!$C:$C,"&gt;1/1/25")</f>
        <v>0</v>
      </c>
      <c r="E5" s="1">
        <f>COUNTIFS(Database!$D:$D,$B5,Database!$E:$E,"L",Database!$C:$C,"&gt;1/1/25")</f>
        <v>0</v>
      </c>
      <c r="F5" s="1">
        <f t="shared" si="1"/>
        <v>0</v>
      </c>
      <c r="G5" s="21" t="str">
        <f t="shared" si="2"/>
        <v>-</v>
      </c>
      <c r="H5" s="14" t="str">
        <f t="shared" si="3"/>
        <v>-</v>
      </c>
      <c r="J5" s="16">
        <f>COUNTIF(Database!$D:$D,$B5)</f>
        <v>3</v>
      </c>
      <c r="K5" s="1">
        <f>COUNTIFS(Database!$D:$D,$B5,Database!$E:$E,"W")</f>
        <v>3</v>
      </c>
      <c r="L5" s="1">
        <f>COUNTIFS(Database!$D:$D,$B5,Database!$E:$E,"L")</f>
        <v>0</v>
      </c>
      <c r="M5" s="1">
        <f t="shared" si="4"/>
        <v>3</v>
      </c>
      <c r="N5" s="21">
        <f t="shared" si="5"/>
        <v>1</v>
      </c>
      <c r="O5" s="14">
        <f t="shared" si="6"/>
        <v>0</v>
      </c>
      <c r="Q5" s="28" t="str">
        <f>IFERROR(IF(VLOOKUP(CONCATENATE($B5,Q$2),Database!$B:$E,4,0)="L",6,5),"")</f>
        <v/>
      </c>
      <c r="R5" s="23" t="str">
        <f>IFERROR(IF(VLOOKUP(CONCATENATE($B5,R$2),Database!$B:$E,4,0)="L",6,5),"")</f>
        <v/>
      </c>
      <c r="S5" s="23">
        <f>IFERROR(IF(VLOOKUP(CONCATENATE($B5,S$2),Database!$B:$E,4,0)="L",6,5),"")</f>
        <v>5</v>
      </c>
      <c r="T5" s="23">
        <f>IFERROR(IF(VLOOKUP(CONCATENATE($B5,T$2),Database!$B:$E,4,0)="L",6,5),"")</f>
        <v>5</v>
      </c>
      <c r="U5" s="29">
        <f>IFERROR(IF(VLOOKUP(CONCATENATE($B5,U$2),Database!$B:$E,4,0)="L",6,5),"")</f>
        <v>5</v>
      </c>
      <c r="V5" s="55"/>
      <c r="W5" s="56"/>
      <c r="X5" s="86" t="s">
        <v>14</v>
      </c>
      <c r="Z5" s="63" t="str">
        <f t="shared" si="7"/>
        <v>N</v>
      </c>
      <c r="AB5" s="29">
        <f>IFERROR(IF(VLOOKUP(CONCATENATE($B5,AB$2),Database!$B:$E,4,0)="L",6,5),"")</f>
        <v>5</v>
      </c>
      <c r="AC5" s="29">
        <f>IFERROR(IF(VLOOKUP(CONCATENATE($B5,AC$2),Database!$B:$E,4,0)="L",6,5),"")</f>
        <v>5</v>
      </c>
      <c r="AD5" s="29">
        <f>IFERROR(IF(VLOOKUP(CONCATENATE($B5,AD$2),Database!$B:$E,4,0)="L",6,5),"")</f>
        <v>5</v>
      </c>
      <c r="AE5" s="29" t="str">
        <f>IFERROR(IF(VLOOKUP(CONCATENATE($B5,AE$2),Database!$B:$E,4,0)="L",6,5),"")</f>
        <v/>
      </c>
      <c r="AF5" s="29" t="str">
        <f>IFERROR(IF(VLOOKUP(CONCATENATE($B5,AF$2),Database!$B:$E,4,0)="L",6,5),"")</f>
        <v/>
      </c>
      <c r="AG5" s="29" t="str">
        <f>IFERROR(IF(VLOOKUP(CONCATENATE($B5,AG$2),Database!$B:$E,4,0)="L",6,5),"")</f>
        <v/>
      </c>
      <c r="AH5" s="29" t="str">
        <f>IFERROR(IF(VLOOKUP(CONCATENATE($B5,AH$2),Database!$B:$E,4,0)="L",6,5),"")</f>
        <v/>
      </c>
      <c r="AI5" s="29" t="str">
        <f>IFERROR(IF(VLOOKUP(CONCATENATE($B5,AI$2),Database!$B:$E,4,0)="L",6,5),"")</f>
        <v/>
      </c>
      <c r="AJ5" s="29" t="str">
        <f>IFERROR(IF(VLOOKUP(CONCATENATE($B5,AJ$2),Database!$B:$E,4,0)="L",6,5),"")</f>
        <v/>
      </c>
      <c r="AK5" s="29" t="str">
        <f>IFERROR(IF(VLOOKUP(CONCATENATE($B5,AK$2),Database!$B:$E,4,0)="L",6,5),"")</f>
        <v/>
      </c>
      <c r="AL5" s="29" t="str">
        <f>IFERROR(IF(VLOOKUP(CONCATENATE($B5,AL$2),Database!$B:$E,4,0)="L",6,5),"")</f>
        <v/>
      </c>
      <c r="AM5" s="29" t="str">
        <f>IFERROR(IF(VLOOKUP(CONCATENATE($B5,AM$2),Database!$B:$E,4,0)="L",6,5),"")</f>
        <v/>
      </c>
      <c r="AN5" s="29" t="str">
        <f>IFERROR(IF(VLOOKUP(CONCATENATE($B5,AN$2),Database!$B:$E,4,0)="L",6,5),"")</f>
        <v/>
      </c>
      <c r="AO5" s="29" t="str">
        <f>IFERROR(IF(VLOOKUP(CONCATENATE($B5,AO$2),Database!$B:$E,4,0)="L",6,5),"")</f>
        <v/>
      </c>
      <c r="AP5" s="29" t="str">
        <f>IFERROR(IF(VLOOKUP(CONCATENATE($B5,AP$2),Database!$B:$E,4,0)="L",6,5),"")</f>
        <v/>
      </c>
      <c r="AQ5" s="29" t="str">
        <f>IFERROR(IF(VLOOKUP(CONCATENATE($B5,AQ$2),Database!$B:$E,4,0)="L",6,5),"")</f>
        <v/>
      </c>
      <c r="AR5" s="29" t="str">
        <f>IFERROR(IF(VLOOKUP(CONCATENATE($B5,AR$2),Database!$B:$E,4,0)="L",6,5),"")</f>
        <v/>
      </c>
      <c r="AS5" s="29" t="str">
        <f>IFERROR(IF(VLOOKUP(CONCATENATE($B5,AS$2),Database!$B:$E,4,0)="L",6,5),"")</f>
        <v/>
      </c>
      <c r="AT5" s="29" t="str">
        <f>IFERROR(IF(VLOOKUP(CONCATENATE($B5,AT$2),Database!$B:$E,4,0)="L",6,5),"")</f>
        <v/>
      </c>
      <c r="AU5" s="29" t="str">
        <f>IFERROR(IF(VLOOKUP(CONCATENATE($B5,AU$2),Database!$B:$E,4,0)="L",6,5),"")</f>
        <v/>
      </c>
      <c r="AV5" s="29" t="str">
        <f>IFERROR(IF(VLOOKUP(CONCATENATE($B5,AV$2),Database!$B:$E,4,0)="L",6,5),"")</f>
        <v/>
      </c>
      <c r="AW5" s="29" t="str">
        <f>IFERROR(IF(VLOOKUP(CONCATENATE($B5,AW$2),Database!$B:$E,4,0)="L",6,5),"")</f>
        <v/>
      </c>
      <c r="AX5" s="29" t="str">
        <f>IFERROR(IF(VLOOKUP(CONCATENATE($B5,AX$2),Database!$B:$E,4,0)="L",6,5),"")</f>
        <v/>
      </c>
      <c r="AY5" s="29" t="str">
        <f>IFERROR(IF(VLOOKUP(CONCATENATE($B5,AY$2),Database!$B:$E,4,0)="L",6,5),"")</f>
        <v/>
      </c>
      <c r="AZ5" s="29" t="str">
        <f>IFERROR(IF(VLOOKUP(CONCATENATE($B5,AZ$2),Database!$B:$E,4,0)="L",6,5),"")</f>
        <v/>
      </c>
      <c r="BA5" s="29" t="str">
        <f>IFERROR(IF(VLOOKUP(CONCATENATE($B5,BA$2),Database!$B:$E,4,0)="L",6,5),"")</f>
        <v/>
      </c>
      <c r="BB5" s="29" t="str">
        <f>IFERROR(IF(VLOOKUP(CONCATENATE($B5,BB$2),Database!$B:$E,4,0)="L",6,5),"")</f>
        <v/>
      </c>
      <c r="BC5" s="29" t="str">
        <f>IFERROR(IF(VLOOKUP(CONCATENATE($B5,BC$2),Database!$B:$E,4,0)="L",6,5),"")</f>
        <v/>
      </c>
      <c r="BD5" s="29" t="str">
        <f>IFERROR(IF(VLOOKUP(CONCATENATE($B5,BD$2),Database!$B:$E,4,0)="L",6,5),"")</f>
        <v/>
      </c>
      <c r="BE5" s="29" t="str">
        <f>IFERROR(IF(VLOOKUP(CONCATENATE($B5,BE$2),Database!$B:$E,4,0)="L",6,5),"")</f>
        <v/>
      </c>
      <c r="BF5" s="29" t="str">
        <f>IFERROR(IF(VLOOKUP(CONCATENATE($B5,BF$2),Database!$B:$E,4,0)="L",6,5),"")</f>
        <v/>
      </c>
      <c r="BG5" s="29" t="str">
        <f>IFERROR(IF(VLOOKUP(CONCATENATE($B5,BG$2),Database!$B:$E,4,0)="L",6,5),"")</f>
        <v/>
      </c>
      <c r="BH5" s="29" t="str">
        <f>IFERROR(IF(VLOOKUP(CONCATENATE($B5,BH$2),Database!$B:$E,4,0)="L",6,5),"")</f>
        <v/>
      </c>
      <c r="BI5" s="29" t="str">
        <f>IFERROR(IF(VLOOKUP(CONCATENATE($B5,BI$2),Database!$B:$E,4,0)="L",6,5),"")</f>
        <v/>
      </c>
      <c r="BJ5" s="29" t="str">
        <f>IFERROR(IF(VLOOKUP(CONCATENATE($B5,BJ$2),Database!$B:$E,4,0)="L",6,5),"")</f>
        <v/>
      </c>
      <c r="BK5" s="29" t="str">
        <f>IFERROR(IF(VLOOKUP(CONCATENATE($B5,BK$2),Database!$B:$E,4,0)="L",6,5),"")</f>
        <v/>
      </c>
      <c r="BL5" s="29" t="str">
        <f>IFERROR(IF(VLOOKUP(CONCATENATE($B5,BL$2),Database!$B:$E,4,0)="L",6,5),"")</f>
        <v/>
      </c>
      <c r="BM5" s="29" t="str">
        <f>IFERROR(IF(VLOOKUP(CONCATENATE($B5,BM$2),Database!$B:$E,4,0)="L",6,5),"")</f>
        <v/>
      </c>
      <c r="BN5" s="29" t="str">
        <f>IFERROR(IF(VLOOKUP(CONCATENATE($B5,BN$2),Database!$B:$E,4,0)="L",6,5),"")</f>
        <v/>
      </c>
      <c r="BO5" s="29" t="str">
        <f>IFERROR(IF(VLOOKUP(CONCATENATE($B5,BO$2),Database!$B:$E,4,0)="L",6,5),"")</f>
        <v/>
      </c>
      <c r="BP5" s="29" t="str">
        <f>IFERROR(IF(VLOOKUP(CONCATENATE($B5,BP$2),Database!$B:$E,4,0)="L",6,5),"")</f>
        <v/>
      </c>
      <c r="BQ5" s="29" t="str">
        <f>IFERROR(IF(VLOOKUP(CONCATENATE($B5,BQ$2),Database!$B:$E,4,0)="L",6,5),"")</f>
        <v/>
      </c>
      <c r="BR5" s="29" t="str">
        <f>IFERROR(IF(VLOOKUP(CONCATENATE($B5,BR$2),Database!$B:$E,4,0)="L",6,5),"")</f>
        <v/>
      </c>
      <c r="BS5" s="29" t="str">
        <f>IFERROR(IF(VLOOKUP(CONCATENATE($B5,BS$2),Database!$B:$E,4,0)="L",6,5),"")</f>
        <v/>
      </c>
      <c r="BT5" s="29" t="str">
        <f>IFERROR(IF(VLOOKUP(CONCATENATE($B5,BT$2),Database!$B:$E,4,0)="L",6,5),"")</f>
        <v/>
      </c>
      <c r="BU5" s="29" t="str">
        <f>IFERROR(IF(VLOOKUP(CONCATENATE($B5,BU$2),Database!$B:$E,4,0)="L",6,5),"")</f>
        <v/>
      </c>
      <c r="BV5" s="29" t="str">
        <f>IFERROR(IF(VLOOKUP(CONCATENATE($B5,BV$2),Database!$B:$E,4,0)="L",6,5),"")</f>
        <v/>
      </c>
      <c r="BW5" s="29" t="str">
        <f>IFERROR(IF(VLOOKUP(CONCATENATE($B5,BW$2),Database!$B:$E,4,0)="L",6,5),"")</f>
        <v/>
      </c>
      <c r="BX5" s="29" t="str">
        <f>IFERROR(IF(VLOOKUP(CONCATENATE($B5,BX$2),Database!$B:$E,4,0)="L",6,5),"")</f>
        <v/>
      </c>
      <c r="BY5" s="29" t="str">
        <f>IFERROR(IF(VLOOKUP(CONCATENATE($B5,BY$2),Database!$B:$E,4,0)="L",6,5),"")</f>
        <v/>
      </c>
      <c r="BZ5" s="29" t="str">
        <f>IFERROR(IF(VLOOKUP(CONCATENATE($B5,BZ$2),Database!$B:$E,4,0)="L",6,5),"")</f>
        <v/>
      </c>
    </row>
    <row r="6" spans="2:78" ht="14.3" hidden="1" x14ac:dyDescent="0.3">
      <c r="B6" s="19" t="s">
        <v>16</v>
      </c>
      <c r="C6" s="16">
        <f>COUNTIFS(Database!$D:$D,$B6,Database!$C:$C,"&gt;1/1/25")</f>
        <v>0</v>
      </c>
      <c r="D6" s="1">
        <f>COUNTIFS(Database!$D:$D,$B6,Database!$E:$E,"W",Database!$C:$C,"&gt;1/1/25")</f>
        <v>0</v>
      </c>
      <c r="E6" s="1">
        <f>COUNTIFS(Database!$D:$D,$B6,Database!$E:$E,"L",Database!$C:$C,"&gt;1/1/25")</f>
        <v>0</v>
      </c>
      <c r="F6" s="1">
        <f t="shared" si="1"/>
        <v>0</v>
      </c>
      <c r="G6" s="21" t="str">
        <f t="shared" si="2"/>
        <v>-</v>
      </c>
      <c r="H6" s="14" t="str">
        <f t="shared" si="3"/>
        <v>-</v>
      </c>
      <c r="J6" s="16">
        <f>COUNTIF(Database!$D:$D,$B6)</f>
        <v>4</v>
      </c>
      <c r="K6" s="1">
        <f>COUNTIFS(Database!$D:$D,$B6,Database!$E:$E,"W")</f>
        <v>3</v>
      </c>
      <c r="L6" s="1">
        <f>COUNTIFS(Database!$D:$D,$B6,Database!$E:$E,"L")</f>
        <v>1</v>
      </c>
      <c r="M6" s="1">
        <f t="shared" si="4"/>
        <v>2</v>
      </c>
      <c r="N6" s="21">
        <f t="shared" si="5"/>
        <v>0.75</v>
      </c>
      <c r="O6" s="14">
        <f t="shared" si="6"/>
        <v>0.25</v>
      </c>
      <c r="Q6" s="28" t="str">
        <f>IFERROR(IF(VLOOKUP(CONCATENATE($B6,Q$2),Database!$B:$E,4,0)="L",6,5),"")</f>
        <v/>
      </c>
      <c r="R6" s="23">
        <f>IFERROR(IF(VLOOKUP(CONCATENATE($B6,R$2),Database!$B:$E,4,0)="L",6,5),"")</f>
        <v>5</v>
      </c>
      <c r="S6" s="23">
        <f>IFERROR(IF(VLOOKUP(CONCATENATE($B6,S$2),Database!$B:$E,4,0)="L",6,5),"")</f>
        <v>5</v>
      </c>
      <c r="T6" s="23">
        <f>IFERROR(IF(VLOOKUP(CONCATENATE($B6,T$2),Database!$B:$E,4,0)="L",6,5),"")</f>
        <v>6</v>
      </c>
      <c r="U6" s="29">
        <f>IFERROR(IF(VLOOKUP(CONCATENATE($B6,U$2),Database!$B:$E,4,0)="L",6,5),"")</f>
        <v>5</v>
      </c>
      <c r="V6" s="55"/>
      <c r="W6" s="56"/>
      <c r="X6" s="63"/>
      <c r="Z6" s="63" t="str">
        <f t="shared" si="7"/>
        <v>N</v>
      </c>
      <c r="AB6" s="29">
        <f>IFERROR(IF(VLOOKUP(CONCATENATE($B6,AB$2),Database!$B:$E,4,0)="L",6,5),"")</f>
        <v>5</v>
      </c>
      <c r="AC6" s="29">
        <f>IFERROR(IF(VLOOKUP(CONCATENATE($B6,AC$2),Database!$B:$E,4,0)="L",6,5),"")</f>
        <v>6</v>
      </c>
      <c r="AD6" s="29">
        <f>IFERROR(IF(VLOOKUP(CONCATENATE($B6,AD$2),Database!$B:$E,4,0)="L",6,5),"")</f>
        <v>5</v>
      </c>
      <c r="AE6" s="29">
        <f>IFERROR(IF(VLOOKUP(CONCATENATE($B6,AE$2),Database!$B:$E,4,0)="L",6,5),"")</f>
        <v>5</v>
      </c>
      <c r="AF6" s="29" t="str">
        <f>IFERROR(IF(VLOOKUP(CONCATENATE($B6,AF$2),Database!$B:$E,4,0)="L",6,5),"")</f>
        <v/>
      </c>
      <c r="AG6" s="29" t="str">
        <f>IFERROR(IF(VLOOKUP(CONCATENATE($B6,AG$2),Database!$B:$E,4,0)="L",6,5),"")</f>
        <v/>
      </c>
      <c r="AH6" s="29" t="str">
        <f>IFERROR(IF(VLOOKUP(CONCATENATE($B6,AH$2),Database!$B:$E,4,0)="L",6,5),"")</f>
        <v/>
      </c>
      <c r="AI6" s="29" t="str">
        <f>IFERROR(IF(VLOOKUP(CONCATENATE($B6,AI$2),Database!$B:$E,4,0)="L",6,5),"")</f>
        <v/>
      </c>
      <c r="AJ6" s="29" t="str">
        <f>IFERROR(IF(VLOOKUP(CONCATENATE($B6,AJ$2),Database!$B:$E,4,0)="L",6,5),"")</f>
        <v/>
      </c>
      <c r="AK6" s="29" t="str">
        <f>IFERROR(IF(VLOOKUP(CONCATENATE($B6,AK$2),Database!$B:$E,4,0)="L",6,5),"")</f>
        <v/>
      </c>
      <c r="AL6" s="29" t="str">
        <f>IFERROR(IF(VLOOKUP(CONCATENATE($B6,AL$2),Database!$B:$E,4,0)="L",6,5),"")</f>
        <v/>
      </c>
      <c r="AM6" s="29" t="str">
        <f>IFERROR(IF(VLOOKUP(CONCATENATE($B6,AM$2),Database!$B:$E,4,0)="L",6,5),"")</f>
        <v/>
      </c>
      <c r="AN6" s="29" t="str">
        <f>IFERROR(IF(VLOOKUP(CONCATENATE($B6,AN$2),Database!$B:$E,4,0)="L",6,5),"")</f>
        <v/>
      </c>
      <c r="AO6" s="29" t="str">
        <f>IFERROR(IF(VLOOKUP(CONCATENATE($B6,AO$2),Database!$B:$E,4,0)="L",6,5),"")</f>
        <v/>
      </c>
      <c r="AP6" s="29" t="str">
        <f>IFERROR(IF(VLOOKUP(CONCATENATE($B6,AP$2),Database!$B:$E,4,0)="L",6,5),"")</f>
        <v/>
      </c>
      <c r="AQ6" s="29" t="str">
        <f>IFERROR(IF(VLOOKUP(CONCATENATE($B6,AQ$2),Database!$B:$E,4,0)="L",6,5),"")</f>
        <v/>
      </c>
      <c r="AR6" s="29" t="str">
        <f>IFERROR(IF(VLOOKUP(CONCATENATE($B6,AR$2),Database!$B:$E,4,0)="L",6,5),"")</f>
        <v/>
      </c>
      <c r="AS6" s="29" t="str">
        <f>IFERROR(IF(VLOOKUP(CONCATENATE($B6,AS$2),Database!$B:$E,4,0)="L",6,5),"")</f>
        <v/>
      </c>
      <c r="AT6" s="29" t="str">
        <f>IFERROR(IF(VLOOKUP(CONCATENATE($B6,AT$2),Database!$B:$E,4,0)="L",6,5),"")</f>
        <v/>
      </c>
      <c r="AU6" s="29" t="str">
        <f>IFERROR(IF(VLOOKUP(CONCATENATE($B6,AU$2),Database!$B:$E,4,0)="L",6,5),"")</f>
        <v/>
      </c>
      <c r="AV6" s="29" t="str">
        <f>IFERROR(IF(VLOOKUP(CONCATENATE($B6,AV$2),Database!$B:$E,4,0)="L",6,5),"")</f>
        <v/>
      </c>
      <c r="AW6" s="29" t="str">
        <f>IFERROR(IF(VLOOKUP(CONCATENATE($B6,AW$2),Database!$B:$E,4,0)="L",6,5),"")</f>
        <v/>
      </c>
      <c r="AX6" s="29" t="str">
        <f>IFERROR(IF(VLOOKUP(CONCATENATE($B6,AX$2),Database!$B:$E,4,0)="L",6,5),"")</f>
        <v/>
      </c>
      <c r="AY6" s="29" t="str">
        <f>IFERROR(IF(VLOOKUP(CONCATENATE($B6,AY$2),Database!$B:$E,4,0)="L",6,5),"")</f>
        <v/>
      </c>
      <c r="AZ6" s="29" t="str">
        <f>IFERROR(IF(VLOOKUP(CONCATENATE($B6,AZ$2),Database!$B:$E,4,0)="L",6,5),"")</f>
        <v/>
      </c>
      <c r="BA6" s="29" t="str">
        <f>IFERROR(IF(VLOOKUP(CONCATENATE($B6,BA$2),Database!$B:$E,4,0)="L",6,5),"")</f>
        <v/>
      </c>
      <c r="BB6" s="29" t="str">
        <f>IFERROR(IF(VLOOKUP(CONCATENATE($B6,BB$2),Database!$B:$E,4,0)="L",6,5),"")</f>
        <v/>
      </c>
      <c r="BC6" s="29" t="str">
        <f>IFERROR(IF(VLOOKUP(CONCATENATE($B6,BC$2),Database!$B:$E,4,0)="L",6,5),"")</f>
        <v/>
      </c>
      <c r="BD6" s="29" t="str">
        <f>IFERROR(IF(VLOOKUP(CONCATENATE($B6,BD$2),Database!$B:$E,4,0)="L",6,5),"")</f>
        <v/>
      </c>
      <c r="BE6" s="29" t="str">
        <f>IFERROR(IF(VLOOKUP(CONCATENATE($B6,BE$2),Database!$B:$E,4,0)="L",6,5),"")</f>
        <v/>
      </c>
      <c r="BF6" s="29" t="str">
        <f>IFERROR(IF(VLOOKUP(CONCATENATE($B6,BF$2),Database!$B:$E,4,0)="L",6,5),"")</f>
        <v/>
      </c>
      <c r="BG6" s="29" t="str">
        <f>IFERROR(IF(VLOOKUP(CONCATENATE($B6,BG$2),Database!$B:$E,4,0)="L",6,5),"")</f>
        <v/>
      </c>
      <c r="BH6" s="29" t="str">
        <f>IFERROR(IF(VLOOKUP(CONCATENATE($B6,BH$2),Database!$B:$E,4,0)="L",6,5),"")</f>
        <v/>
      </c>
      <c r="BI6" s="29" t="str">
        <f>IFERROR(IF(VLOOKUP(CONCATENATE($B6,BI$2),Database!$B:$E,4,0)="L",6,5),"")</f>
        <v/>
      </c>
      <c r="BJ6" s="29" t="str">
        <f>IFERROR(IF(VLOOKUP(CONCATENATE($B6,BJ$2),Database!$B:$E,4,0)="L",6,5),"")</f>
        <v/>
      </c>
      <c r="BK6" s="29" t="str">
        <f>IFERROR(IF(VLOOKUP(CONCATENATE($B6,BK$2),Database!$B:$E,4,0)="L",6,5),"")</f>
        <v/>
      </c>
      <c r="BL6" s="29" t="str">
        <f>IFERROR(IF(VLOOKUP(CONCATENATE($B6,BL$2),Database!$B:$E,4,0)="L",6,5),"")</f>
        <v/>
      </c>
      <c r="BM6" s="29" t="str">
        <f>IFERROR(IF(VLOOKUP(CONCATENATE($B6,BM$2),Database!$B:$E,4,0)="L",6,5),"")</f>
        <v/>
      </c>
      <c r="BN6" s="29" t="str">
        <f>IFERROR(IF(VLOOKUP(CONCATENATE($B6,BN$2),Database!$B:$E,4,0)="L",6,5),"")</f>
        <v/>
      </c>
      <c r="BO6" s="29" t="str">
        <f>IFERROR(IF(VLOOKUP(CONCATENATE($B6,BO$2),Database!$B:$E,4,0)="L",6,5),"")</f>
        <v/>
      </c>
      <c r="BP6" s="29" t="str">
        <f>IFERROR(IF(VLOOKUP(CONCATENATE($B6,BP$2),Database!$B:$E,4,0)="L",6,5),"")</f>
        <v/>
      </c>
      <c r="BQ6" s="29" t="str">
        <f>IFERROR(IF(VLOOKUP(CONCATENATE($B6,BQ$2),Database!$B:$E,4,0)="L",6,5),"")</f>
        <v/>
      </c>
      <c r="BR6" s="29" t="str">
        <f>IFERROR(IF(VLOOKUP(CONCATENATE($B6,BR$2),Database!$B:$E,4,0)="L",6,5),"")</f>
        <v/>
      </c>
      <c r="BS6" s="29" t="str">
        <f>IFERROR(IF(VLOOKUP(CONCATENATE($B6,BS$2),Database!$B:$E,4,0)="L",6,5),"")</f>
        <v/>
      </c>
      <c r="BT6" s="29" t="str">
        <f>IFERROR(IF(VLOOKUP(CONCATENATE($B6,BT$2),Database!$B:$E,4,0)="L",6,5),"")</f>
        <v/>
      </c>
      <c r="BU6" s="29" t="str">
        <f>IFERROR(IF(VLOOKUP(CONCATENATE($B6,BU$2),Database!$B:$E,4,0)="L",6,5),"")</f>
        <v/>
      </c>
      <c r="BV6" s="29" t="str">
        <f>IFERROR(IF(VLOOKUP(CONCATENATE($B6,BV$2),Database!$B:$E,4,0)="L",6,5),"")</f>
        <v/>
      </c>
      <c r="BW6" s="29" t="str">
        <f>IFERROR(IF(VLOOKUP(CONCATENATE($B6,BW$2),Database!$B:$E,4,0)="L",6,5),"")</f>
        <v/>
      </c>
      <c r="BX6" s="29" t="str">
        <f>IFERROR(IF(VLOOKUP(CONCATENATE($B6,BX$2),Database!$B:$E,4,0)="L",6,5),"")</f>
        <v/>
      </c>
      <c r="BY6" s="29" t="str">
        <f>IFERROR(IF(VLOOKUP(CONCATENATE($B6,BY$2),Database!$B:$E,4,0)="L",6,5),"")</f>
        <v/>
      </c>
      <c r="BZ6" s="29" t="str">
        <f>IFERROR(IF(VLOOKUP(CONCATENATE($B6,BZ$2),Database!$B:$E,4,0)="L",6,5),"")</f>
        <v/>
      </c>
    </row>
    <row r="7" spans="2:78" ht="14.3" hidden="1" x14ac:dyDescent="0.3">
      <c r="B7" s="19" t="s">
        <v>21</v>
      </c>
      <c r="C7" s="16">
        <f>COUNTIFS(Database!$D:$D,$B7,Database!$C:$C,"&gt;1/1/25")</f>
        <v>0</v>
      </c>
      <c r="D7" s="1">
        <f>COUNTIFS(Database!$D:$D,$B7,Database!$E:$E,"W",Database!$C:$C,"&gt;1/1/25")</f>
        <v>0</v>
      </c>
      <c r="E7" s="1">
        <f>COUNTIFS(Database!$D:$D,$B7,Database!$E:$E,"L",Database!$C:$C,"&gt;1/1/25")</f>
        <v>0</v>
      </c>
      <c r="F7" s="1">
        <f t="shared" si="1"/>
        <v>0</v>
      </c>
      <c r="G7" s="21" t="str">
        <f t="shared" si="2"/>
        <v>-</v>
      </c>
      <c r="H7" s="14" t="str">
        <f t="shared" si="3"/>
        <v>-</v>
      </c>
      <c r="J7" s="16">
        <f>COUNTIF(Database!$D:$D,$B7)</f>
        <v>3</v>
      </c>
      <c r="K7" s="1">
        <f>COUNTIFS(Database!$D:$D,$B7,Database!$E:$E,"W")</f>
        <v>2</v>
      </c>
      <c r="L7" s="1">
        <f>COUNTIFS(Database!$D:$D,$B7,Database!$E:$E,"L")</f>
        <v>1</v>
      </c>
      <c r="M7" s="1">
        <f t="shared" si="4"/>
        <v>1</v>
      </c>
      <c r="N7" s="21">
        <f t="shared" si="5"/>
        <v>0.66666666666666663</v>
      </c>
      <c r="O7" s="14">
        <f t="shared" si="6"/>
        <v>0.33333333333333331</v>
      </c>
      <c r="Q7" s="28" t="str">
        <f>IFERROR(IF(VLOOKUP(CONCATENATE($B7,Q$2),Database!$B:$E,4,0)="L",6,5),"")</f>
        <v/>
      </c>
      <c r="R7" s="23" t="str">
        <f>IFERROR(IF(VLOOKUP(CONCATENATE($B7,R$2),Database!$B:$E,4,0)="L",6,5),"")</f>
        <v/>
      </c>
      <c r="S7" s="23">
        <f>IFERROR(IF(VLOOKUP(CONCATENATE($B7,S$2),Database!$B:$E,4,0)="L",6,5),"")</f>
        <v>5</v>
      </c>
      <c r="T7" s="23">
        <f>IFERROR(IF(VLOOKUP(CONCATENATE($B7,T$2),Database!$B:$E,4,0)="L",6,5),"")</f>
        <v>5</v>
      </c>
      <c r="U7" s="29">
        <f>IFERROR(IF(VLOOKUP(CONCATENATE($B7,U$2),Database!$B:$E,4,0)="L",6,5),"")</f>
        <v>6</v>
      </c>
      <c r="V7" s="55"/>
      <c r="W7" s="58"/>
      <c r="X7" s="63"/>
      <c r="Z7" s="63" t="str">
        <f t="shared" si="7"/>
        <v>N</v>
      </c>
      <c r="AB7" s="29">
        <f>IFERROR(IF(VLOOKUP(CONCATENATE($B7,AB$2),Database!$B:$E,4,0)="L",6,5),"")</f>
        <v>6</v>
      </c>
      <c r="AC7" s="29">
        <f>IFERROR(IF(VLOOKUP(CONCATENATE($B7,AC$2),Database!$B:$E,4,0)="L",6,5),"")</f>
        <v>5</v>
      </c>
      <c r="AD7" s="29">
        <f>IFERROR(IF(VLOOKUP(CONCATENATE($B7,AD$2),Database!$B:$E,4,0)="L",6,5),"")</f>
        <v>5</v>
      </c>
      <c r="AE7" s="29" t="str">
        <f>IFERROR(IF(VLOOKUP(CONCATENATE($B7,AE$2),Database!$B:$E,4,0)="L",6,5),"")</f>
        <v/>
      </c>
      <c r="AF7" s="29" t="str">
        <f>IFERROR(IF(VLOOKUP(CONCATENATE($B7,AF$2),Database!$B:$E,4,0)="L",6,5),"")</f>
        <v/>
      </c>
      <c r="AG7" s="29" t="str">
        <f>IFERROR(IF(VLOOKUP(CONCATENATE($B7,AG$2),Database!$B:$E,4,0)="L",6,5),"")</f>
        <v/>
      </c>
      <c r="AH7" s="29" t="str">
        <f>IFERROR(IF(VLOOKUP(CONCATENATE($B7,AH$2),Database!$B:$E,4,0)="L",6,5),"")</f>
        <v/>
      </c>
      <c r="AI7" s="29" t="str">
        <f>IFERROR(IF(VLOOKUP(CONCATENATE($B7,AI$2),Database!$B:$E,4,0)="L",6,5),"")</f>
        <v/>
      </c>
      <c r="AJ7" s="29" t="str">
        <f>IFERROR(IF(VLOOKUP(CONCATENATE($B7,AJ$2),Database!$B:$E,4,0)="L",6,5),"")</f>
        <v/>
      </c>
      <c r="AK7" s="29" t="str">
        <f>IFERROR(IF(VLOOKUP(CONCATENATE($B7,AK$2),Database!$B:$E,4,0)="L",6,5),"")</f>
        <v/>
      </c>
      <c r="AL7" s="29" t="str">
        <f>IFERROR(IF(VLOOKUP(CONCATENATE($B7,AL$2),Database!$B:$E,4,0)="L",6,5),"")</f>
        <v/>
      </c>
      <c r="AM7" s="29" t="str">
        <f>IFERROR(IF(VLOOKUP(CONCATENATE($B7,AM$2),Database!$B:$E,4,0)="L",6,5),"")</f>
        <v/>
      </c>
      <c r="AN7" s="29" t="str">
        <f>IFERROR(IF(VLOOKUP(CONCATENATE($B7,AN$2),Database!$B:$E,4,0)="L",6,5),"")</f>
        <v/>
      </c>
      <c r="AO7" s="29" t="str">
        <f>IFERROR(IF(VLOOKUP(CONCATENATE($B7,AO$2),Database!$B:$E,4,0)="L",6,5),"")</f>
        <v/>
      </c>
      <c r="AP7" s="29" t="str">
        <f>IFERROR(IF(VLOOKUP(CONCATENATE($B7,AP$2),Database!$B:$E,4,0)="L",6,5),"")</f>
        <v/>
      </c>
      <c r="AQ7" s="29" t="str">
        <f>IFERROR(IF(VLOOKUP(CONCATENATE($B7,AQ$2),Database!$B:$E,4,0)="L",6,5),"")</f>
        <v/>
      </c>
      <c r="AR7" s="29" t="str">
        <f>IFERROR(IF(VLOOKUP(CONCATENATE($B7,AR$2),Database!$B:$E,4,0)="L",6,5),"")</f>
        <v/>
      </c>
      <c r="AS7" s="29" t="str">
        <f>IFERROR(IF(VLOOKUP(CONCATENATE($B7,AS$2),Database!$B:$E,4,0)="L",6,5),"")</f>
        <v/>
      </c>
      <c r="AT7" s="29" t="str">
        <f>IFERROR(IF(VLOOKUP(CONCATENATE($B7,AT$2),Database!$B:$E,4,0)="L",6,5),"")</f>
        <v/>
      </c>
      <c r="AU7" s="29" t="str">
        <f>IFERROR(IF(VLOOKUP(CONCATENATE($B7,AU$2),Database!$B:$E,4,0)="L",6,5),"")</f>
        <v/>
      </c>
      <c r="AV7" s="29" t="str">
        <f>IFERROR(IF(VLOOKUP(CONCATENATE($B7,AV$2),Database!$B:$E,4,0)="L",6,5),"")</f>
        <v/>
      </c>
      <c r="AW7" s="29" t="str">
        <f>IFERROR(IF(VLOOKUP(CONCATENATE($B7,AW$2),Database!$B:$E,4,0)="L",6,5),"")</f>
        <v/>
      </c>
      <c r="AX7" s="29" t="str">
        <f>IFERROR(IF(VLOOKUP(CONCATENATE($B7,AX$2),Database!$B:$E,4,0)="L",6,5),"")</f>
        <v/>
      </c>
      <c r="AY7" s="29" t="str">
        <f>IFERROR(IF(VLOOKUP(CONCATENATE($B7,AY$2),Database!$B:$E,4,0)="L",6,5),"")</f>
        <v/>
      </c>
      <c r="AZ7" s="29" t="str">
        <f>IFERROR(IF(VLOOKUP(CONCATENATE($B7,AZ$2),Database!$B:$E,4,0)="L",6,5),"")</f>
        <v/>
      </c>
      <c r="BA7" s="29" t="str">
        <f>IFERROR(IF(VLOOKUP(CONCATENATE($B7,BA$2),Database!$B:$E,4,0)="L",6,5),"")</f>
        <v/>
      </c>
      <c r="BB7" s="29" t="str">
        <f>IFERROR(IF(VLOOKUP(CONCATENATE($B7,BB$2),Database!$B:$E,4,0)="L",6,5),"")</f>
        <v/>
      </c>
      <c r="BC7" s="29" t="str">
        <f>IFERROR(IF(VLOOKUP(CONCATENATE($B7,BC$2),Database!$B:$E,4,0)="L",6,5),"")</f>
        <v/>
      </c>
      <c r="BD7" s="29" t="str">
        <f>IFERROR(IF(VLOOKUP(CONCATENATE($B7,BD$2),Database!$B:$E,4,0)="L",6,5),"")</f>
        <v/>
      </c>
      <c r="BE7" s="29" t="str">
        <f>IFERROR(IF(VLOOKUP(CONCATENATE($B7,BE$2),Database!$B:$E,4,0)="L",6,5),"")</f>
        <v/>
      </c>
      <c r="BF7" s="29" t="str">
        <f>IFERROR(IF(VLOOKUP(CONCATENATE($B7,BF$2),Database!$B:$E,4,0)="L",6,5),"")</f>
        <v/>
      </c>
      <c r="BG7" s="29" t="str">
        <f>IFERROR(IF(VLOOKUP(CONCATENATE($B7,BG$2),Database!$B:$E,4,0)="L",6,5),"")</f>
        <v/>
      </c>
      <c r="BH7" s="29" t="str">
        <f>IFERROR(IF(VLOOKUP(CONCATENATE($B7,BH$2),Database!$B:$E,4,0)="L",6,5),"")</f>
        <v/>
      </c>
      <c r="BI7" s="29" t="str">
        <f>IFERROR(IF(VLOOKUP(CONCATENATE($B7,BI$2),Database!$B:$E,4,0)="L",6,5),"")</f>
        <v/>
      </c>
      <c r="BJ7" s="29" t="str">
        <f>IFERROR(IF(VLOOKUP(CONCATENATE($B7,BJ$2),Database!$B:$E,4,0)="L",6,5),"")</f>
        <v/>
      </c>
      <c r="BK7" s="29" t="str">
        <f>IFERROR(IF(VLOOKUP(CONCATENATE($B7,BK$2),Database!$B:$E,4,0)="L",6,5),"")</f>
        <v/>
      </c>
      <c r="BL7" s="29" t="str">
        <f>IFERROR(IF(VLOOKUP(CONCATENATE($B7,BL$2),Database!$B:$E,4,0)="L",6,5),"")</f>
        <v/>
      </c>
      <c r="BM7" s="29" t="str">
        <f>IFERROR(IF(VLOOKUP(CONCATENATE($B7,BM$2),Database!$B:$E,4,0)="L",6,5),"")</f>
        <v/>
      </c>
      <c r="BN7" s="29" t="str">
        <f>IFERROR(IF(VLOOKUP(CONCATENATE($B7,BN$2),Database!$B:$E,4,0)="L",6,5),"")</f>
        <v/>
      </c>
      <c r="BO7" s="29" t="str">
        <f>IFERROR(IF(VLOOKUP(CONCATENATE($B7,BO$2),Database!$B:$E,4,0)="L",6,5),"")</f>
        <v/>
      </c>
      <c r="BP7" s="29" t="str">
        <f>IFERROR(IF(VLOOKUP(CONCATENATE($B7,BP$2),Database!$B:$E,4,0)="L",6,5),"")</f>
        <v/>
      </c>
      <c r="BQ7" s="29" t="str">
        <f>IFERROR(IF(VLOOKUP(CONCATENATE($B7,BQ$2),Database!$B:$E,4,0)="L",6,5),"")</f>
        <v/>
      </c>
      <c r="BR7" s="29" t="str">
        <f>IFERROR(IF(VLOOKUP(CONCATENATE($B7,BR$2),Database!$B:$E,4,0)="L",6,5),"")</f>
        <v/>
      </c>
      <c r="BS7" s="29" t="str">
        <f>IFERROR(IF(VLOOKUP(CONCATENATE($B7,BS$2),Database!$B:$E,4,0)="L",6,5),"")</f>
        <v/>
      </c>
      <c r="BT7" s="29" t="str">
        <f>IFERROR(IF(VLOOKUP(CONCATENATE($B7,BT$2),Database!$B:$E,4,0)="L",6,5),"")</f>
        <v/>
      </c>
      <c r="BU7" s="29" t="str">
        <f>IFERROR(IF(VLOOKUP(CONCATENATE($B7,BU$2),Database!$B:$E,4,0)="L",6,5),"")</f>
        <v/>
      </c>
      <c r="BV7" s="29" t="str">
        <f>IFERROR(IF(VLOOKUP(CONCATENATE($B7,BV$2),Database!$B:$E,4,0)="L",6,5),"")</f>
        <v/>
      </c>
      <c r="BW7" s="29" t="str">
        <f>IFERROR(IF(VLOOKUP(CONCATENATE($B7,BW$2),Database!$B:$E,4,0)="L",6,5),"")</f>
        <v/>
      </c>
      <c r="BX7" s="29" t="str">
        <f>IFERROR(IF(VLOOKUP(CONCATENATE($B7,BX$2),Database!$B:$E,4,0)="L",6,5),"")</f>
        <v/>
      </c>
      <c r="BY7" s="29" t="str">
        <f>IFERROR(IF(VLOOKUP(CONCATENATE($B7,BY$2),Database!$B:$E,4,0)="L",6,5),"")</f>
        <v/>
      </c>
      <c r="BZ7" s="29" t="str">
        <f>IFERROR(IF(VLOOKUP(CONCATENATE($B7,BZ$2),Database!$B:$E,4,0)="L",6,5),"")</f>
        <v/>
      </c>
    </row>
    <row r="8" spans="2:78" ht="14.3" hidden="1" x14ac:dyDescent="0.3">
      <c r="B8" s="19" t="s">
        <v>40</v>
      </c>
      <c r="C8" s="16">
        <f>COUNTIFS(Database!$D:$D,$B8,Database!$C:$C,"&gt;1/1/25")</f>
        <v>0</v>
      </c>
      <c r="D8" s="1">
        <f>COUNTIFS(Database!$D:$D,$B8,Database!$E:$E,"W",Database!$C:$C,"&gt;1/1/25")</f>
        <v>0</v>
      </c>
      <c r="E8" s="1">
        <f>COUNTIFS(Database!$D:$D,$B8,Database!$E:$E,"L",Database!$C:$C,"&gt;1/1/25")</f>
        <v>0</v>
      </c>
      <c r="F8" s="1">
        <f t="shared" si="1"/>
        <v>0</v>
      </c>
      <c r="G8" s="21" t="str">
        <f t="shared" si="2"/>
        <v>-</v>
      </c>
      <c r="H8" s="14" t="str">
        <f t="shared" si="3"/>
        <v>-</v>
      </c>
      <c r="J8" s="16">
        <f>COUNTIF(Database!$D:$D,$B8)</f>
        <v>3</v>
      </c>
      <c r="K8" s="1">
        <f>COUNTIFS(Database!$D:$D,$B8,Database!$E:$E,"W")</f>
        <v>2</v>
      </c>
      <c r="L8" s="1">
        <f>COUNTIFS(Database!$D:$D,$B8,Database!$E:$E,"L")</f>
        <v>1</v>
      </c>
      <c r="M8" s="1">
        <f t="shared" si="4"/>
        <v>1</v>
      </c>
      <c r="N8" s="21">
        <f t="shared" si="5"/>
        <v>0.66666666666666663</v>
      </c>
      <c r="O8" s="14">
        <f t="shared" si="6"/>
        <v>0.33333333333333331</v>
      </c>
      <c r="Q8" s="28" t="str">
        <f>IFERROR(IF(VLOOKUP(CONCATENATE($B8,Q$2),Database!$B:$E,4,0)="L",6,5),"")</f>
        <v/>
      </c>
      <c r="R8" s="23" t="str">
        <f>IFERROR(IF(VLOOKUP(CONCATENATE($B8,R$2),Database!$B:$E,4,0)="L",6,5),"")</f>
        <v/>
      </c>
      <c r="S8" s="23">
        <f>IFERROR(IF(VLOOKUP(CONCATENATE($B8,S$2),Database!$B:$E,4,0)="L",6,5),"")</f>
        <v>5</v>
      </c>
      <c r="T8" s="23">
        <f>IFERROR(IF(VLOOKUP(CONCATENATE($B8,T$2),Database!$B:$E,4,0)="L",6,5),"")</f>
        <v>6</v>
      </c>
      <c r="U8" s="29">
        <f>IFERROR(IF(VLOOKUP(CONCATENATE($B8,U$2),Database!$B:$E,4,0)="L",6,5),"")</f>
        <v>5</v>
      </c>
      <c r="V8" s="55"/>
      <c r="W8" s="56"/>
      <c r="X8" s="86"/>
      <c r="Z8" s="63" t="str">
        <f t="shared" si="7"/>
        <v>N</v>
      </c>
      <c r="AB8" s="29">
        <f>IFERROR(IF(VLOOKUP(CONCATENATE($B8,AB$2),Database!$B:$E,4,0)="L",6,5),"")</f>
        <v>5</v>
      </c>
      <c r="AC8" s="29">
        <f>IFERROR(IF(VLOOKUP(CONCATENATE($B8,AC$2),Database!$B:$E,4,0)="L",6,5),"")</f>
        <v>6</v>
      </c>
      <c r="AD8" s="29">
        <f>IFERROR(IF(VLOOKUP(CONCATENATE($B8,AD$2),Database!$B:$E,4,0)="L",6,5),"")</f>
        <v>5</v>
      </c>
      <c r="AE8" s="29" t="str">
        <f>IFERROR(IF(VLOOKUP(CONCATENATE($B8,AE$2),Database!$B:$E,4,0)="L",6,5),"")</f>
        <v/>
      </c>
      <c r="AF8" s="29" t="str">
        <f>IFERROR(IF(VLOOKUP(CONCATENATE($B8,AF$2),Database!$B:$E,4,0)="L",6,5),"")</f>
        <v/>
      </c>
      <c r="AG8" s="29" t="str">
        <f>IFERROR(IF(VLOOKUP(CONCATENATE($B8,AG$2),Database!$B:$E,4,0)="L",6,5),"")</f>
        <v/>
      </c>
      <c r="AH8" s="29" t="str">
        <f>IFERROR(IF(VLOOKUP(CONCATENATE($B8,AH$2),Database!$B:$E,4,0)="L",6,5),"")</f>
        <v/>
      </c>
      <c r="AI8" s="29" t="str">
        <f>IFERROR(IF(VLOOKUP(CONCATENATE($B8,AI$2),Database!$B:$E,4,0)="L",6,5),"")</f>
        <v/>
      </c>
      <c r="AJ8" s="29" t="str">
        <f>IFERROR(IF(VLOOKUP(CONCATENATE($B8,AJ$2),Database!$B:$E,4,0)="L",6,5),"")</f>
        <v/>
      </c>
      <c r="AK8" s="29" t="str">
        <f>IFERROR(IF(VLOOKUP(CONCATENATE($B8,AK$2),Database!$B:$E,4,0)="L",6,5),"")</f>
        <v/>
      </c>
      <c r="AL8" s="29" t="str">
        <f>IFERROR(IF(VLOOKUP(CONCATENATE($B8,AL$2),Database!$B:$E,4,0)="L",6,5),"")</f>
        <v/>
      </c>
      <c r="AM8" s="29" t="str">
        <f>IFERROR(IF(VLOOKUP(CONCATENATE($B8,AM$2),Database!$B:$E,4,0)="L",6,5),"")</f>
        <v/>
      </c>
      <c r="AN8" s="29" t="str">
        <f>IFERROR(IF(VLOOKUP(CONCATENATE($B8,AN$2),Database!$B:$E,4,0)="L",6,5),"")</f>
        <v/>
      </c>
      <c r="AO8" s="29" t="str">
        <f>IFERROR(IF(VLOOKUP(CONCATENATE($B8,AO$2),Database!$B:$E,4,0)="L",6,5),"")</f>
        <v/>
      </c>
      <c r="AP8" s="29" t="str">
        <f>IFERROR(IF(VLOOKUP(CONCATENATE($B8,AP$2),Database!$B:$E,4,0)="L",6,5),"")</f>
        <v/>
      </c>
      <c r="AQ8" s="29" t="str">
        <f>IFERROR(IF(VLOOKUP(CONCATENATE($B8,AQ$2),Database!$B:$E,4,0)="L",6,5),"")</f>
        <v/>
      </c>
      <c r="AR8" s="29" t="str">
        <f>IFERROR(IF(VLOOKUP(CONCATENATE($B8,AR$2),Database!$B:$E,4,0)="L",6,5),"")</f>
        <v/>
      </c>
      <c r="AS8" s="29" t="str">
        <f>IFERROR(IF(VLOOKUP(CONCATENATE($B8,AS$2),Database!$B:$E,4,0)="L",6,5),"")</f>
        <v/>
      </c>
      <c r="AT8" s="29" t="str">
        <f>IFERROR(IF(VLOOKUP(CONCATENATE($B8,AT$2),Database!$B:$E,4,0)="L",6,5),"")</f>
        <v/>
      </c>
      <c r="AU8" s="29" t="str">
        <f>IFERROR(IF(VLOOKUP(CONCATENATE($B8,AU$2),Database!$B:$E,4,0)="L",6,5),"")</f>
        <v/>
      </c>
      <c r="AV8" s="29" t="str">
        <f>IFERROR(IF(VLOOKUP(CONCATENATE($B8,AV$2),Database!$B:$E,4,0)="L",6,5),"")</f>
        <v/>
      </c>
      <c r="AW8" s="29" t="str">
        <f>IFERROR(IF(VLOOKUP(CONCATENATE($B8,AW$2),Database!$B:$E,4,0)="L",6,5),"")</f>
        <v/>
      </c>
      <c r="AX8" s="29" t="str">
        <f>IFERROR(IF(VLOOKUP(CONCATENATE($B8,AX$2),Database!$B:$E,4,0)="L",6,5),"")</f>
        <v/>
      </c>
      <c r="AY8" s="29" t="str">
        <f>IFERROR(IF(VLOOKUP(CONCATENATE($B8,AY$2),Database!$B:$E,4,0)="L",6,5),"")</f>
        <v/>
      </c>
      <c r="AZ8" s="29" t="str">
        <f>IFERROR(IF(VLOOKUP(CONCATENATE($B8,AZ$2),Database!$B:$E,4,0)="L",6,5),"")</f>
        <v/>
      </c>
      <c r="BA8" s="29" t="str">
        <f>IFERROR(IF(VLOOKUP(CONCATENATE($B8,BA$2),Database!$B:$E,4,0)="L",6,5),"")</f>
        <v/>
      </c>
      <c r="BB8" s="29" t="str">
        <f>IFERROR(IF(VLOOKUP(CONCATENATE($B8,BB$2),Database!$B:$E,4,0)="L",6,5),"")</f>
        <v/>
      </c>
      <c r="BC8" s="29" t="str">
        <f>IFERROR(IF(VLOOKUP(CONCATENATE($B8,BC$2),Database!$B:$E,4,0)="L",6,5),"")</f>
        <v/>
      </c>
      <c r="BD8" s="29" t="str">
        <f>IFERROR(IF(VLOOKUP(CONCATENATE($B8,BD$2),Database!$B:$E,4,0)="L",6,5),"")</f>
        <v/>
      </c>
      <c r="BE8" s="29" t="str">
        <f>IFERROR(IF(VLOOKUP(CONCATENATE($B8,BE$2),Database!$B:$E,4,0)="L",6,5),"")</f>
        <v/>
      </c>
      <c r="BF8" s="29" t="str">
        <f>IFERROR(IF(VLOOKUP(CONCATENATE($B8,BF$2),Database!$B:$E,4,0)="L",6,5),"")</f>
        <v/>
      </c>
      <c r="BG8" s="29" t="str">
        <f>IFERROR(IF(VLOOKUP(CONCATENATE($B8,BG$2),Database!$B:$E,4,0)="L",6,5),"")</f>
        <v/>
      </c>
      <c r="BH8" s="29" t="str">
        <f>IFERROR(IF(VLOOKUP(CONCATENATE($B8,BH$2),Database!$B:$E,4,0)="L",6,5),"")</f>
        <v/>
      </c>
      <c r="BI8" s="29" t="str">
        <f>IFERROR(IF(VLOOKUP(CONCATENATE($B8,BI$2),Database!$B:$E,4,0)="L",6,5),"")</f>
        <v/>
      </c>
      <c r="BJ8" s="29" t="str">
        <f>IFERROR(IF(VLOOKUP(CONCATENATE($B8,BJ$2),Database!$B:$E,4,0)="L",6,5),"")</f>
        <v/>
      </c>
      <c r="BK8" s="29" t="str">
        <f>IFERROR(IF(VLOOKUP(CONCATENATE($B8,BK$2),Database!$B:$E,4,0)="L",6,5),"")</f>
        <v/>
      </c>
      <c r="BL8" s="29" t="str">
        <f>IFERROR(IF(VLOOKUP(CONCATENATE($B8,BL$2),Database!$B:$E,4,0)="L",6,5),"")</f>
        <v/>
      </c>
      <c r="BM8" s="29" t="str">
        <f>IFERROR(IF(VLOOKUP(CONCATENATE($B8,BM$2),Database!$B:$E,4,0)="L",6,5),"")</f>
        <v/>
      </c>
      <c r="BN8" s="29" t="str">
        <f>IFERROR(IF(VLOOKUP(CONCATENATE($B8,BN$2),Database!$B:$E,4,0)="L",6,5),"")</f>
        <v/>
      </c>
      <c r="BO8" s="29" t="str">
        <f>IFERROR(IF(VLOOKUP(CONCATENATE($B8,BO$2),Database!$B:$E,4,0)="L",6,5),"")</f>
        <v/>
      </c>
      <c r="BP8" s="29" t="str">
        <f>IFERROR(IF(VLOOKUP(CONCATENATE($B8,BP$2),Database!$B:$E,4,0)="L",6,5),"")</f>
        <v/>
      </c>
      <c r="BQ8" s="29" t="str">
        <f>IFERROR(IF(VLOOKUP(CONCATENATE($B8,BQ$2),Database!$B:$E,4,0)="L",6,5),"")</f>
        <v/>
      </c>
      <c r="BR8" s="29" t="str">
        <f>IFERROR(IF(VLOOKUP(CONCATENATE($B8,BR$2),Database!$B:$E,4,0)="L",6,5),"")</f>
        <v/>
      </c>
      <c r="BS8" s="29" t="str">
        <f>IFERROR(IF(VLOOKUP(CONCATENATE($B8,BS$2),Database!$B:$E,4,0)="L",6,5),"")</f>
        <v/>
      </c>
      <c r="BT8" s="29" t="str">
        <f>IFERROR(IF(VLOOKUP(CONCATENATE($B8,BT$2),Database!$B:$E,4,0)="L",6,5),"")</f>
        <v/>
      </c>
      <c r="BU8" s="29" t="str">
        <f>IFERROR(IF(VLOOKUP(CONCATENATE($B8,BU$2),Database!$B:$E,4,0)="L",6,5),"")</f>
        <v/>
      </c>
      <c r="BV8" s="29" t="str">
        <f>IFERROR(IF(VLOOKUP(CONCATENATE($B8,BV$2),Database!$B:$E,4,0)="L",6,5),"")</f>
        <v/>
      </c>
      <c r="BW8" s="29" t="str">
        <f>IFERROR(IF(VLOOKUP(CONCATENATE($B8,BW$2),Database!$B:$E,4,0)="L",6,5),"")</f>
        <v/>
      </c>
      <c r="BX8" s="29" t="str">
        <f>IFERROR(IF(VLOOKUP(CONCATENATE($B8,BX$2),Database!$B:$E,4,0)="L",6,5),"")</f>
        <v/>
      </c>
      <c r="BY8" s="29" t="str">
        <f>IFERROR(IF(VLOOKUP(CONCATENATE($B8,BY$2),Database!$B:$E,4,0)="L",6,5),"")</f>
        <v/>
      </c>
      <c r="BZ8" s="29" t="str">
        <f>IFERROR(IF(VLOOKUP(CONCATENATE($B8,BZ$2),Database!$B:$E,4,0)="L",6,5),"")</f>
        <v/>
      </c>
    </row>
    <row r="9" spans="2:78" ht="14.3" hidden="1" x14ac:dyDescent="0.3">
      <c r="B9" s="19" t="s">
        <v>151</v>
      </c>
      <c r="C9" s="16">
        <f>COUNTIFS(Database!$D:$D,$B9,Database!$C:$C,"&gt;1/1/25")</f>
        <v>0</v>
      </c>
      <c r="D9" s="1">
        <f>COUNTIFS(Database!$D:$D,$B9,Database!$E:$E,"W",Database!$C:$C,"&gt;1/1/25")</f>
        <v>0</v>
      </c>
      <c r="E9" s="1">
        <f>COUNTIFS(Database!$D:$D,$B9,Database!$E:$E,"L",Database!$C:$C,"&gt;1/1/25")</f>
        <v>0</v>
      </c>
      <c r="F9" s="1">
        <f t="shared" si="1"/>
        <v>0</v>
      </c>
      <c r="G9" s="21" t="str">
        <f t="shared" si="2"/>
        <v>-</v>
      </c>
      <c r="H9" s="14" t="str">
        <f t="shared" si="3"/>
        <v>-</v>
      </c>
      <c r="J9" s="16">
        <f>COUNTIF(Database!$D:$D,$B9)</f>
        <v>4</v>
      </c>
      <c r="K9" s="1">
        <f>COUNTIFS(Database!$D:$D,$B9,Database!$E:$E,"W")</f>
        <v>2</v>
      </c>
      <c r="L9" s="1">
        <f>COUNTIFS(Database!$D:$D,$B9,Database!$E:$E,"L")</f>
        <v>2</v>
      </c>
      <c r="M9" s="1">
        <f t="shared" si="4"/>
        <v>0</v>
      </c>
      <c r="N9" s="21">
        <f t="shared" si="5"/>
        <v>0.5</v>
      </c>
      <c r="O9" s="14">
        <f t="shared" si="6"/>
        <v>0.5</v>
      </c>
      <c r="Q9" s="28" t="str">
        <f>IFERROR(IF(VLOOKUP(CONCATENATE($B9,Q$2),Database!$B:$E,4,0)="L",6,5),"")</f>
        <v/>
      </c>
      <c r="R9" s="23">
        <f>IFERROR(IF(VLOOKUP(CONCATENATE($B9,R$2),Database!$B:$E,4,0)="L",6,5),"")</f>
        <v>6</v>
      </c>
      <c r="S9" s="23">
        <f>IFERROR(IF(VLOOKUP(CONCATENATE($B9,S$2),Database!$B:$E,4,0)="L",6,5),"")</f>
        <v>5</v>
      </c>
      <c r="T9" s="23">
        <f>IFERROR(IF(VLOOKUP(CONCATENATE($B9,T$2),Database!$B:$E,4,0)="L",6,5),"")</f>
        <v>6</v>
      </c>
      <c r="U9" s="29">
        <f>IFERROR(IF(VLOOKUP(CONCATENATE($B9,U$2),Database!$B:$E,4,0)="L",6,5),"")</f>
        <v>5</v>
      </c>
      <c r="V9" s="54"/>
      <c r="W9" s="57"/>
      <c r="X9" s="63"/>
      <c r="Z9" s="63" t="str">
        <f t="shared" si="7"/>
        <v>N</v>
      </c>
      <c r="AB9" s="29">
        <f>IFERROR(IF(VLOOKUP(CONCATENATE($B9,AB$2),Database!$B:$E,4,0)="L",6,5),"")</f>
        <v>5</v>
      </c>
      <c r="AC9" s="29">
        <f>IFERROR(IF(VLOOKUP(CONCATENATE($B9,AC$2),Database!$B:$E,4,0)="L",6,5),"")</f>
        <v>6</v>
      </c>
      <c r="AD9" s="29">
        <f>IFERROR(IF(VLOOKUP(CONCATENATE($B9,AD$2),Database!$B:$E,4,0)="L",6,5),"")</f>
        <v>5</v>
      </c>
      <c r="AE9" s="29">
        <f>IFERROR(IF(VLOOKUP(CONCATENATE($B9,AE$2),Database!$B:$E,4,0)="L",6,5),"")</f>
        <v>6</v>
      </c>
      <c r="AF9" s="29" t="str">
        <f>IFERROR(IF(VLOOKUP(CONCATENATE($B9,AF$2),Database!$B:$E,4,0)="L",6,5),"")</f>
        <v/>
      </c>
      <c r="AG9" s="29" t="str">
        <f>IFERROR(IF(VLOOKUP(CONCATENATE($B9,AG$2),Database!$B:$E,4,0)="L",6,5),"")</f>
        <v/>
      </c>
      <c r="AH9" s="29" t="str">
        <f>IFERROR(IF(VLOOKUP(CONCATENATE($B9,AH$2),Database!$B:$E,4,0)="L",6,5),"")</f>
        <v/>
      </c>
      <c r="AI9" s="29" t="str">
        <f>IFERROR(IF(VLOOKUP(CONCATENATE($B9,AI$2),Database!$B:$E,4,0)="L",6,5),"")</f>
        <v/>
      </c>
      <c r="AJ9" s="29" t="str">
        <f>IFERROR(IF(VLOOKUP(CONCATENATE($B9,AJ$2),Database!$B:$E,4,0)="L",6,5),"")</f>
        <v/>
      </c>
      <c r="AK9" s="29" t="str">
        <f>IFERROR(IF(VLOOKUP(CONCATENATE($B9,AK$2),Database!$B:$E,4,0)="L",6,5),"")</f>
        <v/>
      </c>
      <c r="AL9" s="29" t="str">
        <f>IFERROR(IF(VLOOKUP(CONCATENATE($B9,AL$2),Database!$B:$E,4,0)="L",6,5),"")</f>
        <v/>
      </c>
      <c r="AM9" s="29" t="str">
        <f>IFERROR(IF(VLOOKUP(CONCATENATE($B9,AM$2),Database!$B:$E,4,0)="L",6,5),"")</f>
        <v/>
      </c>
      <c r="AN9" s="29" t="str">
        <f>IFERROR(IF(VLOOKUP(CONCATENATE($B9,AN$2),Database!$B:$E,4,0)="L",6,5),"")</f>
        <v/>
      </c>
      <c r="AO9" s="29" t="str">
        <f>IFERROR(IF(VLOOKUP(CONCATENATE($B9,AO$2),Database!$B:$E,4,0)="L",6,5),"")</f>
        <v/>
      </c>
      <c r="AP9" s="29" t="str">
        <f>IFERROR(IF(VLOOKUP(CONCATENATE($B9,AP$2),Database!$B:$E,4,0)="L",6,5),"")</f>
        <v/>
      </c>
      <c r="AQ9" s="29" t="str">
        <f>IFERROR(IF(VLOOKUP(CONCATENATE($B9,AQ$2),Database!$B:$E,4,0)="L",6,5),"")</f>
        <v/>
      </c>
      <c r="AR9" s="29" t="str">
        <f>IFERROR(IF(VLOOKUP(CONCATENATE($B9,AR$2),Database!$B:$E,4,0)="L",6,5),"")</f>
        <v/>
      </c>
      <c r="AS9" s="29" t="str">
        <f>IFERROR(IF(VLOOKUP(CONCATENATE($B9,AS$2),Database!$B:$E,4,0)="L",6,5),"")</f>
        <v/>
      </c>
      <c r="AT9" s="29" t="str">
        <f>IFERROR(IF(VLOOKUP(CONCATENATE($B9,AT$2),Database!$B:$E,4,0)="L",6,5),"")</f>
        <v/>
      </c>
      <c r="AU9" s="29" t="str">
        <f>IFERROR(IF(VLOOKUP(CONCATENATE($B9,AU$2),Database!$B:$E,4,0)="L",6,5),"")</f>
        <v/>
      </c>
      <c r="AV9" s="29" t="str">
        <f>IFERROR(IF(VLOOKUP(CONCATENATE($B9,AV$2),Database!$B:$E,4,0)="L",6,5),"")</f>
        <v/>
      </c>
      <c r="AW9" s="29" t="str">
        <f>IFERROR(IF(VLOOKUP(CONCATENATE($B9,AW$2),Database!$B:$E,4,0)="L",6,5),"")</f>
        <v/>
      </c>
      <c r="AX9" s="29" t="str">
        <f>IFERROR(IF(VLOOKUP(CONCATENATE($B9,AX$2),Database!$B:$E,4,0)="L",6,5),"")</f>
        <v/>
      </c>
      <c r="AY9" s="29" t="str">
        <f>IFERROR(IF(VLOOKUP(CONCATENATE($B9,AY$2),Database!$B:$E,4,0)="L",6,5),"")</f>
        <v/>
      </c>
      <c r="AZ9" s="29" t="str">
        <f>IFERROR(IF(VLOOKUP(CONCATENATE($B9,AZ$2),Database!$B:$E,4,0)="L",6,5),"")</f>
        <v/>
      </c>
      <c r="BA9" s="29" t="str">
        <f>IFERROR(IF(VLOOKUP(CONCATENATE($B9,BA$2),Database!$B:$E,4,0)="L",6,5),"")</f>
        <v/>
      </c>
      <c r="BB9" s="29" t="str">
        <f>IFERROR(IF(VLOOKUP(CONCATENATE($B9,BB$2),Database!$B:$E,4,0)="L",6,5),"")</f>
        <v/>
      </c>
      <c r="BC9" s="29" t="str">
        <f>IFERROR(IF(VLOOKUP(CONCATENATE($B9,BC$2),Database!$B:$E,4,0)="L",6,5),"")</f>
        <v/>
      </c>
      <c r="BD9" s="29" t="str">
        <f>IFERROR(IF(VLOOKUP(CONCATENATE($B9,BD$2),Database!$B:$E,4,0)="L",6,5),"")</f>
        <v/>
      </c>
      <c r="BE9" s="29" t="str">
        <f>IFERROR(IF(VLOOKUP(CONCATENATE($B9,BE$2),Database!$B:$E,4,0)="L",6,5),"")</f>
        <v/>
      </c>
      <c r="BF9" s="29" t="str">
        <f>IFERROR(IF(VLOOKUP(CONCATENATE($B9,BF$2),Database!$B:$E,4,0)="L",6,5),"")</f>
        <v/>
      </c>
      <c r="BG9" s="29" t="str">
        <f>IFERROR(IF(VLOOKUP(CONCATENATE($B9,BG$2),Database!$B:$E,4,0)="L",6,5),"")</f>
        <v/>
      </c>
      <c r="BH9" s="29" t="str">
        <f>IFERROR(IF(VLOOKUP(CONCATENATE($B9,BH$2),Database!$B:$E,4,0)="L",6,5),"")</f>
        <v/>
      </c>
      <c r="BI9" s="29" t="str">
        <f>IFERROR(IF(VLOOKUP(CONCATENATE($B9,BI$2),Database!$B:$E,4,0)="L",6,5),"")</f>
        <v/>
      </c>
      <c r="BJ9" s="29" t="str">
        <f>IFERROR(IF(VLOOKUP(CONCATENATE($B9,BJ$2),Database!$B:$E,4,0)="L",6,5),"")</f>
        <v/>
      </c>
      <c r="BK9" s="29" t="str">
        <f>IFERROR(IF(VLOOKUP(CONCATENATE($B9,BK$2),Database!$B:$E,4,0)="L",6,5),"")</f>
        <v/>
      </c>
      <c r="BL9" s="29" t="str">
        <f>IFERROR(IF(VLOOKUP(CONCATENATE($B9,BL$2),Database!$B:$E,4,0)="L",6,5),"")</f>
        <v/>
      </c>
      <c r="BM9" s="29" t="str">
        <f>IFERROR(IF(VLOOKUP(CONCATENATE($B9,BM$2),Database!$B:$E,4,0)="L",6,5),"")</f>
        <v/>
      </c>
      <c r="BN9" s="29" t="str">
        <f>IFERROR(IF(VLOOKUP(CONCATENATE($B9,BN$2),Database!$B:$E,4,0)="L",6,5),"")</f>
        <v/>
      </c>
      <c r="BO9" s="29" t="str">
        <f>IFERROR(IF(VLOOKUP(CONCATENATE($B9,BO$2),Database!$B:$E,4,0)="L",6,5),"")</f>
        <v/>
      </c>
      <c r="BP9" s="29" t="str">
        <f>IFERROR(IF(VLOOKUP(CONCATENATE($B9,BP$2),Database!$B:$E,4,0)="L",6,5),"")</f>
        <v/>
      </c>
      <c r="BQ9" s="29" t="str">
        <f>IFERROR(IF(VLOOKUP(CONCATENATE($B9,BQ$2),Database!$B:$E,4,0)="L",6,5),"")</f>
        <v/>
      </c>
      <c r="BR9" s="29" t="str">
        <f>IFERROR(IF(VLOOKUP(CONCATENATE($B9,BR$2),Database!$B:$E,4,0)="L",6,5),"")</f>
        <v/>
      </c>
      <c r="BS9" s="29" t="str">
        <f>IFERROR(IF(VLOOKUP(CONCATENATE($B9,BS$2),Database!$B:$E,4,0)="L",6,5),"")</f>
        <v/>
      </c>
      <c r="BT9" s="29" t="str">
        <f>IFERROR(IF(VLOOKUP(CONCATENATE($B9,BT$2),Database!$B:$E,4,0)="L",6,5),"")</f>
        <v/>
      </c>
      <c r="BU9" s="29" t="str">
        <f>IFERROR(IF(VLOOKUP(CONCATENATE($B9,BU$2),Database!$B:$E,4,0)="L",6,5),"")</f>
        <v/>
      </c>
      <c r="BV9" s="29" t="str">
        <f>IFERROR(IF(VLOOKUP(CONCATENATE($B9,BV$2),Database!$B:$E,4,0)="L",6,5),"")</f>
        <v/>
      </c>
      <c r="BW9" s="29" t="str">
        <f>IFERROR(IF(VLOOKUP(CONCATENATE($B9,BW$2),Database!$B:$E,4,0)="L",6,5),"")</f>
        <v/>
      </c>
      <c r="BX9" s="29" t="str">
        <f>IFERROR(IF(VLOOKUP(CONCATENATE($B9,BX$2),Database!$B:$E,4,0)="L",6,5),"")</f>
        <v/>
      </c>
      <c r="BY9" s="29" t="str">
        <f>IFERROR(IF(VLOOKUP(CONCATENATE($B9,BY$2),Database!$B:$E,4,0)="L",6,5),"")</f>
        <v/>
      </c>
      <c r="BZ9" s="29" t="str">
        <f>IFERROR(IF(VLOOKUP(CONCATENATE($B9,BZ$2),Database!$B:$E,4,0)="L",6,5),"")</f>
        <v/>
      </c>
    </row>
    <row r="10" spans="2:78" ht="14.3" hidden="1" x14ac:dyDescent="0.3">
      <c r="B10" s="19" t="s">
        <v>22</v>
      </c>
      <c r="C10" s="16">
        <f>COUNTIFS(Database!$D:$D,$B10,Database!$C:$C,"&gt;1/1/25")</f>
        <v>0</v>
      </c>
      <c r="D10" s="1">
        <f>COUNTIFS(Database!$D:$D,$B10,Database!$E:$E,"W",Database!$C:$C,"&gt;1/1/25")</f>
        <v>0</v>
      </c>
      <c r="E10" s="1">
        <f>COUNTIFS(Database!$D:$D,$B10,Database!$E:$E,"L",Database!$C:$C,"&gt;1/1/25")</f>
        <v>0</v>
      </c>
      <c r="F10" s="1">
        <f t="shared" si="1"/>
        <v>0</v>
      </c>
      <c r="G10" s="21" t="str">
        <f t="shared" si="2"/>
        <v>-</v>
      </c>
      <c r="H10" s="14" t="str">
        <f t="shared" si="3"/>
        <v>-</v>
      </c>
      <c r="J10" s="16">
        <f>COUNTIF(Database!$D:$D,$B10)</f>
        <v>4</v>
      </c>
      <c r="K10" s="1">
        <f>COUNTIFS(Database!$D:$D,$B10,Database!$E:$E,"W")</f>
        <v>3</v>
      </c>
      <c r="L10" s="1">
        <f>COUNTIFS(Database!$D:$D,$B10,Database!$E:$E,"L")</f>
        <v>1</v>
      </c>
      <c r="M10" s="1">
        <f t="shared" si="4"/>
        <v>2</v>
      </c>
      <c r="N10" s="21">
        <f t="shared" si="5"/>
        <v>0.75</v>
      </c>
      <c r="O10" s="14">
        <f t="shared" si="6"/>
        <v>0.25</v>
      </c>
      <c r="Q10" s="28" t="str">
        <f>IFERROR(IF(VLOOKUP(CONCATENATE($B10,Q$2),Database!$B:$E,4,0)="L",6,5),"")</f>
        <v/>
      </c>
      <c r="R10" s="23">
        <f>IFERROR(IF(VLOOKUP(CONCATENATE($B10,R$2),Database!$B:$E,4,0)="L",6,5),"")</f>
        <v>5</v>
      </c>
      <c r="S10" s="23">
        <f>IFERROR(IF(VLOOKUP(CONCATENATE($B10,S$2),Database!$B:$E,4,0)="L",6,5),"")</f>
        <v>6</v>
      </c>
      <c r="T10" s="23">
        <f>IFERROR(IF(VLOOKUP(CONCATENATE($B10,T$2),Database!$B:$E,4,0)="L",6,5),"")</f>
        <v>5</v>
      </c>
      <c r="U10" s="29">
        <f>IFERROR(IF(VLOOKUP(CONCATENATE($B10,U$2),Database!$B:$E,4,0)="L",6,5),"")</f>
        <v>5</v>
      </c>
      <c r="V10" s="55"/>
      <c r="W10" s="57"/>
      <c r="X10" s="63"/>
      <c r="Z10" s="63" t="str">
        <f t="shared" si="7"/>
        <v>N</v>
      </c>
      <c r="AB10" s="29">
        <f>IFERROR(IF(VLOOKUP(CONCATENATE($B10,AB$2),Database!$B:$E,4,0)="L",6,5),"")</f>
        <v>5</v>
      </c>
      <c r="AC10" s="29">
        <f>IFERROR(IF(VLOOKUP(CONCATENATE($B10,AC$2),Database!$B:$E,4,0)="L",6,5),"")</f>
        <v>5</v>
      </c>
      <c r="AD10" s="29">
        <f>IFERROR(IF(VLOOKUP(CONCATENATE($B10,AD$2),Database!$B:$E,4,0)="L",6,5),"")</f>
        <v>6</v>
      </c>
      <c r="AE10" s="29">
        <f>IFERROR(IF(VLOOKUP(CONCATENATE($B10,AE$2),Database!$B:$E,4,0)="L",6,5),"")</f>
        <v>5</v>
      </c>
      <c r="AF10" s="29" t="str">
        <f>IFERROR(IF(VLOOKUP(CONCATENATE($B10,AF$2),Database!$B:$E,4,0)="L",6,5),"")</f>
        <v/>
      </c>
      <c r="AG10" s="29" t="str">
        <f>IFERROR(IF(VLOOKUP(CONCATENATE($B10,AG$2),Database!$B:$E,4,0)="L",6,5),"")</f>
        <v/>
      </c>
      <c r="AH10" s="29" t="str">
        <f>IFERROR(IF(VLOOKUP(CONCATENATE($B10,AH$2),Database!$B:$E,4,0)="L",6,5),"")</f>
        <v/>
      </c>
      <c r="AI10" s="29" t="str">
        <f>IFERROR(IF(VLOOKUP(CONCATENATE($B10,AI$2),Database!$B:$E,4,0)="L",6,5),"")</f>
        <v/>
      </c>
      <c r="AJ10" s="29" t="str">
        <f>IFERROR(IF(VLOOKUP(CONCATENATE($B10,AJ$2),Database!$B:$E,4,0)="L",6,5),"")</f>
        <v/>
      </c>
      <c r="AK10" s="29" t="str">
        <f>IFERROR(IF(VLOOKUP(CONCATENATE($B10,AK$2),Database!$B:$E,4,0)="L",6,5),"")</f>
        <v/>
      </c>
      <c r="AL10" s="29" t="str">
        <f>IFERROR(IF(VLOOKUP(CONCATENATE($B10,AL$2),Database!$B:$E,4,0)="L",6,5),"")</f>
        <v/>
      </c>
      <c r="AM10" s="29" t="str">
        <f>IFERROR(IF(VLOOKUP(CONCATENATE($B10,AM$2),Database!$B:$E,4,0)="L",6,5),"")</f>
        <v/>
      </c>
      <c r="AN10" s="29" t="str">
        <f>IFERROR(IF(VLOOKUP(CONCATENATE($B10,AN$2),Database!$B:$E,4,0)="L",6,5),"")</f>
        <v/>
      </c>
      <c r="AO10" s="29" t="str">
        <f>IFERROR(IF(VLOOKUP(CONCATENATE($B10,AO$2),Database!$B:$E,4,0)="L",6,5),"")</f>
        <v/>
      </c>
      <c r="AP10" s="29" t="str">
        <f>IFERROR(IF(VLOOKUP(CONCATENATE($B10,AP$2),Database!$B:$E,4,0)="L",6,5),"")</f>
        <v/>
      </c>
      <c r="AQ10" s="29" t="str">
        <f>IFERROR(IF(VLOOKUP(CONCATENATE($B10,AQ$2),Database!$B:$E,4,0)="L",6,5),"")</f>
        <v/>
      </c>
      <c r="AR10" s="29" t="str">
        <f>IFERROR(IF(VLOOKUP(CONCATENATE($B10,AR$2),Database!$B:$E,4,0)="L",6,5),"")</f>
        <v/>
      </c>
      <c r="AS10" s="29" t="str">
        <f>IFERROR(IF(VLOOKUP(CONCATENATE($B10,AS$2),Database!$B:$E,4,0)="L",6,5),"")</f>
        <v/>
      </c>
      <c r="AT10" s="29" t="str">
        <f>IFERROR(IF(VLOOKUP(CONCATENATE($B10,AT$2),Database!$B:$E,4,0)="L",6,5),"")</f>
        <v/>
      </c>
      <c r="AU10" s="29" t="str">
        <f>IFERROR(IF(VLOOKUP(CONCATENATE($B10,AU$2),Database!$B:$E,4,0)="L",6,5),"")</f>
        <v/>
      </c>
      <c r="AV10" s="29" t="str">
        <f>IFERROR(IF(VLOOKUP(CONCATENATE($B10,AV$2),Database!$B:$E,4,0)="L",6,5),"")</f>
        <v/>
      </c>
      <c r="AW10" s="29" t="str">
        <f>IFERROR(IF(VLOOKUP(CONCATENATE($B10,AW$2),Database!$B:$E,4,0)="L",6,5),"")</f>
        <v/>
      </c>
      <c r="AX10" s="29" t="str">
        <f>IFERROR(IF(VLOOKUP(CONCATENATE($B10,AX$2),Database!$B:$E,4,0)="L",6,5),"")</f>
        <v/>
      </c>
      <c r="AY10" s="29" t="str">
        <f>IFERROR(IF(VLOOKUP(CONCATENATE($B10,AY$2),Database!$B:$E,4,0)="L",6,5),"")</f>
        <v/>
      </c>
      <c r="AZ10" s="29" t="str">
        <f>IFERROR(IF(VLOOKUP(CONCATENATE($B10,AZ$2),Database!$B:$E,4,0)="L",6,5),"")</f>
        <v/>
      </c>
      <c r="BA10" s="29" t="str">
        <f>IFERROR(IF(VLOOKUP(CONCATENATE($B10,BA$2),Database!$B:$E,4,0)="L",6,5),"")</f>
        <v/>
      </c>
      <c r="BB10" s="29" t="str">
        <f>IFERROR(IF(VLOOKUP(CONCATENATE($B10,BB$2),Database!$B:$E,4,0)="L",6,5),"")</f>
        <v/>
      </c>
      <c r="BC10" s="29" t="str">
        <f>IFERROR(IF(VLOOKUP(CONCATENATE($B10,BC$2),Database!$B:$E,4,0)="L",6,5),"")</f>
        <v/>
      </c>
      <c r="BD10" s="29" t="str">
        <f>IFERROR(IF(VLOOKUP(CONCATENATE($B10,BD$2),Database!$B:$E,4,0)="L",6,5),"")</f>
        <v/>
      </c>
      <c r="BE10" s="29" t="str">
        <f>IFERROR(IF(VLOOKUP(CONCATENATE($B10,BE$2),Database!$B:$E,4,0)="L",6,5),"")</f>
        <v/>
      </c>
      <c r="BF10" s="29" t="str">
        <f>IFERROR(IF(VLOOKUP(CONCATENATE($B10,BF$2),Database!$B:$E,4,0)="L",6,5),"")</f>
        <v/>
      </c>
      <c r="BG10" s="29" t="str">
        <f>IFERROR(IF(VLOOKUP(CONCATENATE($B10,BG$2),Database!$B:$E,4,0)="L",6,5),"")</f>
        <v/>
      </c>
      <c r="BH10" s="29" t="str">
        <f>IFERROR(IF(VLOOKUP(CONCATENATE($B10,BH$2),Database!$B:$E,4,0)="L",6,5),"")</f>
        <v/>
      </c>
      <c r="BI10" s="29" t="str">
        <f>IFERROR(IF(VLOOKUP(CONCATENATE($B10,BI$2),Database!$B:$E,4,0)="L",6,5),"")</f>
        <v/>
      </c>
      <c r="BJ10" s="29" t="str">
        <f>IFERROR(IF(VLOOKUP(CONCATENATE($B10,BJ$2),Database!$B:$E,4,0)="L",6,5),"")</f>
        <v/>
      </c>
      <c r="BK10" s="29" t="str">
        <f>IFERROR(IF(VLOOKUP(CONCATENATE($B10,BK$2),Database!$B:$E,4,0)="L",6,5),"")</f>
        <v/>
      </c>
      <c r="BL10" s="29" t="str">
        <f>IFERROR(IF(VLOOKUP(CONCATENATE($B10,BL$2),Database!$B:$E,4,0)="L",6,5),"")</f>
        <v/>
      </c>
      <c r="BM10" s="29" t="str">
        <f>IFERROR(IF(VLOOKUP(CONCATENATE($B10,BM$2),Database!$B:$E,4,0)="L",6,5),"")</f>
        <v/>
      </c>
      <c r="BN10" s="29" t="str">
        <f>IFERROR(IF(VLOOKUP(CONCATENATE($B10,BN$2),Database!$B:$E,4,0)="L",6,5),"")</f>
        <v/>
      </c>
      <c r="BO10" s="29" t="str">
        <f>IFERROR(IF(VLOOKUP(CONCATENATE($B10,BO$2),Database!$B:$E,4,0)="L",6,5),"")</f>
        <v/>
      </c>
      <c r="BP10" s="29" t="str">
        <f>IFERROR(IF(VLOOKUP(CONCATENATE($B10,BP$2),Database!$B:$E,4,0)="L",6,5),"")</f>
        <v/>
      </c>
      <c r="BQ10" s="29" t="str">
        <f>IFERROR(IF(VLOOKUP(CONCATENATE($B10,BQ$2),Database!$B:$E,4,0)="L",6,5),"")</f>
        <v/>
      </c>
      <c r="BR10" s="29" t="str">
        <f>IFERROR(IF(VLOOKUP(CONCATENATE($B10,BR$2),Database!$B:$E,4,0)="L",6,5),"")</f>
        <v/>
      </c>
      <c r="BS10" s="29" t="str">
        <f>IFERROR(IF(VLOOKUP(CONCATENATE($B10,BS$2),Database!$B:$E,4,0)="L",6,5),"")</f>
        <v/>
      </c>
      <c r="BT10" s="29" t="str">
        <f>IFERROR(IF(VLOOKUP(CONCATENATE($B10,BT$2),Database!$B:$E,4,0)="L",6,5),"")</f>
        <v/>
      </c>
      <c r="BU10" s="29" t="str">
        <f>IFERROR(IF(VLOOKUP(CONCATENATE($B10,BU$2),Database!$B:$E,4,0)="L",6,5),"")</f>
        <v/>
      </c>
      <c r="BV10" s="29" t="str">
        <f>IFERROR(IF(VLOOKUP(CONCATENATE($B10,BV$2),Database!$B:$E,4,0)="L",6,5),"")</f>
        <v/>
      </c>
      <c r="BW10" s="29" t="str">
        <f>IFERROR(IF(VLOOKUP(CONCATENATE($B10,BW$2),Database!$B:$E,4,0)="L",6,5),"")</f>
        <v/>
      </c>
      <c r="BX10" s="29" t="str">
        <f>IFERROR(IF(VLOOKUP(CONCATENATE($B10,BX$2),Database!$B:$E,4,0)="L",6,5),"")</f>
        <v/>
      </c>
      <c r="BY10" s="29" t="str">
        <f>IFERROR(IF(VLOOKUP(CONCATENATE($B10,BY$2),Database!$B:$E,4,0)="L",6,5),"")</f>
        <v/>
      </c>
      <c r="BZ10" s="29" t="str">
        <f>IFERROR(IF(VLOOKUP(CONCATENATE($B10,BZ$2),Database!$B:$E,4,0)="L",6,5),"")</f>
        <v/>
      </c>
    </row>
    <row r="11" spans="2:78" ht="14.3" hidden="1" x14ac:dyDescent="0.3">
      <c r="B11" s="19" t="s">
        <v>41</v>
      </c>
      <c r="C11" s="16">
        <f>COUNTIFS(Database!$D:$D,$B11,Database!$C:$C,"&gt;1/1/25")</f>
        <v>0</v>
      </c>
      <c r="D11" s="1">
        <f>COUNTIFS(Database!$D:$D,$B11,Database!$E:$E,"W",Database!$C:$C,"&gt;1/1/25")</f>
        <v>0</v>
      </c>
      <c r="E11" s="1">
        <f>COUNTIFS(Database!$D:$D,$B11,Database!$E:$E,"L",Database!$C:$C,"&gt;1/1/25")</f>
        <v>0</v>
      </c>
      <c r="F11" s="1">
        <f t="shared" si="1"/>
        <v>0</v>
      </c>
      <c r="G11" s="21" t="str">
        <f t="shared" si="2"/>
        <v>-</v>
      </c>
      <c r="H11" s="14" t="str">
        <f t="shared" si="3"/>
        <v>-</v>
      </c>
      <c r="J11" s="16">
        <f>COUNTIF(Database!$D:$D,$B11)</f>
        <v>3</v>
      </c>
      <c r="K11" s="1">
        <f>COUNTIFS(Database!$D:$D,$B11,Database!$E:$E,"W")</f>
        <v>2</v>
      </c>
      <c r="L11" s="1">
        <f>COUNTIFS(Database!$D:$D,$B11,Database!$E:$E,"L")</f>
        <v>1</v>
      </c>
      <c r="M11" s="1">
        <f t="shared" si="4"/>
        <v>1</v>
      </c>
      <c r="N11" s="21">
        <f t="shared" si="5"/>
        <v>0.66666666666666663</v>
      </c>
      <c r="O11" s="14">
        <f t="shared" si="6"/>
        <v>0.33333333333333331</v>
      </c>
      <c r="Q11" s="28" t="str">
        <f>IFERROR(IF(VLOOKUP(CONCATENATE($B11,Q$2),Database!$B:$E,4,0)="L",6,5),"")</f>
        <v/>
      </c>
      <c r="R11" s="23" t="str">
        <f>IFERROR(IF(VLOOKUP(CONCATENATE($B11,R$2),Database!$B:$E,4,0)="L",6,5),"")</f>
        <v/>
      </c>
      <c r="S11" s="23">
        <f>IFERROR(IF(VLOOKUP(CONCATENATE($B11,S$2),Database!$B:$E,4,0)="L",6,5),"")</f>
        <v>6</v>
      </c>
      <c r="T11" s="23">
        <f>IFERROR(IF(VLOOKUP(CONCATENATE($B11,T$2),Database!$B:$E,4,0)="L",6,5),"")</f>
        <v>5</v>
      </c>
      <c r="U11" s="29">
        <f>IFERROR(IF(VLOOKUP(CONCATENATE($B11,U$2),Database!$B:$E,4,0)="L",6,5),"")</f>
        <v>5</v>
      </c>
      <c r="V11" s="55"/>
      <c r="W11" s="56"/>
      <c r="X11" s="86" t="s">
        <v>14</v>
      </c>
      <c r="Z11" s="63" t="str">
        <f t="shared" si="7"/>
        <v>N</v>
      </c>
      <c r="AB11" s="29">
        <f>IFERROR(IF(VLOOKUP(CONCATENATE($B11,AB$2),Database!$B:$E,4,0)="L",6,5),"")</f>
        <v>5</v>
      </c>
      <c r="AC11" s="29">
        <f>IFERROR(IF(VLOOKUP(CONCATENATE($B11,AC$2),Database!$B:$E,4,0)="L",6,5),"")</f>
        <v>5</v>
      </c>
      <c r="AD11" s="29">
        <f>IFERROR(IF(VLOOKUP(CONCATENATE($B11,AD$2),Database!$B:$E,4,0)="L",6,5),"")</f>
        <v>6</v>
      </c>
      <c r="AE11" s="29" t="str">
        <f>IFERROR(IF(VLOOKUP(CONCATENATE($B11,AE$2),Database!$B:$E,4,0)="L",6,5),"")</f>
        <v/>
      </c>
      <c r="AF11" s="29" t="str">
        <f>IFERROR(IF(VLOOKUP(CONCATENATE($B11,AF$2),Database!$B:$E,4,0)="L",6,5),"")</f>
        <v/>
      </c>
      <c r="AG11" s="29" t="str">
        <f>IFERROR(IF(VLOOKUP(CONCATENATE($B11,AG$2),Database!$B:$E,4,0)="L",6,5),"")</f>
        <v/>
      </c>
      <c r="AH11" s="29" t="str">
        <f>IFERROR(IF(VLOOKUP(CONCATENATE($B11,AH$2),Database!$B:$E,4,0)="L",6,5),"")</f>
        <v/>
      </c>
      <c r="AI11" s="29" t="str">
        <f>IFERROR(IF(VLOOKUP(CONCATENATE($B11,AI$2),Database!$B:$E,4,0)="L",6,5),"")</f>
        <v/>
      </c>
      <c r="AJ11" s="29" t="str">
        <f>IFERROR(IF(VLOOKUP(CONCATENATE($B11,AJ$2),Database!$B:$E,4,0)="L",6,5),"")</f>
        <v/>
      </c>
      <c r="AK11" s="29" t="str">
        <f>IFERROR(IF(VLOOKUP(CONCATENATE($B11,AK$2),Database!$B:$E,4,0)="L",6,5),"")</f>
        <v/>
      </c>
      <c r="AL11" s="29" t="str">
        <f>IFERROR(IF(VLOOKUP(CONCATENATE($B11,AL$2),Database!$B:$E,4,0)="L",6,5),"")</f>
        <v/>
      </c>
      <c r="AM11" s="29" t="str">
        <f>IFERROR(IF(VLOOKUP(CONCATENATE($B11,AM$2),Database!$B:$E,4,0)="L",6,5),"")</f>
        <v/>
      </c>
      <c r="AN11" s="29" t="str">
        <f>IFERROR(IF(VLOOKUP(CONCATENATE($B11,AN$2),Database!$B:$E,4,0)="L",6,5),"")</f>
        <v/>
      </c>
      <c r="AO11" s="29" t="str">
        <f>IFERROR(IF(VLOOKUP(CONCATENATE($B11,AO$2),Database!$B:$E,4,0)="L",6,5),"")</f>
        <v/>
      </c>
      <c r="AP11" s="29" t="str">
        <f>IFERROR(IF(VLOOKUP(CONCATENATE($B11,AP$2),Database!$B:$E,4,0)="L",6,5),"")</f>
        <v/>
      </c>
      <c r="AQ11" s="29" t="str">
        <f>IFERROR(IF(VLOOKUP(CONCATENATE($B11,AQ$2),Database!$B:$E,4,0)="L",6,5),"")</f>
        <v/>
      </c>
      <c r="AR11" s="29" t="str">
        <f>IFERROR(IF(VLOOKUP(CONCATENATE($B11,AR$2),Database!$B:$E,4,0)="L",6,5),"")</f>
        <v/>
      </c>
      <c r="AS11" s="29" t="str">
        <f>IFERROR(IF(VLOOKUP(CONCATENATE($B11,AS$2),Database!$B:$E,4,0)="L",6,5),"")</f>
        <v/>
      </c>
      <c r="AT11" s="29" t="str">
        <f>IFERROR(IF(VLOOKUP(CONCATENATE($B11,AT$2),Database!$B:$E,4,0)="L",6,5),"")</f>
        <v/>
      </c>
      <c r="AU11" s="29" t="str">
        <f>IFERROR(IF(VLOOKUP(CONCATENATE($B11,AU$2),Database!$B:$E,4,0)="L",6,5),"")</f>
        <v/>
      </c>
      <c r="AV11" s="29" t="str">
        <f>IFERROR(IF(VLOOKUP(CONCATENATE($B11,AV$2),Database!$B:$E,4,0)="L",6,5),"")</f>
        <v/>
      </c>
      <c r="AW11" s="29" t="str">
        <f>IFERROR(IF(VLOOKUP(CONCATENATE($B11,AW$2),Database!$B:$E,4,0)="L",6,5),"")</f>
        <v/>
      </c>
      <c r="AX11" s="29" t="str">
        <f>IFERROR(IF(VLOOKUP(CONCATENATE($B11,AX$2),Database!$B:$E,4,0)="L",6,5),"")</f>
        <v/>
      </c>
      <c r="AY11" s="29" t="str">
        <f>IFERROR(IF(VLOOKUP(CONCATENATE($B11,AY$2),Database!$B:$E,4,0)="L",6,5),"")</f>
        <v/>
      </c>
      <c r="AZ11" s="29" t="str">
        <f>IFERROR(IF(VLOOKUP(CONCATENATE($B11,AZ$2),Database!$B:$E,4,0)="L",6,5),"")</f>
        <v/>
      </c>
      <c r="BA11" s="29" t="str">
        <f>IFERROR(IF(VLOOKUP(CONCATENATE($B11,BA$2),Database!$B:$E,4,0)="L",6,5),"")</f>
        <v/>
      </c>
      <c r="BB11" s="29" t="str">
        <f>IFERROR(IF(VLOOKUP(CONCATENATE($B11,BB$2),Database!$B:$E,4,0)="L",6,5),"")</f>
        <v/>
      </c>
      <c r="BC11" s="29" t="str">
        <f>IFERROR(IF(VLOOKUP(CONCATENATE($B11,BC$2),Database!$B:$E,4,0)="L",6,5),"")</f>
        <v/>
      </c>
      <c r="BD11" s="29" t="str">
        <f>IFERROR(IF(VLOOKUP(CONCATENATE($B11,BD$2),Database!$B:$E,4,0)="L",6,5),"")</f>
        <v/>
      </c>
      <c r="BE11" s="29" t="str">
        <f>IFERROR(IF(VLOOKUP(CONCATENATE($B11,BE$2),Database!$B:$E,4,0)="L",6,5),"")</f>
        <v/>
      </c>
      <c r="BF11" s="29" t="str">
        <f>IFERROR(IF(VLOOKUP(CONCATENATE($B11,BF$2),Database!$B:$E,4,0)="L",6,5),"")</f>
        <v/>
      </c>
      <c r="BG11" s="29" t="str">
        <f>IFERROR(IF(VLOOKUP(CONCATENATE($B11,BG$2),Database!$B:$E,4,0)="L",6,5),"")</f>
        <v/>
      </c>
      <c r="BH11" s="29" t="str">
        <f>IFERROR(IF(VLOOKUP(CONCATENATE($B11,BH$2),Database!$B:$E,4,0)="L",6,5),"")</f>
        <v/>
      </c>
      <c r="BI11" s="29" t="str">
        <f>IFERROR(IF(VLOOKUP(CONCATENATE($B11,BI$2),Database!$B:$E,4,0)="L",6,5),"")</f>
        <v/>
      </c>
      <c r="BJ11" s="29" t="str">
        <f>IFERROR(IF(VLOOKUP(CONCATENATE($B11,BJ$2),Database!$B:$E,4,0)="L",6,5),"")</f>
        <v/>
      </c>
      <c r="BK11" s="29" t="str">
        <f>IFERROR(IF(VLOOKUP(CONCATENATE($B11,BK$2),Database!$B:$E,4,0)="L",6,5),"")</f>
        <v/>
      </c>
      <c r="BL11" s="29" t="str">
        <f>IFERROR(IF(VLOOKUP(CONCATENATE($B11,BL$2),Database!$B:$E,4,0)="L",6,5),"")</f>
        <v/>
      </c>
      <c r="BM11" s="29" t="str">
        <f>IFERROR(IF(VLOOKUP(CONCATENATE($B11,BM$2),Database!$B:$E,4,0)="L",6,5),"")</f>
        <v/>
      </c>
      <c r="BN11" s="29" t="str">
        <f>IFERROR(IF(VLOOKUP(CONCATENATE($B11,BN$2),Database!$B:$E,4,0)="L",6,5),"")</f>
        <v/>
      </c>
      <c r="BO11" s="29" t="str">
        <f>IFERROR(IF(VLOOKUP(CONCATENATE($B11,BO$2),Database!$B:$E,4,0)="L",6,5),"")</f>
        <v/>
      </c>
      <c r="BP11" s="29" t="str">
        <f>IFERROR(IF(VLOOKUP(CONCATENATE($B11,BP$2),Database!$B:$E,4,0)="L",6,5),"")</f>
        <v/>
      </c>
      <c r="BQ11" s="29" t="str">
        <f>IFERROR(IF(VLOOKUP(CONCATENATE($B11,BQ$2),Database!$B:$E,4,0)="L",6,5),"")</f>
        <v/>
      </c>
      <c r="BR11" s="29" t="str">
        <f>IFERROR(IF(VLOOKUP(CONCATENATE($B11,BR$2),Database!$B:$E,4,0)="L",6,5),"")</f>
        <v/>
      </c>
      <c r="BS11" s="29" t="str">
        <f>IFERROR(IF(VLOOKUP(CONCATENATE($B11,BS$2),Database!$B:$E,4,0)="L",6,5),"")</f>
        <v/>
      </c>
      <c r="BT11" s="29" t="str">
        <f>IFERROR(IF(VLOOKUP(CONCATENATE($B11,BT$2),Database!$B:$E,4,0)="L",6,5),"")</f>
        <v/>
      </c>
      <c r="BU11" s="29" t="str">
        <f>IFERROR(IF(VLOOKUP(CONCATENATE($B11,BU$2),Database!$B:$E,4,0)="L",6,5),"")</f>
        <v/>
      </c>
      <c r="BV11" s="29" t="str">
        <f>IFERROR(IF(VLOOKUP(CONCATENATE($B11,BV$2),Database!$B:$E,4,0)="L",6,5),"")</f>
        <v/>
      </c>
      <c r="BW11" s="29" t="str">
        <f>IFERROR(IF(VLOOKUP(CONCATENATE($B11,BW$2),Database!$B:$E,4,0)="L",6,5),"")</f>
        <v/>
      </c>
      <c r="BX11" s="29" t="str">
        <f>IFERROR(IF(VLOOKUP(CONCATENATE($B11,BX$2),Database!$B:$E,4,0)="L",6,5),"")</f>
        <v/>
      </c>
      <c r="BY11" s="29" t="str">
        <f>IFERROR(IF(VLOOKUP(CONCATENATE($B11,BY$2),Database!$B:$E,4,0)="L",6,5),"")</f>
        <v/>
      </c>
      <c r="BZ11" s="29" t="str">
        <f>IFERROR(IF(VLOOKUP(CONCATENATE($B11,BZ$2),Database!$B:$E,4,0)="L",6,5),"")</f>
        <v/>
      </c>
    </row>
    <row r="12" spans="2:78" ht="14.3" hidden="1" x14ac:dyDescent="0.3">
      <c r="B12" s="19" t="s">
        <v>145</v>
      </c>
      <c r="C12" s="16">
        <f>COUNTIFS(Database!$D:$D,$B12,Database!$C:$C,"&gt;1/1/25")</f>
        <v>0</v>
      </c>
      <c r="D12" s="1">
        <f>COUNTIFS(Database!$D:$D,$B12,Database!$E:$E,"W",Database!$C:$C,"&gt;1/1/25")</f>
        <v>0</v>
      </c>
      <c r="E12" s="1">
        <f>COUNTIFS(Database!$D:$D,$B12,Database!$E:$E,"L",Database!$C:$C,"&gt;1/1/25")</f>
        <v>0</v>
      </c>
      <c r="F12" s="1">
        <f t="shared" si="1"/>
        <v>0</v>
      </c>
      <c r="G12" s="21" t="str">
        <f t="shared" si="2"/>
        <v>-</v>
      </c>
      <c r="H12" s="14" t="str">
        <f t="shared" si="3"/>
        <v>-</v>
      </c>
      <c r="J12" s="16">
        <f>COUNTIF(Database!$D:$D,$B12)</f>
        <v>3</v>
      </c>
      <c r="K12" s="1">
        <f>COUNTIFS(Database!$D:$D,$B12,Database!$E:$E,"W")</f>
        <v>1</v>
      </c>
      <c r="L12" s="1">
        <f>COUNTIFS(Database!$D:$D,$B12,Database!$E:$E,"L")</f>
        <v>2</v>
      </c>
      <c r="M12" s="1">
        <f t="shared" si="4"/>
        <v>-1</v>
      </c>
      <c r="N12" s="21">
        <f t="shared" si="5"/>
        <v>0.33333333333333331</v>
      </c>
      <c r="O12" s="14">
        <f t="shared" si="6"/>
        <v>0.66666666666666663</v>
      </c>
      <c r="Q12" s="28" t="str">
        <f>IFERROR(IF(VLOOKUP(CONCATENATE($B12,Q$2),Database!$B:$E,4,0)="L",6,5),"")</f>
        <v/>
      </c>
      <c r="R12" s="23" t="str">
        <f>IFERROR(IF(VLOOKUP(CONCATENATE($B12,R$2),Database!$B:$E,4,0)="L",6,5),"")</f>
        <v/>
      </c>
      <c r="S12" s="23">
        <f>IFERROR(IF(VLOOKUP(CONCATENATE($B12,S$2),Database!$B:$E,4,0)="L",6,5),"")</f>
        <v>6</v>
      </c>
      <c r="T12" s="23">
        <f>IFERROR(IF(VLOOKUP(CONCATENATE($B12,T$2),Database!$B:$E,4,0)="L",6,5),"")</f>
        <v>6</v>
      </c>
      <c r="U12" s="29">
        <f>IFERROR(IF(VLOOKUP(CONCATENATE($B12,U$2),Database!$B:$E,4,0)="L",6,5),"")</f>
        <v>5</v>
      </c>
      <c r="V12" s="55"/>
      <c r="W12" s="56"/>
      <c r="X12" s="63"/>
      <c r="Z12" s="63" t="str">
        <f t="shared" si="7"/>
        <v>N</v>
      </c>
      <c r="AB12" s="29">
        <f>IFERROR(IF(VLOOKUP(CONCATENATE($B12,AB$2),Database!$B:$E,4,0)="L",6,5),"")</f>
        <v>5</v>
      </c>
      <c r="AC12" s="29">
        <f>IFERROR(IF(VLOOKUP(CONCATENATE($B12,AC$2),Database!$B:$E,4,0)="L",6,5),"")</f>
        <v>6</v>
      </c>
      <c r="AD12" s="29">
        <f>IFERROR(IF(VLOOKUP(CONCATENATE($B12,AD$2),Database!$B:$E,4,0)="L",6,5),"")</f>
        <v>6</v>
      </c>
      <c r="AE12" s="29" t="str">
        <f>IFERROR(IF(VLOOKUP(CONCATENATE($B12,AE$2),Database!$B:$E,4,0)="L",6,5),"")</f>
        <v/>
      </c>
      <c r="AF12" s="29" t="str">
        <f>IFERROR(IF(VLOOKUP(CONCATENATE($B12,AF$2),Database!$B:$E,4,0)="L",6,5),"")</f>
        <v/>
      </c>
      <c r="AG12" s="29" t="str">
        <f>IFERROR(IF(VLOOKUP(CONCATENATE($B12,AG$2),Database!$B:$E,4,0)="L",6,5),"")</f>
        <v/>
      </c>
      <c r="AH12" s="29" t="str">
        <f>IFERROR(IF(VLOOKUP(CONCATENATE($B12,AH$2),Database!$B:$E,4,0)="L",6,5),"")</f>
        <v/>
      </c>
      <c r="AI12" s="29" t="str">
        <f>IFERROR(IF(VLOOKUP(CONCATENATE($B12,AI$2),Database!$B:$E,4,0)="L",6,5),"")</f>
        <v/>
      </c>
      <c r="AJ12" s="29" t="str">
        <f>IFERROR(IF(VLOOKUP(CONCATENATE($B12,AJ$2),Database!$B:$E,4,0)="L",6,5),"")</f>
        <v/>
      </c>
      <c r="AK12" s="29" t="str">
        <f>IFERROR(IF(VLOOKUP(CONCATENATE($B12,AK$2),Database!$B:$E,4,0)="L",6,5),"")</f>
        <v/>
      </c>
      <c r="AL12" s="29" t="str">
        <f>IFERROR(IF(VLOOKUP(CONCATENATE($B12,AL$2),Database!$B:$E,4,0)="L",6,5),"")</f>
        <v/>
      </c>
      <c r="AM12" s="29" t="str">
        <f>IFERROR(IF(VLOOKUP(CONCATENATE($B12,AM$2),Database!$B:$E,4,0)="L",6,5),"")</f>
        <v/>
      </c>
      <c r="AN12" s="29" t="str">
        <f>IFERROR(IF(VLOOKUP(CONCATENATE($B12,AN$2),Database!$B:$E,4,0)="L",6,5),"")</f>
        <v/>
      </c>
      <c r="AO12" s="29" t="str">
        <f>IFERROR(IF(VLOOKUP(CONCATENATE($B12,AO$2),Database!$B:$E,4,0)="L",6,5),"")</f>
        <v/>
      </c>
      <c r="AP12" s="29" t="str">
        <f>IFERROR(IF(VLOOKUP(CONCATENATE($B12,AP$2),Database!$B:$E,4,0)="L",6,5),"")</f>
        <v/>
      </c>
      <c r="AQ12" s="29" t="str">
        <f>IFERROR(IF(VLOOKUP(CONCATENATE($B12,AQ$2),Database!$B:$E,4,0)="L",6,5),"")</f>
        <v/>
      </c>
      <c r="AR12" s="29" t="str">
        <f>IFERROR(IF(VLOOKUP(CONCATENATE($B12,AR$2),Database!$B:$E,4,0)="L",6,5),"")</f>
        <v/>
      </c>
      <c r="AS12" s="29" t="str">
        <f>IFERROR(IF(VLOOKUP(CONCATENATE($B12,AS$2),Database!$B:$E,4,0)="L",6,5),"")</f>
        <v/>
      </c>
      <c r="AT12" s="29" t="str">
        <f>IFERROR(IF(VLOOKUP(CONCATENATE($B12,AT$2),Database!$B:$E,4,0)="L",6,5),"")</f>
        <v/>
      </c>
      <c r="AU12" s="29" t="str">
        <f>IFERROR(IF(VLOOKUP(CONCATENATE($B12,AU$2),Database!$B:$E,4,0)="L",6,5),"")</f>
        <v/>
      </c>
      <c r="AV12" s="29" t="str">
        <f>IFERROR(IF(VLOOKUP(CONCATENATE($B12,AV$2),Database!$B:$E,4,0)="L",6,5),"")</f>
        <v/>
      </c>
      <c r="AW12" s="29" t="str">
        <f>IFERROR(IF(VLOOKUP(CONCATENATE($B12,AW$2),Database!$B:$E,4,0)="L",6,5),"")</f>
        <v/>
      </c>
      <c r="AX12" s="29" t="str">
        <f>IFERROR(IF(VLOOKUP(CONCATENATE($B12,AX$2),Database!$B:$E,4,0)="L",6,5),"")</f>
        <v/>
      </c>
      <c r="AY12" s="29" t="str">
        <f>IFERROR(IF(VLOOKUP(CONCATENATE($B12,AY$2),Database!$B:$E,4,0)="L",6,5),"")</f>
        <v/>
      </c>
      <c r="AZ12" s="29" t="str">
        <f>IFERROR(IF(VLOOKUP(CONCATENATE($B12,AZ$2),Database!$B:$E,4,0)="L",6,5),"")</f>
        <v/>
      </c>
      <c r="BA12" s="29" t="str">
        <f>IFERROR(IF(VLOOKUP(CONCATENATE($B12,BA$2),Database!$B:$E,4,0)="L",6,5),"")</f>
        <v/>
      </c>
      <c r="BB12" s="29" t="str">
        <f>IFERROR(IF(VLOOKUP(CONCATENATE($B12,BB$2),Database!$B:$E,4,0)="L",6,5),"")</f>
        <v/>
      </c>
      <c r="BC12" s="29" t="str">
        <f>IFERROR(IF(VLOOKUP(CONCATENATE($B12,BC$2),Database!$B:$E,4,0)="L",6,5),"")</f>
        <v/>
      </c>
      <c r="BD12" s="29" t="str">
        <f>IFERROR(IF(VLOOKUP(CONCATENATE($B12,BD$2),Database!$B:$E,4,0)="L",6,5),"")</f>
        <v/>
      </c>
      <c r="BE12" s="29" t="str">
        <f>IFERROR(IF(VLOOKUP(CONCATENATE($B12,BE$2),Database!$B:$E,4,0)="L",6,5),"")</f>
        <v/>
      </c>
      <c r="BF12" s="29" t="str">
        <f>IFERROR(IF(VLOOKUP(CONCATENATE($B12,BF$2),Database!$B:$E,4,0)="L",6,5),"")</f>
        <v/>
      </c>
      <c r="BG12" s="29" t="str">
        <f>IFERROR(IF(VLOOKUP(CONCATENATE($B12,BG$2),Database!$B:$E,4,0)="L",6,5),"")</f>
        <v/>
      </c>
      <c r="BH12" s="29" t="str">
        <f>IFERROR(IF(VLOOKUP(CONCATENATE($B12,BH$2),Database!$B:$E,4,0)="L",6,5),"")</f>
        <v/>
      </c>
      <c r="BI12" s="29" t="str">
        <f>IFERROR(IF(VLOOKUP(CONCATENATE($B12,BI$2),Database!$B:$E,4,0)="L",6,5),"")</f>
        <v/>
      </c>
      <c r="BJ12" s="29" t="str">
        <f>IFERROR(IF(VLOOKUP(CONCATENATE($B12,BJ$2),Database!$B:$E,4,0)="L",6,5),"")</f>
        <v/>
      </c>
      <c r="BK12" s="29" t="str">
        <f>IFERROR(IF(VLOOKUP(CONCATENATE($B12,BK$2),Database!$B:$E,4,0)="L",6,5),"")</f>
        <v/>
      </c>
      <c r="BL12" s="29" t="str">
        <f>IFERROR(IF(VLOOKUP(CONCATENATE($B12,BL$2),Database!$B:$E,4,0)="L",6,5),"")</f>
        <v/>
      </c>
      <c r="BM12" s="29" t="str">
        <f>IFERROR(IF(VLOOKUP(CONCATENATE($B12,BM$2),Database!$B:$E,4,0)="L",6,5),"")</f>
        <v/>
      </c>
      <c r="BN12" s="29" t="str">
        <f>IFERROR(IF(VLOOKUP(CONCATENATE($B12,BN$2),Database!$B:$E,4,0)="L",6,5),"")</f>
        <v/>
      </c>
      <c r="BO12" s="29" t="str">
        <f>IFERROR(IF(VLOOKUP(CONCATENATE($B12,BO$2),Database!$B:$E,4,0)="L",6,5),"")</f>
        <v/>
      </c>
      <c r="BP12" s="29" t="str">
        <f>IFERROR(IF(VLOOKUP(CONCATENATE($B12,BP$2),Database!$B:$E,4,0)="L",6,5),"")</f>
        <v/>
      </c>
      <c r="BQ12" s="29" t="str">
        <f>IFERROR(IF(VLOOKUP(CONCATENATE($B12,BQ$2),Database!$B:$E,4,0)="L",6,5),"")</f>
        <v/>
      </c>
      <c r="BR12" s="29" t="str">
        <f>IFERROR(IF(VLOOKUP(CONCATENATE($B12,BR$2),Database!$B:$E,4,0)="L",6,5),"")</f>
        <v/>
      </c>
      <c r="BS12" s="29" t="str">
        <f>IFERROR(IF(VLOOKUP(CONCATENATE($B12,BS$2),Database!$B:$E,4,0)="L",6,5),"")</f>
        <v/>
      </c>
      <c r="BT12" s="29" t="str">
        <f>IFERROR(IF(VLOOKUP(CONCATENATE($B12,BT$2),Database!$B:$E,4,0)="L",6,5),"")</f>
        <v/>
      </c>
      <c r="BU12" s="29" t="str">
        <f>IFERROR(IF(VLOOKUP(CONCATENATE($B12,BU$2),Database!$B:$E,4,0)="L",6,5),"")</f>
        <v/>
      </c>
      <c r="BV12" s="29" t="str">
        <f>IFERROR(IF(VLOOKUP(CONCATENATE($B12,BV$2),Database!$B:$E,4,0)="L",6,5),"")</f>
        <v/>
      </c>
      <c r="BW12" s="29" t="str">
        <f>IFERROR(IF(VLOOKUP(CONCATENATE($B12,BW$2),Database!$B:$E,4,0)="L",6,5),"")</f>
        <v/>
      </c>
      <c r="BX12" s="29" t="str">
        <f>IFERROR(IF(VLOOKUP(CONCATENATE($B12,BX$2),Database!$B:$E,4,0)="L",6,5),"")</f>
        <v/>
      </c>
      <c r="BY12" s="29" t="str">
        <f>IFERROR(IF(VLOOKUP(CONCATENATE($B12,BY$2),Database!$B:$E,4,0)="L",6,5),"")</f>
        <v/>
      </c>
      <c r="BZ12" s="29" t="str">
        <f>IFERROR(IF(VLOOKUP(CONCATENATE($B12,BZ$2),Database!$B:$E,4,0)="L",6,5),"")</f>
        <v/>
      </c>
    </row>
    <row r="13" spans="2:78" ht="14.3" hidden="1" x14ac:dyDescent="0.3">
      <c r="B13" s="19" t="s">
        <v>146</v>
      </c>
      <c r="C13" s="16">
        <f>COUNTIFS(Database!$D:$D,$B13,Database!$C:$C,"&gt;1/1/25")</f>
        <v>0</v>
      </c>
      <c r="D13" s="1">
        <f>COUNTIFS(Database!$D:$D,$B13,Database!$E:$E,"W",Database!$C:$C,"&gt;1/1/25")</f>
        <v>0</v>
      </c>
      <c r="E13" s="1">
        <f>COUNTIFS(Database!$D:$D,$B13,Database!$E:$E,"L",Database!$C:$C,"&gt;1/1/25")</f>
        <v>0</v>
      </c>
      <c r="F13" s="1">
        <f t="shared" si="1"/>
        <v>0</v>
      </c>
      <c r="G13" s="21" t="str">
        <f t="shared" si="2"/>
        <v>-</v>
      </c>
      <c r="H13" s="14" t="str">
        <f t="shared" si="3"/>
        <v>-</v>
      </c>
      <c r="J13" s="16">
        <f>COUNTIF(Database!$D:$D,$B13)</f>
        <v>4</v>
      </c>
      <c r="K13" s="1">
        <f>COUNTIFS(Database!$D:$D,$B13,Database!$E:$E,"W")</f>
        <v>1</v>
      </c>
      <c r="L13" s="1">
        <f>COUNTIFS(Database!$D:$D,$B13,Database!$E:$E,"L")</f>
        <v>3</v>
      </c>
      <c r="M13" s="1">
        <f t="shared" si="4"/>
        <v>-2</v>
      </c>
      <c r="N13" s="21">
        <f t="shared" si="5"/>
        <v>0.25</v>
      </c>
      <c r="O13" s="14">
        <f t="shared" si="6"/>
        <v>0.75</v>
      </c>
      <c r="Q13" s="28" t="str">
        <f>IFERROR(IF(VLOOKUP(CONCATENATE($B13,Q$2),Database!$B:$E,4,0)="L",6,5),"")</f>
        <v/>
      </c>
      <c r="R13" s="23">
        <f>IFERROR(IF(VLOOKUP(CONCATENATE($B13,R$2),Database!$B:$E,4,0)="L",6,5),"")</f>
        <v>5</v>
      </c>
      <c r="S13" s="23">
        <f>IFERROR(IF(VLOOKUP(CONCATENATE($B13,S$2),Database!$B:$E,4,0)="L",6,5),"")</f>
        <v>6</v>
      </c>
      <c r="T13" s="23">
        <f>IFERROR(IF(VLOOKUP(CONCATENATE($B13,T$2),Database!$B:$E,4,0)="L",6,5),"")</f>
        <v>6</v>
      </c>
      <c r="U13" s="29">
        <f>IFERROR(IF(VLOOKUP(CONCATENATE($B13,U$2),Database!$B:$E,4,0)="L",6,5),"")</f>
        <v>6</v>
      </c>
      <c r="V13" s="54"/>
      <c r="W13" s="57"/>
      <c r="X13" s="63"/>
      <c r="Z13" s="63" t="str">
        <f t="shared" si="7"/>
        <v>N</v>
      </c>
      <c r="AB13" s="29">
        <f>IFERROR(IF(VLOOKUP(CONCATENATE($B13,AB$2),Database!$B:$E,4,0)="L",6,5),"")</f>
        <v>6</v>
      </c>
      <c r="AC13" s="29">
        <f>IFERROR(IF(VLOOKUP(CONCATENATE($B13,AC$2),Database!$B:$E,4,0)="L",6,5),"")</f>
        <v>6</v>
      </c>
      <c r="AD13" s="29">
        <f>IFERROR(IF(VLOOKUP(CONCATENATE($B13,AD$2),Database!$B:$E,4,0)="L",6,5),"")</f>
        <v>6</v>
      </c>
      <c r="AE13" s="29">
        <f>IFERROR(IF(VLOOKUP(CONCATENATE($B13,AE$2),Database!$B:$E,4,0)="L",6,5),"")</f>
        <v>5</v>
      </c>
      <c r="AF13" s="29" t="str">
        <f>IFERROR(IF(VLOOKUP(CONCATENATE($B13,AF$2),Database!$B:$E,4,0)="L",6,5),"")</f>
        <v/>
      </c>
      <c r="AG13" s="29" t="str">
        <f>IFERROR(IF(VLOOKUP(CONCATENATE($B13,AG$2),Database!$B:$E,4,0)="L",6,5),"")</f>
        <v/>
      </c>
      <c r="AH13" s="29" t="str">
        <f>IFERROR(IF(VLOOKUP(CONCATENATE($B13,AH$2),Database!$B:$E,4,0)="L",6,5),"")</f>
        <v/>
      </c>
      <c r="AI13" s="29" t="str">
        <f>IFERROR(IF(VLOOKUP(CONCATENATE($B13,AI$2),Database!$B:$E,4,0)="L",6,5),"")</f>
        <v/>
      </c>
      <c r="AJ13" s="29" t="str">
        <f>IFERROR(IF(VLOOKUP(CONCATENATE($B13,AJ$2),Database!$B:$E,4,0)="L",6,5),"")</f>
        <v/>
      </c>
      <c r="AK13" s="29" t="str">
        <f>IFERROR(IF(VLOOKUP(CONCATENATE($B13,AK$2),Database!$B:$E,4,0)="L",6,5),"")</f>
        <v/>
      </c>
      <c r="AL13" s="29" t="str">
        <f>IFERROR(IF(VLOOKUP(CONCATENATE($B13,AL$2),Database!$B:$E,4,0)="L",6,5),"")</f>
        <v/>
      </c>
      <c r="AM13" s="29" t="str">
        <f>IFERROR(IF(VLOOKUP(CONCATENATE($B13,AM$2),Database!$B:$E,4,0)="L",6,5),"")</f>
        <v/>
      </c>
      <c r="AN13" s="29" t="str">
        <f>IFERROR(IF(VLOOKUP(CONCATENATE($B13,AN$2),Database!$B:$E,4,0)="L",6,5),"")</f>
        <v/>
      </c>
      <c r="AO13" s="29" t="str">
        <f>IFERROR(IF(VLOOKUP(CONCATENATE($B13,AO$2),Database!$B:$E,4,0)="L",6,5),"")</f>
        <v/>
      </c>
      <c r="AP13" s="29" t="str">
        <f>IFERROR(IF(VLOOKUP(CONCATENATE($B13,AP$2),Database!$B:$E,4,0)="L",6,5),"")</f>
        <v/>
      </c>
      <c r="AQ13" s="29" t="str">
        <f>IFERROR(IF(VLOOKUP(CONCATENATE($B13,AQ$2),Database!$B:$E,4,0)="L",6,5),"")</f>
        <v/>
      </c>
      <c r="AR13" s="29" t="str">
        <f>IFERROR(IF(VLOOKUP(CONCATENATE($B13,AR$2),Database!$B:$E,4,0)="L",6,5),"")</f>
        <v/>
      </c>
      <c r="AS13" s="29" t="str">
        <f>IFERROR(IF(VLOOKUP(CONCATENATE($B13,AS$2),Database!$B:$E,4,0)="L",6,5),"")</f>
        <v/>
      </c>
      <c r="AT13" s="29" t="str">
        <f>IFERROR(IF(VLOOKUP(CONCATENATE($B13,AT$2),Database!$B:$E,4,0)="L",6,5),"")</f>
        <v/>
      </c>
      <c r="AU13" s="29" t="str">
        <f>IFERROR(IF(VLOOKUP(CONCATENATE($B13,AU$2),Database!$B:$E,4,0)="L",6,5),"")</f>
        <v/>
      </c>
      <c r="AV13" s="29" t="str">
        <f>IFERROR(IF(VLOOKUP(CONCATENATE($B13,AV$2),Database!$B:$E,4,0)="L",6,5),"")</f>
        <v/>
      </c>
      <c r="AW13" s="29" t="str">
        <f>IFERROR(IF(VLOOKUP(CONCATENATE($B13,AW$2),Database!$B:$E,4,0)="L",6,5),"")</f>
        <v/>
      </c>
      <c r="AX13" s="29" t="str">
        <f>IFERROR(IF(VLOOKUP(CONCATENATE($B13,AX$2),Database!$B:$E,4,0)="L",6,5),"")</f>
        <v/>
      </c>
      <c r="AY13" s="29" t="str">
        <f>IFERROR(IF(VLOOKUP(CONCATENATE($B13,AY$2),Database!$B:$E,4,0)="L",6,5),"")</f>
        <v/>
      </c>
      <c r="AZ13" s="29" t="str">
        <f>IFERROR(IF(VLOOKUP(CONCATENATE($B13,AZ$2),Database!$B:$E,4,0)="L",6,5),"")</f>
        <v/>
      </c>
      <c r="BA13" s="29" t="str">
        <f>IFERROR(IF(VLOOKUP(CONCATENATE($B13,BA$2),Database!$B:$E,4,0)="L",6,5),"")</f>
        <v/>
      </c>
      <c r="BB13" s="29" t="str">
        <f>IFERROR(IF(VLOOKUP(CONCATENATE($B13,BB$2),Database!$B:$E,4,0)="L",6,5),"")</f>
        <v/>
      </c>
      <c r="BC13" s="29" t="str">
        <f>IFERROR(IF(VLOOKUP(CONCATENATE($B13,BC$2),Database!$B:$E,4,0)="L",6,5),"")</f>
        <v/>
      </c>
      <c r="BD13" s="29" t="str">
        <f>IFERROR(IF(VLOOKUP(CONCATENATE($B13,BD$2),Database!$B:$E,4,0)="L",6,5),"")</f>
        <v/>
      </c>
      <c r="BE13" s="29" t="str">
        <f>IFERROR(IF(VLOOKUP(CONCATENATE($B13,BE$2),Database!$B:$E,4,0)="L",6,5),"")</f>
        <v/>
      </c>
      <c r="BF13" s="29" t="str">
        <f>IFERROR(IF(VLOOKUP(CONCATENATE($B13,BF$2),Database!$B:$E,4,0)="L",6,5),"")</f>
        <v/>
      </c>
      <c r="BG13" s="29" t="str">
        <f>IFERROR(IF(VLOOKUP(CONCATENATE($B13,BG$2),Database!$B:$E,4,0)="L",6,5),"")</f>
        <v/>
      </c>
      <c r="BH13" s="29" t="str">
        <f>IFERROR(IF(VLOOKUP(CONCATENATE($B13,BH$2),Database!$B:$E,4,0)="L",6,5),"")</f>
        <v/>
      </c>
      <c r="BI13" s="29" t="str">
        <f>IFERROR(IF(VLOOKUP(CONCATENATE($B13,BI$2),Database!$B:$E,4,0)="L",6,5),"")</f>
        <v/>
      </c>
      <c r="BJ13" s="29" t="str">
        <f>IFERROR(IF(VLOOKUP(CONCATENATE($B13,BJ$2),Database!$B:$E,4,0)="L",6,5),"")</f>
        <v/>
      </c>
      <c r="BK13" s="29" t="str">
        <f>IFERROR(IF(VLOOKUP(CONCATENATE($B13,BK$2),Database!$B:$E,4,0)="L",6,5),"")</f>
        <v/>
      </c>
      <c r="BL13" s="29" t="str">
        <f>IFERROR(IF(VLOOKUP(CONCATENATE($B13,BL$2),Database!$B:$E,4,0)="L",6,5),"")</f>
        <v/>
      </c>
      <c r="BM13" s="29" t="str">
        <f>IFERROR(IF(VLOOKUP(CONCATENATE($B13,BM$2),Database!$B:$E,4,0)="L",6,5),"")</f>
        <v/>
      </c>
      <c r="BN13" s="29" t="str">
        <f>IFERROR(IF(VLOOKUP(CONCATENATE($B13,BN$2),Database!$B:$E,4,0)="L",6,5),"")</f>
        <v/>
      </c>
      <c r="BO13" s="29" t="str">
        <f>IFERROR(IF(VLOOKUP(CONCATENATE($B13,BO$2),Database!$B:$E,4,0)="L",6,5),"")</f>
        <v/>
      </c>
      <c r="BP13" s="29" t="str">
        <f>IFERROR(IF(VLOOKUP(CONCATENATE($B13,BP$2),Database!$B:$E,4,0)="L",6,5),"")</f>
        <v/>
      </c>
      <c r="BQ13" s="29" t="str">
        <f>IFERROR(IF(VLOOKUP(CONCATENATE($B13,BQ$2),Database!$B:$E,4,0)="L",6,5),"")</f>
        <v/>
      </c>
      <c r="BR13" s="29" t="str">
        <f>IFERROR(IF(VLOOKUP(CONCATENATE($B13,BR$2),Database!$B:$E,4,0)="L",6,5),"")</f>
        <v/>
      </c>
      <c r="BS13" s="29" t="str">
        <f>IFERROR(IF(VLOOKUP(CONCATENATE($B13,BS$2),Database!$B:$E,4,0)="L",6,5),"")</f>
        <v/>
      </c>
      <c r="BT13" s="29" t="str">
        <f>IFERROR(IF(VLOOKUP(CONCATENATE($B13,BT$2),Database!$B:$E,4,0)="L",6,5),"")</f>
        <v/>
      </c>
      <c r="BU13" s="29" t="str">
        <f>IFERROR(IF(VLOOKUP(CONCATENATE($B13,BU$2),Database!$B:$E,4,0)="L",6,5),"")</f>
        <v/>
      </c>
      <c r="BV13" s="29" t="str">
        <f>IFERROR(IF(VLOOKUP(CONCATENATE($B13,BV$2),Database!$B:$E,4,0)="L",6,5),"")</f>
        <v/>
      </c>
      <c r="BW13" s="29" t="str">
        <f>IFERROR(IF(VLOOKUP(CONCATENATE($B13,BW$2),Database!$B:$E,4,0)="L",6,5),"")</f>
        <v/>
      </c>
      <c r="BX13" s="29" t="str">
        <f>IFERROR(IF(VLOOKUP(CONCATENATE($B13,BX$2),Database!$B:$E,4,0)="L",6,5),"")</f>
        <v/>
      </c>
      <c r="BY13" s="29" t="str">
        <f>IFERROR(IF(VLOOKUP(CONCATENATE($B13,BY$2),Database!$B:$E,4,0)="L",6,5),"")</f>
        <v/>
      </c>
      <c r="BZ13" s="29" t="str">
        <f>IFERROR(IF(VLOOKUP(CONCATENATE($B13,BZ$2),Database!$B:$E,4,0)="L",6,5),"")</f>
        <v/>
      </c>
    </row>
    <row r="14" spans="2:78" ht="14.3" hidden="1" x14ac:dyDescent="0.3">
      <c r="B14" s="19" t="s">
        <v>50</v>
      </c>
      <c r="C14" s="16">
        <f>COUNTIFS(Database!$D:$D,$B14,Database!$C:$C,"&gt;1/1/25")</f>
        <v>0</v>
      </c>
      <c r="D14" s="1">
        <f>COUNTIFS(Database!$D:$D,$B14,Database!$E:$E,"W",Database!$C:$C,"&gt;1/1/25")</f>
        <v>0</v>
      </c>
      <c r="E14" s="1">
        <f>COUNTIFS(Database!$D:$D,$B14,Database!$E:$E,"L",Database!$C:$C,"&gt;1/1/25")</f>
        <v>0</v>
      </c>
      <c r="F14" s="1">
        <f t="shared" si="1"/>
        <v>0</v>
      </c>
      <c r="G14" s="21" t="str">
        <f t="shared" si="2"/>
        <v>-</v>
      </c>
      <c r="H14" s="14" t="str">
        <f t="shared" si="3"/>
        <v>-</v>
      </c>
      <c r="J14" s="16">
        <f>COUNTIF(Database!$D:$D,$B14)</f>
        <v>4</v>
      </c>
      <c r="K14" s="1">
        <f>COUNTIFS(Database!$D:$D,$B14,Database!$E:$E,"W")</f>
        <v>1</v>
      </c>
      <c r="L14" s="1">
        <f>COUNTIFS(Database!$D:$D,$B14,Database!$E:$E,"L")</f>
        <v>3</v>
      </c>
      <c r="M14" s="1">
        <f t="shared" si="4"/>
        <v>-2</v>
      </c>
      <c r="N14" s="21">
        <f t="shared" si="5"/>
        <v>0.25</v>
      </c>
      <c r="O14" s="14">
        <f t="shared" si="6"/>
        <v>0.75</v>
      </c>
      <c r="Q14" s="28" t="str">
        <f>IFERROR(IF(VLOOKUP(CONCATENATE($B14,Q$2),Database!$B:$E,4,0)="L",6,5),"")</f>
        <v/>
      </c>
      <c r="R14" s="23">
        <f>IFERROR(IF(VLOOKUP(CONCATENATE($B14,R$2),Database!$B:$E,4,0)="L",6,5),"")</f>
        <v>5</v>
      </c>
      <c r="S14" s="23">
        <f>IFERROR(IF(VLOOKUP(CONCATENATE($B14,S$2),Database!$B:$E,4,0)="L",6,5),"")</f>
        <v>6</v>
      </c>
      <c r="T14" s="23">
        <f>IFERROR(IF(VLOOKUP(CONCATENATE($B14,T$2),Database!$B:$E,4,0)="L",6,5),"")</f>
        <v>6</v>
      </c>
      <c r="U14" s="29">
        <f>IFERROR(IF(VLOOKUP(CONCATENATE($B14,U$2),Database!$B:$E,4,0)="L",6,5),"")</f>
        <v>6</v>
      </c>
      <c r="V14" s="54"/>
      <c r="W14" s="62"/>
      <c r="X14" s="63"/>
      <c r="Z14" s="63" t="str">
        <f t="shared" si="7"/>
        <v>N</v>
      </c>
      <c r="AB14" s="29">
        <f>IFERROR(IF(VLOOKUP(CONCATENATE($B14,AB$2),Database!$B:$E,4,0)="L",6,5),"")</f>
        <v>6</v>
      </c>
      <c r="AC14" s="29">
        <f>IFERROR(IF(VLOOKUP(CONCATENATE($B14,AC$2),Database!$B:$E,4,0)="L",6,5),"")</f>
        <v>6</v>
      </c>
      <c r="AD14" s="29">
        <f>IFERROR(IF(VLOOKUP(CONCATENATE($B14,AD$2),Database!$B:$E,4,0)="L",6,5),"")</f>
        <v>6</v>
      </c>
      <c r="AE14" s="29">
        <f>IFERROR(IF(VLOOKUP(CONCATENATE($B14,AE$2),Database!$B:$E,4,0)="L",6,5),"")</f>
        <v>5</v>
      </c>
      <c r="AF14" s="29" t="str">
        <f>IFERROR(IF(VLOOKUP(CONCATENATE($B14,AF$2),Database!$B:$E,4,0)="L",6,5),"")</f>
        <v/>
      </c>
      <c r="AG14" s="29" t="str">
        <f>IFERROR(IF(VLOOKUP(CONCATENATE($B14,AG$2),Database!$B:$E,4,0)="L",6,5),"")</f>
        <v/>
      </c>
      <c r="AH14" s="29" t="str">
        <f>IFERROR(IF(VLOOKUP(CONCATENATE($B14,AH$2),Database!$B:$E,4,0)="L",6,5),"")</f>
        <v/>
      </c>
      <c r="AI14" s="29" t="str">
        <f>IFERROR(IF(VLOOKUP(CONCATENATE($B14,AI$2),Database!$B:$E,4,0)="L",6,5),"")</f>
        <v/>
      </c>
      <c r="AJ14" s="29" t="str">
        <f>IFERROR(IF(VLOOKUP(CONCATENATE($B14,AJ$2),Database!$B:$E,4,0)="L",6,5),"")</f>
        <v/>
      </c>
      <c r="AK14" s="29" t="str">
        <f>IFERROR(IF(VLOOKUP(CONCATENATE($B14,AK$2),Database!$B:$E,4,0)="L",6,5),"")</f>
        <v/>
      </c>
      <c r="AL14" s="29" t="str">
        <f>IFERROR(IF(VLOOKUP(CONCATENATE($B14,AL$2),Database!$B:$E,4,0)="L",6,5),"")</f>
        <v/>
      </c>
      <c r="AM14" s="29" t="str">
        <f>IFERROR(IF(VLOOKUP(CONCATENATE($B14,AM$2),Database!$B:$E,4,0)="L",6,5),"")</f>
        <v/>
      </c>
      <c r="AN14" s="29" t="str">
        <f>IFERROR(IF(VLOOKUP(CONCATENATE($B14,AN$2),Database!$B:$E,4,0)="L",6,5),"")</f>
        <v/>
      </c>
      <c r="AO14" s="29" t="str">
        <f>IFERROR(IF(VLOOKUP(CONCATENATE($B14,AO$2),Database!$B:$E,4,0)="L",6,5),"")</f>
        <v/>
      </c>
      <c r="AP14" s="29" t="str">
        <f>IFERROR(IF(VLOOKUP(CONCATENATE($B14,AP$2),Database!$B:$E,4,0)="L",6,5),"")</f>
        <v/>
      </c>
      <c r="AQ14" s="29" t="str">
        <f>IFERROR(IF(VLOOKUP(CONCATENATE($B14,AQ$2),Database!$B:$E,4,0)="L",6,5),"")</f>
        <v/>
      </c>
      <c r="AR14" s="29" t="str">
        <f>IFERROR(IF(VLOOKUP(CONCATENATE($B14,AR$2),Database!$B:$E,4,0)="L",6,5),"")</f>
        <v/>
      </c>
      <c r="AS14" s="29" t="str">
        <f>IFERROR(IF(VLOOKUP(CONCATENATE($B14,AS$2),Database!$B:$E,4,0)="L",6,5),"")</f>
        <v/>
      </c>
      <c r="AT14" s="29" t="str">
        <f>IFERROR(IF(VLOOKUP(CONCATENATE($B14,AT$2),Database!$B:$E,4,0)="L",6,5),"")</f>
        <v/>
      </c>
      <c r="AU14" s="29" t="str">
        <f>IFERROR(IF(VLOOKUP(CONCATENATE($B14,AU$2),Database!$B:$E,4,0)="L",6,5),"")</f>
        <v/>
      </c>
      <c r="AV14" s="29" t="str">
        <f>IFERROR(IF(VLOOKUP(CONCATENATE($B14,AV$2),Database!$B:$E,4,0)="L",6,5),"")</f>
        <v/>
      </c>
      <c r="AW14" s="29" t="str">
        <f>IFERROR(IF(VLOOKUP(CONCATENATE($B14,AW$2),Database!$B:$E,4,0)="L",6,5),"")</f>
        <v/>
      </c>
      <c r="AX14" s="29" t="str">
        <f>IFERROR(IF(VLOOKUP(CONCATENATE($B14,AX$2),Database!$B:$E,4,0)="L",6,5),"")</f>
        <v/>
      </c>
      <c r="AY14" s="29" t="str">
        <f>IFERROR(IF(VLOOKUP(CONCATENATE($B14,AY$2),Database!$B:$E,4,0)="L",6,5),"")</f>
        <v/>
      </c>
      <c r="AZ14" s="29" t="str">
        <f>IFERROR(IF(VLOOKUP(CONCATENATE($B14,AZ$2),Database!$B:$E,4,0)="L",6,5),"")</f>
        <v/>
      </c>
      <c r="BA14" s="29" t="str">
        <f>IFERROR(IF(VLOOKUP(CONCATENATE($B14,BA$2),Database!$B:$E,4,0)="L",6,5),"")</f>
        <v/>
      </c>
      <c r="BB14" s="29" t="str">
        <f>IFERROR(IF(VLOOKUP(CONCATENATE($B14,BB$2),Database!$B:$E,4,0)="L",6,5),"")</f>
        <v/>
      </c>
      <c r="BC14" s="29" t="str">
        <f>IFERROR(IF(VLOOKUP(CONCATENATE($B14,BC$2),Database!$B:$E,4,0)="L",6,5),"")</f>
        <v/>
      </c>
      <c r="BD14" s="29" t="str">
        <f>IFERROR(IF(VLOOKUP(CONCATENATE($B14,BD$2),Database!$B:$E,4,0)="L",6,5),"")</f>
        <v/>
      </c>
      <c r="BE14" s="29" t="str">
        <f>IFERROR(IF(VLOOKUP(CONCATENATE($B14,BE$2),Database!$B:$E,4,0)="L",6,5),"")</f>
        <v/>
      </c>
      <c r="BF14" s="29" t="str">
        <f>IFERROR(IF(VLOOKUP(CONCATENATE($B14,BF$2),Database!$B:$E,4,0)="L",6,5),"")</f>
        <v/>
      </c>
      <c r="BG14" s="29" t="str">
        <f>IFERROR(IF(VLOOKUP(CONCATENATE($B14,BG$2),Database!$B:$E,4,0)="L",6,5),"")</f>
        <v/>
      </c>
      <c r="BH14" s="29" t="str">
        <f>IFERROR(IF(VLOOKUP(CONCATENATE($B14,BH$2),Database!$B:$E,4,0)="L",6,5),"")</f>
        <v/>
      </c>
      <c r="BI14" s="29" t="str">
        <f>IFERROR(IF(VLOOKUP(CONCATENATE($B14,BI$2),Database!$B:$E,4,0)="L",6,5),"")</f>
        <v/>
      </c>
      <c r="BJ14" s="29" t="str">
        <f>IFERROR(IF(VLOOKUP(CONCATENATE($B14,BJ$2),Database!$B:$E,4,0)="L",6,5),"")</f>
        <v/>
      </c>
      <c r="BK14" s="29" t="str">
        <f>IFERROR(IF(VLOOKUP(CONCATENATE($B14,BK$2),Database!$B:$E,4,0)="L",6,5),"")</f>
        <v/>
      </c>
      <c r="BL14" s="29" t="str">
        <f>IFERROR(IF(VLOOKUP(CONCATENATE($B14,BL$2),Database!$B:$E,4,0)="L",6,5),"")</f>
        <v/>
      </c>
      <c r="BM14" s="29" t="str">
        <f>IFERROR(IF(VLOOKUP(CONCATENATE($B14,BM$2),Database!$B:$E,4,0)="L",6,5),"")</f>
        <v/>
      </c>
      <c r="BN14" s="29" t="str">
        <f>IFERROR(IF(VLOOKUP(CONCATENATE($B14,BN$2),Database!$B:$E,4,0)="L",6,5),"")</f>
        <v/>
      </c>
      <c r="BO14" s="29" t="str">
        <f>IFERROR(IF(VLOOKUP(CONCATENATE($B14,BO$2),Database!$B:$E,4,0)="L",6,5),"")</f>
        <v/>
      </c>
      <c r="BP14" s="29" t="str">
        <f>IFERROR(IF(VLOOKUP(CONCATENATE($B14,BP$2),Database!$B:$E,4,0)="L",6,5),"")</f>
        <v/>
      </c>
      <c r="BQ14" s="29" t="str">
        <f>IFERROR(IF(VLOOKUP(CONCATENATE($B14,BQ$2),Database!$B:$E,4,0)="L",6,5),"")</f>
        <v/>
      </c>
      <c r="BR14" s="29" t="str">
        <f>IFERROR(IF(VLOOKUP(CONCATENATE($B14,BR$2),Database!$B:$E,4,0)="L",6,5),"")</f>
        <v/>
      </c>
      <c r="BS14" s="29" t="str">
        <f>IFERROR(IF(VLOOKUP(CONCATENATE($B14,BS$2),Database!$B:$E,4,0)="L",6,5),"")</f>
        <v/>
      </c>
      <c r="BT14" s="29" t="str">
        <f>IFERROR(IF(VLOOKUP(CONCATENATE($B14,BT$2),Database!$B:$E,4,0)="L",6,5),"")</f>
        <v/>
      </c>
      <c r="BU14" s="29" t="str">
        <f>IFERROR(IF(VLOOKUP(CONCATENATE($B14,BU$2),Database!$B:$E,4,0)="L",6,5),"")</f>
        <v/>
      </c>
      <c r="BV14" s="29" t="str">
        <f>IFERROR(IF(VLOOKUP(CONCATENATE($B14,BV$2),Database!$B:$E,4,0)="L",6,5),"")</f>
        <v/>
      </c>
      <c r="BW14" s="29" t="str">
        <f>IFERROR(IF(VLOOKUP(CONCATENATE($B14,BW$2),Database!$B:$E,4,0)="L",6,5),"")</f>
        <v/>
      </c>
      <c r="BX14" s="29" t="str">
        <f>IFERROR(IF(VLOOKUP(CONCATENATE($B14,BX$2),Database!$B:$E,4,0)="L",6,5),"")</f>
        <v/>
      </c>
      <c r="BY14" s="29" t="str">
        <f>IFERROR(IF(VLOOKUP(CONCATENATE($B14,BY$2),Database!$B:$E,4,0)="L",6,5),"")</f>
        <v/>
      </c>
      <c r="BZ14" s="29" t="str">
        <f>IFERROR(IF(VLOOKUP(CONCATENATE($B14,BZ$2),Database!$B:$E,4,0)="L",6,5),"")</f>
        <v/>
      </c>
    </row>
    <row r="15" spans="2:78" ht="14.3" hidden="1" x14ac:dyDescent="0.3">
      <c r="B15" s="19" t="s">
        <v>29</v>
      </c>
      <c r="C15" s="16">
        <f>COUNTIFS(Database!$D:$D,$B15,Database!$C:$C,"&gt;1/1/25")</f>
        <v>0</v>
      </c>
      <c r="D15" s="1">
        <f>COUNTIFS(Database!$D:$D,$B15,Database!$E:$E,"W",Database!$C:$C,"&gt;1/1/25")</f>
        <v>0</v>
      </c>
      <c r="E15" s="1">
        <f>COUNTIFS(Database!$D:$D,$B15,Database!$E:$E,"L",Database!$C:$C,"&gt;1/1/25")</f>
        <v>0</v>
      </c>
      <c r="F15" s="1">
        <f t="shared" si="1"/>
        <v>0</v>
      </c>
      <c r="G15" s="21" t="str">
        <f t="shared" si="2"/>
        <v>-</v>
      </c>
      <c r="H15" s="14" t="str">
        <f t="shared" si="3"/>
        <v>-</v>
      </c>
      <c r="J15" s="16">
        <f>COUNTIF(Database!$D:$D,$B15)</f>
        <v>3</v>
      </c>
      <c r="K15" s="1">
        <f>COUNTIFS(Database!$D:$D,$B15,Database!$E:$E,"W")</f>
        <v>0</v>
      </c>
      <c r="L15" s="1">
        <f>COUNTIFS(Database!$D:$D,$B15,Database!$E:$E,"L")</f>
        <v>3</v>
      </c>
      <c r="M15" s="1">
        <f t="shared" si="4"/>
        <v>-3</v>
      </c>
      <c r="N15" s="21">
        <f t="shared" si="5"/>
        <v>0</v>
      </c>
      <c r="O15" s="14">
        <f t="shared" si="6"/>
        <v>1</v>
      </c>
      <c r="Q15" s="28" t="str">
        <f>IFERROR(IF(VLOOKUP(CONCATENATE($B15,Q$2),Database!$B:$E,4,0)="L",6,5),"")</f>
        <v/>
      </c>
      <c r="R15" s="23" t="str">
        <f>IFERROR(IF(VLOOKUP(CONCATENATE($B15,R$2),Database!$B:$E,4,0)="L",6,5),"")</f>
        <v/>
      </c>
      <c r="S15" s="23">
        <f>IFERROR(IF(VLOOKUP(CONCATENATE($B15,S$2),Database!$B:$E,4,0)="L",6,5),"")</f>
        <v>6</v>
      </c>
      <c r="T15" s="23">
        <f>IFERROR(IF(VLOOKUP(CONCATENATE($B15,T$2),Database!$B:$E,4,0)="L",6,5),"")</f>
        <v>6</v>
      </c>
      <c r="U15" s="29">
        <f>IFERROR(IF(VLOOKUP(CONCATENATE($B15,U$2),Database!$B:$E,4,0)="L",6,5),"")</f>
        <v>6</v>
      </c>
      <c r="V15" s="55"/>
      <c r="W15" s="58"/>
      <c r="X15" s="63"/>
      <c r="Z15" s="63" t="str">
        <f t="shared" si="7"/>
        <v>N</v>
      </c>
      <c r="AB15" s="29">
        <f>IFERROR(IF(VLOOKUP(CONCATENATE($B15,AB$2),Database!$B:$E,4,0)="L",6,5),"")</f>
        <v>6</v>
      </c>
      <c r="AC15" s="29">
        <f>IFERROR(IF(VLOOKUP(CONCATENATE($B15,AC$2),Database!$B:$E,4,0)="L",6,5),"")</f>
        <v>6</v>
      </c>
      <c r="AD15" s="29">
        <f>IFERROR(IF(VLOOKUP(CONCATENATE($B15,AD$2),Database!$B:$E,4,0)="L",6,5),"")</f>
        <v>6</v>
      </c>
      <c r="AE15" s="29" t="str">
        <f>IFERROR(IF(VLOOKUP(CONCATENATE($B15,AE$2),Database!$B:$E,4,0)="L",6,5),"")</f>
        <v/>
      </c>
      <c r="AF15" s="29" t="str">
        <f>IFERROR(IF(VLOOKUP(CONCATENATE($B15,AF$2),Database!$B:$E,4,0)="L",6,5),"")</f>
        <v/>
      </c>
      <c r="AG15" s="29" t="str">
        <f>IFERROR(IF(VLOOKUP(CONCATENATE($B15,AG$2),Database!$B:$E,4,0)="L",6,5),"")</f>
        <v/>
      </c>
      <c r="AH15" s="29" t="str">
        <f>IFERROR(IF(VLOOKUP(CONCATENATE($B15,AH$2),Database!$B:$E,4,0)="L",6,5),"")</f>
        <v/>
      </c>
      <c r="AI15" s="29" t="str">
        <f>IFERROR(IF(VLOOKUP(CONCATENATE($B15,AI$2),Database!$B:$E,4,0)="L",6,5),"")</f>
        <v/>
      </c>
      <c r="AJ15" s="29" t="str">
        <f>IFERROR(IF(VLOOKUP(CONCATENATE($B15,AJ$2),Database!$B:$E,4,0)="L",6,5),"")</f>
        <v/>
      </c>
      <c r="AK15" s="29" t="str">
        <f>IFERROR(IF(VLOOKUP(CONCATENATE($B15,AK$2),Database!$B:$E,4,0)="L",6,5),"")</f>
        <v/>
      </c>
      <c r="AL15" s="29" t="str">
        <f>IFERROR(IF(VLOOKUP(CONCATENATE($B15,AL$2),Database!$B:$E,4,0)="L",6,5),"")</f>
        <v/>
      </c>
      <c r="AM15" s="29" t="str">
        <f>IFERROR(IF(VLOOKUP(CONCATENATE($B15,AM$2),Database!$B:$E,4,0)="L",6,5),"")</f>
        <v/>
      </c>
      <c r="AN15" s="29" t="str">
        <f>IFERROR(IF(VLOOKUP(CONCATENATE($B15,AN$2),Database!$B:$E,4,0)="L",6,5),"")</f>
        <v/>
      </c>
      <c r="AO15" s="29" t="str">
        <f>IFERROR(IF(VLOOKUP(CONCATENATE($B15,AO$2),Database!$B:$E,4,0)="L",6,5),"")</f>
        <v/>
      </c>
      <c r="AP15" s="29" t="str">
        <f>IFERROR(IF(VLOOKUP(CONCATENATE($B15,AP$2),Database!$B:$E,4,0)="L",6,5),"")</f>
        <v/>
      </c>
      <c r="AQ15" s="29" t="str">
        <f>IFERROR(IF(VLOOKUP(CONCATENATE($B15,AQ$2),Database!$B:$E,4,0)="L",6,5),"")</f>
        <v/>
      </c>
      <c r="AR15" s="29" t="str">
        <f>IFERROR(IF(VLOOKUP(CONCATENATE($B15,AR$2),Database!$B:$E,4,0)="L",6,5),"")</f>
        <v/>
      </c>
      <c r="AS15" s="29" t="str">
        <f>IFERROR(IF(VLOOKUP(CONCATENATE($B15,AS$2),Database!$B:$E,4,0)="L",6,5),"")</f>
        <v/>
      </c>
      <c r="AT15" s="29" t="str">
        <f>IFERROR(IF(VLOOKUP(CONCATENATE($B15,AT$2),Database!$B:$E,4,0)="L",6,5),"")</f>
        <v/>
      </c>
      <c r="AU15" s="29" t="str">
        <f>IFERROR(IF(VLOOKUP(CONCATENATE($B15,AU$2),Database!$B:$E,4,0)="L",6,5),"")</f>
        <v/>
      </c>
      <c r="AV15" s="29" t="str">
        <f>IFERROR(IF(VLOOKUP(CONCATENATE($B15,AV$2),Database!$B:$E,4,0)="L",6,5),"")</f>
        <v/>
      </c>
      <c r="AW15" s="29" t="str">
        <f>IFERROR(IF(VLOOKUP(CONCATENATE($B15,AW$2),Database!$B:$E,4,0)="L",6,5),"")</f>
        <v/>
      </c>
      <c r="AX15" s="29" t="str">
        <f>IFERROR(IF(VLOOKUP(CONCATENATE($B15,AX$2),Database!$B:$E,4,0)="L",6,5),"")</f>
        <v/>
      </c>
      <c r="AY15" s="29" t="str">
        <f>IFERROR(IF(VLOOKUP(CONCATENATE($B15,AY$2),Database!$B:$E,4,0)="L",6,5),"")</f>
        <v/>
      </c>
      <c r="AZ15" s="29" t="str">
        <f>IFERROR(IF(VLOOKUP(CONCATENATE($B15,AZ$2),Database!$B:$E,4,0)="L",6,5),"")</f>
        <v/>
      </c>
      <c r="BA15" s="29" t="str">
        <f>IFERROR(IF(VLOOKUP(CONCATENATE($B15,BA$2),Database!$B:$E,4,0)="L",6,5),"")</f>
        <v/>
      </c>
      <c r="BB15" s="29" t="str">
        <f>IFERROR(IF(VLOOKUP(CONCATENATE($B15,BB$2),Database!$B:$E,4,0)="L",6,5),"")</f>
        <v/>
      </c>
      <c r="BC15" s="29" t="str">
        <f>IFERROR(IF(VLOOKUP(CONCATENATE($B15,BC$2),Database!$B:$E,4,0)="L",6,5),"")</f>
        <v/>
      </c>
      <c r="BD15" s="29" t="str">
        <f>IFERROR(IF(VLOOKUP(CONCATENATE($B15,BD$2),Database!$B:$E,4,0)="L",6,5),"")</f>
        <v/>
      </c>
      <c r="BE15" s="29" t="str">
        <f>IFERROR(IF(VLOOKUP(CONCATENATE($B15,BE$2),Database!$B:$E,4,0)="L",6,5),"")</f>
        <v/>
      </c>
      <c r="BF15" s="29" t="str">
        <f>IFERROR(IF(VLOOKUP(CONCATENATE($B15,BF$2),Database!$B:$E,4,0)="L",6,5),"")</f>
        <v/>
      </c>
      <c r="BG15" s="29" t="str">
        <f>IFERROR(IF(VLOOKUP(CONCATENATE($B15,BG$2),Database!$B:$E,4,0)="L",6,5),"")</f>
        <v/>
      </c>
      <c r="BH15" s="29" t="str">
        <f>IFERROR(IF(VLOOKUP(CONCATENATE($B15,BH$2),Database!$B:$E,4,0)="L",6,5),"")</f>
        <v/>
      </c>
      <c r="BI15" s="29" t="str">
        <f>IFERROR(IF(VLOOKUP(CONCATENATE($B15,BI$2),Database!$B:$E,4,0)="L",6,5),"")</f>
        <v/>
      </c>
      <c r="BJ15" s="29" t="str">
        <f>IFERROR(IF(VLOOKUP(CONCATENATE($B15,BJ$2),Database!$B:$E,4,0)="L",6,5),"")</f>
        <v/>
      </c>
      <c r="BK15" s="29" t="str">
        <f>IFERROR(IF(VLOOKUP(CONCATENATE($B15,BK$2),Database!$B:$E,4,0)="L",6,5),"")</f>
        <v/>
      </c>
      <c r="BL15" s="29" t="str">
        <f>IFERROR(IF(VLOOKUP(CONCATENATE($B15,BL$2),Database!$B:$E,4,0)="L",6,5),"")</f>
        <v/>
      </c>
      <c r="BM15" s="29" t="str">
        <f>IFERROR(IF(VLOOKUP(CONCATENATE($B15,BM$2),Database!$B:$E,4,0)="L",6,5),"")</f>
        <v/>
      </c>
      <c r="BN15" s="29" t="str">
        <f>IFERROR(IF(VLOOKUP(CONCATENATE($B15,BN$2),Database!$B:$E,4,0)="L",6,5),"")</f>
        <v/>
      </c>
      <c r="BO15" s="29" t="str">
        <f>IFERROR(IF(VLOOKUP(CONCATENATE($B15,BO$2),Database!$B:$E,4,0)="L",6,5),"")</f>
        <v/>
      </c>
      <c r="BP15" s="29" t="str">
        <f>IFERROR(IF(VLOOKUP(CONCATENATE($B15,BP$2),Database!$B:$E,4,0)="L",6,5),"")</f>
        <v/>
      </c>
      <c r="BQ15" s="29" t="str">
        <f>IFERROR(IF(VLOOKUP(CONCATENATE($B15,BQ$2),Database!$B:$E,4,0)="L",6,5),"")</f>
        <v/>
      </c>
      <c r="BR15" s="29" t="str">
        <f>IFERROR(IF(VLOOKUP(CONCATENATE($B15,BR$2),Database!$B:$E,4,0)="L",6,5),"")</f>
        <v/>
      </c>
      <c r="BS15" s="29" t="str">
        <f>IFERROR(IF(VLOOKUP(CONCATENATE($B15,BS$2),Database!$B:$E,4,0)="L",6,5),"")</f>
        <v/>
      </c>
      <c r="BT15" s="29" t="str">
        <f>IFERROR(IF(VLOOKUP(CONCATENATE($B15,BT$2),Database!$B:$E,4,0)="L",6,5),"")</f>
        <v/>
      </c>
      <c r="BU15" s="29" t="str">
        <f>IFERROR(IF(VLOOKUP(CONCATENATE($B15,BU$2),Database!$B:$E,4,0)="L",6,5),"")</f>
        <v/>
      </c>
      <c r="BV15" s="29" t="str">
        <f>IFERROR(IF(VLOOKUP(CONCATENATE($B15,BV$2),Database!$B:$E,4,0)="L",6,5),"")</f>
        <v/>
      </c>
      <c r="BW15" s="29" t="str">
        <f>IFERROR(IF(VLOOKUP(CONCATENATE($B15,BW$2),Database!$B:$E,4,0)="L",6,5),"")</f>
        <v/>
      </c>
      <c r="BX15" s="29" t="str">
        <f>IFERROR(IF(VLOOKUP(CONCATENATE($B15,BX$2),Database!$B:$E,4,0)="L",6,5),"")</f>
        <v/>
      </c>
      <c r="BY15" s="29" t="str">
        <f>IFERROR(IF(VLOOKUP(CONCATENATE($B15,BY$2),Database!$B:$E,4,0)="L",6,5),"")</f>
        <v/>
      </c>
      <c r="BZ15" s="29" t="str">
        <f>IFERROR(IF(VLOOKUP(CONCATENATE($B15,BZ$2),Database!$B:$E,4,0)="L",6,5),"")</f>
        <v/>
      </c>
    </row>
    <row r="16" spans="2:78" ht="14.3" hidden="1" x14ac:dyDescent="0.3">
      <c r="B16" s="19" t="s">
        <v>13</v>
      </c>
      <c r="C16" s="16">
        <f>COUNTIFS(Database!$D:$D,$B16,Database!$C:$C,"&gt;1/1/25")</f>
        <v>0</v>
      </c>
      <c r="D16" s="1">
        <f>COUNTIFS(Database!$D:$D,$B16,Database!$E:$E,"W",Database!$C:$C,"&gt;1/1/25")</f>
        <v>0</v>
      </c>
      <c r="E16" s="1">
        <f>COUNTIFS(Database!$D:$D,$B16,Database!$E:$E,"L",Database!$C:$C,"&gt;1/1/25")</f>
        <v>0</v>
      </c>
      <c r="F16" s="1">
        <f t="shared" si="1"/>
        <v>0</v>
      </c>
      <c r="G16" s="21" t="str">
        <f t="shared" si="2"/>
        <v>-</v>
      </c>
      <c r="H16" s="14" t="str">
        <f t="shared" si="3"/>
        <v>-</v>
      </c>
      <c r="J16" s="16">
        <f>COUNTIF(Database!$D:$D,$B16)</f>
        <v>2</v>
      </c>
      <c r="K16" s="1">
        <f>COUNTIFS(Database!$D:$D,$B16,Database!$E:$E,"W")</f>
        <v>2</v>
      </c>
      <c r="L16" s="1">
        <f>COUNTIFS(Database!$D:$D,$B16,Database!$E:$E,"L")</f>
        <v>0</v>
      </c>
      <c r="M16" s="1">
        <f t="shared" si="4"/>
        <v>2</v>
      </c>
      <c r="N16" s="21">
        <f t="shared" si="5"/>
        <v>1</v>
      </c>
      <c r="O16" s="14">
        <f t="shared" si="6"/>
        <v>0</v>
      </c>
      <c r="Q16" s="28" t="str">
        <f>IFERROR(IF(VLOOKUP(CONCATENATE($B16,Q$2),Database!$B:$E,4,0)="L",6,5),"")</f>
        <v/>
      </c>
      <c r="R16" s="23" t="str">
        <f>IFERROR(IF(VLOOKUP(CONCATENATE($B16,R$2),Database!$B:$E,4,0)="L",6,5),"")</f>
        <v/>
      </c>
      <c r="S16" s="23" t="str">
        <f>IFERROR(IF(VLOOKUP(CONCATENATE($B16,S$2),Database!$B:$E,4,0)="L",6,5),"")</f>
        <v/>
      </c>
      <c r="T16" s="23">
        <f>IFERROR(IF(VLOOKUP(CONCATENATE($B16,T$2),Database!$B:$E,4,0)="L",6,5),"")</f>
        <v>5</v>
      </c>
      <c r="U16" s="29">
        <f>IFERROR(IF(VLOOKUP(CONCATENATE($B16,U$2),Database!$B:$E,4,0)="L",6,5),"")</f>
        <v>5</v>
      </c>
      <c r="V16" s="54"/>
      <c r="W16" s="56"/>
      <c r="X16" s="86" t="s">
        <v>14</v>
      </c>
      <c r="Z16" s="63" t="str">
        <f t="shared" si="7"/>
        <v>N</v>
      </c>
      <c r="AB16" s="29">
        <f>IFERROR(IF(VLOOKUP(CONCATENATE($B16,AB$2),Database!$B:$E,4,0)="L",6,5),"")</f>
        <v>5</v>
      </c>
      <c r="AC16" s="29">
        <f>IFERROR(IF(VLOOKUP(CONCATENATE($B16,AC$2),Database!$B:$E,4,0)="L",6,5),"")</f>
        <v>5</v>
      </c>
      <c r="AD16" s="29" t="str">
        <f>IFERROR(IF(VLOOKUP(CONCATENATE($B16,AD$2),Database!$B:$E,4,0)="L",6,5),"")</f>
        <v/>
      </c>
      <c r="AE16" s="29" t="str">
        <f>IFERROR(IF(VLOOKUP(CONCATENATE($B16,AE$2),Database!$B:$E,4,0)="L",6,5),"")</f>
        <v/>
      </c>
      <c r="AF16" s="29" t="str">
        <f>IFERROR(IF(VLOOKUP(CONCATENATE($B16,AF$2),Database!$B:$E,4,0)="L",6,5),"")</f>
        <v/>
      </c>
      <c r="AG16" s="29" t="str">
        <f>IFERROR(IF(VLOOKUP(CONCATENATE($B16,AG$2),Database!$B:$E,4,0)="L",6,5),"")</f>
        <v/>
      </c>
      <c r="AH16" s="29" t="str">
        <f>IFERROR(IF(VLOOKUP(CONCATENATE($B16,AH$2),Database!$B:$E,4,0)="L",6,5),"")</f>
        <v/>
      </c>
      <c r="AI16" s="29" t="str">
        <f>IFERROR(IF(VLOOKUP(CONCATENATE($B16,AI$2),Database!$B:$E,4,0)="L",6,5),"")</f>
        <v/>
      </c>
      <c r="AJ16" s="29" t="str">
        <f>IFERROR(IF(VLOOKUP(CONCATENATE($B16,AJ$2),Database!$B:$E,4,0)="L",6,5),"")</f>
        <v/>
      </c>
      <c r="AK16" s="29" t="str">
        <f>IFERROR(IF(VLOOKUP(CONCATENATE($B16,AK$2),Database!$B:$E,4,0)="L",6,5),"")</f>
        <v/>
      </c>
      <c r="AL16" s="29" t="str">
        <f>IFERROR(IF(VLOOKUP(CONCATENATE($B16,AL$2),Database!$B:$E,4,0)="L",6,5),"")</f>
        <v/>
      </c>
      <c r="AM16" s="29" t="str">
        <f>IFERROR(IF(VLOOKUP(CONCATENATE($B16,AM$2),Database!$B:$E,4,0)="L",6,5),"")</f>
        <v/>
      </c>
      <c r="AN16" s="29" t="str">
        <f>IFERROR(IF(VLOOKUP(CONCATENATE($B16,AN$2),Database!$B:$E,4,0)="L",6,5),"")</f>
        <v/>
      </c>
      <c r="AO16" s="29" t="str">
        <f>IFERROR(IF(VLOOKUP(CONCATENATE($B16,AO$2),Database!$B:$E,4,0)="L",6,5),"")</f>
        <v/>
      </c>
      <c r="AP16" s="29" t="str">
        <f>IFERROR(IF(VLOOKUP(CONCATENATE($B16,AP$2),Database!$B:$E,4,0)="L",6,5),"")</f>
        <v/>
      </c>
      <c r="AQ16" s="29" t="str">
        <f>IFERROR(IF(VLOOKUP(CONCATENATE($B16,AQ$2),Database!$B:$E,4,0)="L",6,5),"")</f>
        <v/>
      </c>
      <c r="AR16" s="29" t="str">
        <f>IFERROR(IF(VLOOKUP(CONCATENATE($B16,AR$2),Database!$B:$E,4,0)="L",6,5),"")</f>
        <v/>
      </c>
      <c r="AS16" s="29" t="str">
        <f>IFERROR(IF(VLOOKUP(CONCATENATE($B16,AS$2),Database!$B:$E,4,0)="L",6,5),"")</f>
        <v/>
      </c>
      <c r="AT16" s="29" t="str">
        <f>IFERROR(IF(VLOOKUP(CONCATENATE($B16,AT$2),Database!$B:$E,4,0)="L",6,5),"")</f>
        <v/>
      </c>
      <c r="AU16" s="29" t="str">
        <f>IFERROR(IF(VLOOKUP(CONCATENATE($B16,AU$2),Database!$B:$E,4,0)="L",6,5),"")</f>
        <v/>
      </c>
      <c r="AV16" s="29" t="str">
        <f>IFERROR(IF(VLOOKUP(CONCATENATE($B16,AV$2),Database!$B:$E,4,0)="L",6,5),"")</f>
        <v/>
      </c>
      <c r="AW16" s="29" t="str">
        <f>IFERROR(IF(VLOOKUP(CONCATENATE($B16,AW$2),Database!$B:$E,4,0)="L",6,5),"")</f>
        <v/>
      </c>
      <c r="AX16" s="29" t="str">
        <f>IFERROR(IF(VLOOKUP(CONCATENATE($B16,AX$2),Database!$B:$E,4,0)="L",6,5),"")</f>
        <v/>
      </c>
      <c r="AY16" s="29" t="str">
        <f>IFERROR(IF(VLOOKUP(CONCATENATE($B16,AY$2),Database!$B:$E,4,0)="L",6,5),"")</f>
        <v/>
      </c>
      <c r="AZ16" s="29" t="str">
        <f>IFERROR(IF(VLOOKUP(CONCATENATE($B16,AZ$2),Database!$B:$E,4,0)="L",6,5),"")</f>
        <v/>
      </c>
      <c r="BA16" s="29" t="str">
        <f>IFERROR(IF(VLOOKUP(CONCATENATE($B16,BA$2),Database!$B:$E,4,0)="L",6,5),"")</f>
        <v/>
      </c>
      <c r="BB16" s="29" t="str">
        <f>IFERROR(IF(VLOOKUP(CONCATENATE($B16,BB$2),Database!$B:$E,4,0)="L",6,5),"")</f>
        <v/>
      </c>
      <c r="BC16" s="29" t="str">
        <f>IFERROR(IF(VLOOKUP(CONCATENATE($B16,BC$2),Database!$B:$E,4,0)="L",6,5),"")</f>
        <v/>
      </c>
      <c r="BD16" s="29" t="str">
        <f>IFERROR(IF(VLOOKUP(CONCATENATE($B16,BD$2),Database!$B:$E,4,0)="L",6,5),"")</f>
        <v/>
      </c>
      <c r="BE16" s="29" t="str">
        <f>IFERROR(IF(VLOOKUP(CONCATENATE($B16,BE$2),Database!$B:$E,4,0)="L",6,5),"")</f>
        <v/>
      </c>
      <c r="BF16" s="29" t="str">
        <f>IFERROR(IF(VLOOKUP(CONCATENATE($B16,BF$2),Database!$B:$E,4,0)="L",6,5),"")</f>
        <v/>
      </c>
      <c r="BG16" s="29" t="str">
        <f>IFERROR(IF(VLOOKUP(CONCATENATE($B16,BG$2),Database!$B:$E,4,0)="L",6,5),"")</f>
        <v/>
      </c>
      <c r="BH16" s="29" t="str">
        <f>IFERROR(IF(VLOOKUP(CONCATENATE($B16,BH$2),Database!$B:$E,4,0)="L",6,5),"")</f>
        <v/>
      </c>
      <c r="BI16" s="29" t="str">
        <f>IFERROR(IF(VLOOKUP(CONCATENATE($B16,BI$2),Database!$B:$E,4,0)="L",6,5),"")</f>
        <v/>
      </c>
      <c r="BJ16" s="29" t="str">
        <f>IFERROR(IF(VLOOKUP(CONCATENATE($B16,BJ$2),Database!$B:$E,4,0)="L",6,5),"")</f>
        <v/>
      </c>
      <c r="BK16" s="29" t="str">
        <f>IFERROR(IF(VLOOKUP(CONCATENATE($B16,BK$2),Database!$B:$E,4,0)="L",6,5),"")</f>
        <v/>
      </c>
      <c r="BL16" s="29" t="str">
        <f>IFERROR(IF(VLOOKUP(CONCATENATE($B16,BL$2),Database!$B:$E,4,0)="L",6,5),"")</f>
        <v/>
      </c>
      <c r="BM16" s="29" t="str">
        <f>IFERROR(IF(VLOOKUP(CONCATENATE($B16,BM$2),Database!$B:$E,4,0)="L",6,5),"")</f>
        <v/>
      </c>
      <c r="BN16" s="29" t="str">
        <f>IFERROR(IF(VLOOKUP(CONCATENATE($B16,BN$2),Database!$B:$E,4,0)="L",6,5),"")</f>
        <v/>
      </c>
      <c r="BO16" s="29" t="str">
        <f>IFERROR(IF(VLOOKUP(CONCATENATE($B16,BO$2),Database!$B:$E,4,0)="L",6,5),"")</f>
        <v/>
      </c>
      <c r="BP16" s="29" t="str">
        <f>IFERROR(IF(VLOOKUP(CONCATENATE($B16,BP$2),Database!$B:$E,4,0)="L",6,5),"")</f>
        <v/>
      </c>
      <c r="BQ16" s="29" t="str">
        <f>IFERROR(IF(VLOOKUP(CONCATENATE($B16,BQ$2),Database!$B:$E,4,0)="L",6,5),"")</f>
        <v/>
      </c>
      <c r="BR16" s="29" t="str">
        <f>IFERROR(IF(VLOOKUP(CONCATENATE($B16,BR$2),Database!$B:$E,4,0)="L",6,5),"")</f>
        <v/>
      </c>
      <c r="BS16" s="29" t="str">
        <f>IFERROR(IF(VLOOKUP(CONCATENATE($B16,BS$2),Database!$B:$E,4,0)="L",6,5),"")</f>
        <v/>
      </c>
      <c r="BT16" s="29" t="str">
        <f>IFERROR(IF(VLOOKUP(CONCATENATE($B16,BT$2),Database!$B:$E,4,0)="L",6,5),"")</f>
        <v/>
      </c>
      <c r="BU16" s="29" t="str">
        <f>IFERROR(IF(VLOOKUP(CONCATENATE($B16,BU$2),Database!$B:$E,4,0)="L",6,5),"")</f>
        <v/>
      </c>
      <c r="BV16" s="29" t="str">
        <f>IFERROR(IF(VLOOKUP(CONCATENATE($B16,BV$2),Database!$B:$E,4,0)="L",6,5),"")</f>
        <v/>
      </c>
      <c r="BW16" s="29" t="str">
        <f>IFERROR(IF(VLOOKUP(CONCATENATE($B16,BW$2),Database!$B:$E,4,0)="L",6,5),"")</f>
        <v/>
      </c>
      <c r="BX16" s="29" t="str">
        <f>IFERROR(IF(VLOOKUP(CONCATENATE($B16,BX$2),Database!$B:$E,4,0)="L",6,5),"")</f>
        <v/>
      </c>
      <c r="BY16" s="29" t="str">
        <f>IFERROR(IF(VLOOKUP(CONCATENATE($B16,BY$2),Database!$B:$E,4,0)="L",6,5),"")</f>
        <v/>
      </c>
      <c r="BZ16" s="29" t="str">
        <f>IFERROR(IF(VLOOKUP(CONCATENATE($B16,BZ$2),Database!$B:$E,4,0)="L",6,5),"")</f>
        <v/>
      </c>
    </row>
    <row r="17" spans="2:78" ht="14.3" hidden="1" x14ac:dyDescent="0.3">
      <c r="B17" s="19" t="s">
        <v>19</v>
      </c>
      <c r="C17" s="16">
        <f>COUNTIFS(Database!$D:$D,$B17,Database!$C:$C,"&gt;1/1/25")</f>
        <v>0</v>
      </c>
      <c r="D17" s="1">
        <f>COUNTIFS(Database!$D:$D,$B17,Database!$E:$E,"W",Database!$C:$C,"&gt;1/1/25")</f>
        <v>0</v>
      </c>
      <c r="E17" s="1">
        <f>COUNTIFS(Database!$D:$D,$B17,Database!$E:$E,"L",Database!$C:$C,"&gt;1/1/25")</f>
        <v>0</v>
      </c>
      <c r="F17" s="1">
        <f t="shared" si="1"/>
        <v>0</v>
      </c>
      <c r="G17" s="21" t="str">
        <f t="shared" si="2"/>
        <v>-</v>
      </c>
      <c r="H17" s="14" t="str">
        <f t="shared" si="3"/>
        <v>-</v>
      </c>
      <c r="J17" s="16">
        <f>COUNTIF(Database!$D:$D,$B17)</f>
        <v>1</v>
      </c>
      <c r="K17" s="1">
        <f>COUNTIFS(Database!$D:$D,$B17,Database!$E:$E,"W")</f>
        <v>1</v>
      </c>
      <c r="L17" s="1">
        <f>COUNTIFS(Database!$D:$D,$B17,Database!$E:$E,"L")</f>
        <v>0</v>
      </c>
      <c r="M17" s="1">
        <f t="shared" si="4"/>
        <v>1</v>
      </c>
      <c r="N17" s="21">
        <f t="shared" si="5"/>
        <v>1</v>
      </c>
      <c r="O17" s="14">
        <f t="shared" si="6"/>
        <v>0</v>
      </c>
      <c r="Q17" s="28" t="str">
        <f>IFERROR(IF(VLOOKUP(CONCATENATE($B17,Q$2),Database!$B:$E,4,0)="L",6,5),"")</f>
        <v/>
      </c>
      <c r="R17" s="23" t="str">
        <f>IFERROR(IF(VLOOKUP(CONCATENATE($B17,R$2),Database!$B:$E,4,0)="L",6,5),"")</f>
        <v/>
      </c>
      <c r="S17" s="23" t="str">
        <f>IFERROR(IF(VLOOKUP(CONCATENATE($B17,S$2),Database!$B:$E,4,0)="L",6,5),"")</f>
        <v/>
      </c>
      <c r="T17" s="23" t="str">
        <f>IFERROR(IF(VLOOKUP(CONCATENATE($B17,T$2),Database!$B:$E,4,0)="L",6,5),"")</f>
        <v/>
      </c>
      <c r="U17" s="29">
        <f>IFERROR(IF(VLOOKUP(CONCATENATE($B17,U$2),Database!$B:$E,4,0)="L",6,5),"")</f>
        <v>5</v>
      </c>
      <c r="V17" s="54"/>
      <c r="W17" s="57"/>
      <c r="X17" s="63"/>
      <c r="Z17" s="63" t="str">
        <f t="shared" si="7"/>
        <v>N</v>
      </c>
      <c r="AB17" s="29">
        <f>IFERROR(IF(VLOOKUP(CONCATENATE($B17,AB$2),Database!$B:$E,4,0)="L",6,5),"")</f>
        <v>5</v>
      </c>
      <c r="AC17" s="29" t="str">
        <f>IFERROR(IF(VLOOKUP(CONCATENATE($B17,AC$2),Database!$B:$E,4,0)="L",6,5),"")</f>
        <v/>
      </c>
      <c r="AD17" s="29" t="str">
        <f>IFERROR(IF(VLOOKUP(CONCATENATE($B17,AD$2),Database!$B:$E,4,0)="L",6,5),"")</f>
        <v/>
      </c>
      <c r="AE17" s="29" t="str">
        <f>IFERROR(IF(VLOOKUP(CONCATENATE($B17,AE$2),Database!$B:$E,4,0)="L",6,5),"")</f>
        <v/>
      </c>
      <c r="AF17" s="29" t="str">
        <f>IFERROR(IF(VLOOKUP(CONCATENATE($B17,AF$2),Database!$B:$E,4,0)="L",6,5),"")</f>
        <v/>
      </c>
      <c r="AG17" s="29" t="str">
        <f>IFERROR(IF(VLOOKUP(CONCATENATE($B17,AG$2),Database!$B:$E,4,0)="L",6,5),"")</f>
        <v/>
      </c>
      <c r="AH17" s="29" t="str">
        <f>IFERROR(IF(VLOOKUP(CONCATENATE($B17,AH$2),Database!$B:$E,4,0)="L",6,5),"")</f>
        <v/>
      </c>
      <c r="AI17" s="29" t="str">
        <f>IFERROR(IF(VLOOKUP(CONCATENATE($B17,AI$2),Database!$B:$E,4,0)="L",6,5),"")</f>
        <v/>
      </c>
      <c r="AJ17" s="29" t="str">
        <f>IFERROR(IF(VLOOKUP(CONCATENATE($B17,AJ$2),Database!$B:$E,4,0)="L",6,5),"")</f>
        <v/>
      </c>
      <c r="AK17" s="29" t="str">
        <f>IFERROR(IF(VLOOKUP(CONCATENATE($B17,AK$2),Database!$B:$E,4,0)="L",6,5),"")</f>
        <v/>
      </c>
      <c r="AL17" s="29" t="str">
        <f>IFERROR(IF(VLOOKUP(CONCATENATE($B17,AL$2),Database!$B:$E,4,0)="L",6,5),"")</f>
        <v/>
      </c>
      <c r="AM17" s="29" t="str">
        <f>IFERROR(IF(VLOOKUP(CONCATENATE($B17,AM$2),Database!$B:$E,4,0)="L",6,5),"")</f>
        <v/>
      </c>
      <c r="AN17" s="29" t="str">
        <f>IFERROR(IF(VLOOKUP(CONCATENATE($B17,AN$2),Database!$B:$E,4,0)="L",6,5),"")</f>
        <v/>
      </c>
      <c r="AO17" s="29" t="str">
        <f>IFERROR(IF(VLOOKUP(CONCATENATE($B17,AO$2),Database!$B:$E,4,0)="L",6,5),"")</f>
        <v/>
      </c>
      <c r="AP17" s="29" t="str">
        <f>IFERROR(IF(VLOOKUP(CONCATENATE($B17,AP$2),Database!$B:$E,4,0)="L",6,5),"")</f>
        <v/>
      </c>
      <c r="AQ17" s="29" t="str">
        <f>IFERROR(IF(VLOOKUP(CONCATENATE($B17,AQ$2),Database!$B:$E,4,0)="L",6,5),"")</f>
        <v/>
      </c>
      <c r="AR17" s="29" t="str">
        <f>IFERROR(IF(VLOOKUP(CONCATENATE($B17,AR$2),Database!$B:$E,4,0)="L",6,5),"")</f>
        <v/>
      </c>
      <c r="AS17" s="29" t="str">
        <f>IFERROR(IF(VLOOKUP(CONCATENATE($B17,AS$2),Database!$B:$E,4,0)="L",6,5),"")</f>
        <v/>
      </c>
      <c r="AT17" s="29" t="str">
        <f>IFERROR(IF(VLOOKUP(CONCATENATE($B17,AT$2),Database!$B:$E,4,0)="L",6,5),"")</f>
        <v/>
      </c>
      <c r="AU17" s="29" t="str">
        <f>IFERROR(IF(VLOOKUP(CONCATENATE($B17,AU$2),Database!$B:$E,4,0)="L",6,5),"")</f>
        <v/>
      </c>
      <c r="AV17" s="29" t="str">
        <f>IFERROR(IF(VLOOKUP(CONCATENATE($B17,AV$2),Database!$B:$E,4,0)="L",6,5),"")</f>
        <v/>
      </c>
      <c r="AW17" s="29" t="str">
        <f>IFERROR(IF(VLOOKUP(CONCATENATE($B17,AW$2),Database!$B:$E,4,0)="L",6,5),"")</f>
        <v/>
      </c>
      <c r="AX17" s="29" t="str">
        <f>IFERROR(IF(VLOOKUP(CONCATENATE($B17,AX$2),Database!$B:$E,4,0)="L",6,5),"")</f>
        <v/>
      </c>
      <c r="AY17" s="29" t="str">
        <f>IFERROR(IF(VLOOKUP(CONCATENATE($B17,AY$2),Database!$B:$E,4,0)="L",6,5),"")</f>
        <v/>
      </c>
      <c r="AZ17" s="29" t="str">
        <f>IFERROR(IF(VLOOKUP(CONCATENATE($B17,AZ$2),Database!$B:$E,4,0)="L",6,5),"")</f>
        <v/>
      </c>
      <c r="BA17" s="29" t="str">
        <f>IFERROR(IF(VLOOKUP(CONCATENATE($B17,BA$2),Database!$B:$E,4,0)="L",6,5),"")</f>
        <v/>
      </c>
      <c r="BB17" s="29" t="str">
        <f>IFERROR(IF(VLOOKUP(CONCATENATE($B17,BB$2),Database!$B:$E,4,0)="L",6,5),"")</f>
        <v/>
      </c>
      <c r="BC17" s="29" t="str">
        <f>IFERROR(IF(VLOOKUP(CONCATENATE($B17,BC$2),Database!$B:$E,4,0)="L",6,5),"")</f>
        <v/>
      </c>
      <c r="BD17" s="29" t="str">
        <f>IFERROR(IF(VLOOKUP(CONCATENATE($B17,BD$2),Database!$B:$E,4,0)="L",6,5),"")</f>
        <v/>
      </c>
      <c r="BE17" s="29" t="str">
        <f>IFERROR(IF(VLOOKUP(CONCATENATE($B17,BE$2),Database!$B:$E,4,0)="L",6,5),"")</f>
        <v/>
      </c>
      <c r="BF17" s="29" t="str">
        <f>IFERROR(IF(VLOOKUP(CONCATENATE($B17,BF$2),Database!$B:$E,4,0)="L",6,5),"")</f>
        <v/>
      </c>
      <c r="BG17" s="29" t="str">
        <f>IFERROR(IF(VLOOKUP(CONCATENATE($B17,BG$2),Database!$B:$E,4,0)="L",6,5),"")</f>
        <v/>
      </c>
      <c r="BH17" s="29" t="str">
        <f>IFERROR(IF(VLOOKUP(CONCATENATE($B17,BH$2),Database!$B:$E,4,0)="L",6,5),"")</f>
        <v/>
      </c>
      <c r="BI17" s="29" t="str">
        <f>IFERROR(IF(VLOOKUP(CONCATENATE($B17,BI$2),Database!$B:$E,4,0)="L",6,5),"")</f>
        <v/>
      </c>
      <c r="BJ17" s="29" t="str">
        <f>IFERROR(IF(VLOOKUP(CONCATENATE($B17,BJ$2),Database!$B:$E,4,0)="L",6,5),"")</f>
        <v/>
      </c>
      <c r="BK17" s="29" t="str">
        <f>IFERROR(IF(VLOOKUP(CONCATENATE($B17,BK$2),Database!$B:$E,4,0)="L",6,5),"")</f>
        <v/>
      </c>
      <c r="BL17" s="29" t="str">
        <f>IFERROR(IF(VLOOKUP(CONCATENATE($B17,BL$2),Database!$B:$E,4,0)="L",6,5),"")</f>
        <v/>
      </c>
      <c r="BM17" s="29" t="str">
        <f>IFERROR(IF(VLOOKUP(CONCATENATE($B17,BM$2),Database!$B:$E,4,0)="L",6,5),"")</f>
        <v/>
      </c>
      <c r="BN17" s="29" t="str">
        <f>IFERROR(IF(VLOOKUP(CONCATENATE($B17,BN$2),Database!$B:$E,4,0)="L",6,5),"")</f>
        <v/>
      </c>
      <c r="BO17" s="29" t="str">
        <f>IFERROR(IF(VLOOKUP(CONCATENATE($B17,BO$2),Database!$B:$E,4,0)="L",6,5),"")</f>
        <v/>
      </c>
      <c r="BP17" s="29" t="str">
        <f>IFERROR(IF(VLOOKUP(CONCATENATE($B17,BP$2),Database!$B:$E,4,0)="L",6,5),"")</f>
        <v/>
      </c>
      <c r="BQ17" s="29" t="str">
        <f>IFERROR(IF(VLOOKUP(CONCATENATE($B17,BQ$2),Database!$B:$E,4,0)="L",6,5),"")</f>
        <v/>
      </c>
      <c r="BR17" s="29" t="str">
        <f>IFERROR(IF(VLOOKUP(CONCATENATE($B17,BR$2),Database!$B:$E,4,0)="L",6,5),"")</f>
        <v/>
      </c>
      <c r="BS17" s="29" t="str">
        <f>IFERROR(IF(VLOOKUP(CONCATENATE($B17,BS$2),Database!$B:$E,4,0)="L",6,5),"")</f>
        <v/>
      </c>
      <c r="BT17" s="29" t="str">
        <f>IFERROR(IF(VLOOKUP(CONCATENATE($B17,BT$2),Database!$B:$E,4,0)="L",6,5),"")</f>
        <v/>
      </c>
      <c r="BU17" s="29" t="str">
        <f>IFERROR(IF(VLOOKUP(CONCATENATE($B17,BU$2),Database!$B:$E,4,0)="L",6,5),"")</f>
        <v/>
      </c>
      <c r="BV17" s="29" t="str">
        <f>IFERROR(IF(VLOOKUP(CONCATENATE($B17,BV$2),Database!$B:$E,4,0)="L",6,5),"")</f>
        <v/>
      </c>
      <c r="BW17" s="29" t="str">
        <f>IFERROR(IF(VLOOKUP(CONCATENATE($B17,BW$2),Database!$B:$E,4,0)="L",6,5),"")</f>
        <v/>
      </c>
      <c r="BX17" s="29" t="str">
        <f>IFERROR(IF(VLOOKUP(CONCATENATE($B17,BX$2),Database!$B:$E,4,0)="L",6,5),"")</f>
        <v/>
      </c>
      <c r="BY17" s="29" t="str">
        <f>IFERROR(IF(VLOOKUP(CONCATENATE($B17,BY$2),Database!$B:$E,4,0)="L",6,5),"")</f>
        <v/>
      </c>
      <c r="BZ17" s="29" t="str">
        <f>IFERROR(IF(VLOOKUP(CONCATENATE($B17,BZ$2),Database!$B:$E,4,0)="L",6,5),"")</f>
        <v/>
      </c>
    </row>
    <row r="18" spans="2:78" ht="14.3" hidden="1" x14ac:dyDescent="0.3">
      <c r="B18" s="19" t="s">
        <v>20</v>
      </c>
      <c r="C18" s="16">
        <f>COUNTIFS(Database!$D:$D,$B18,Database!$C:$C,"&gt;1/1/25")</f>
        <v>0</v>
      </c>
      <c r="D18" s="1">
        <f>COUNTIFS(Database!$D:$D,$B18,Database!$E:$E,"W",Database!$C:$C,"&gt;1/1/25")</f>
        <v>0</v>
      </c>
      <c r="E18" s="1">
        <f>COUNTIFS(Database!$D:$D,$B18,Database!$E:$E,"L",Database!$C:$C,"&gt;1/1/25")</f>
        <v>0</v>
      </c>
      <c r="F18" s="1">
        <f t="shared" si="1"/>
        <v>0</v>
      </c>
      <c r="G18" s="21" t="str">
        <f t="shared" si="2"/>
        <v>-</v>
      </c>
      <c r="H18" s="14" t="str">
        <f t="shared" si="3"/>
        <v>-</v>
      </c>
      <c r="J18" s="16">
        <f>COUNTIF(Database!$D:$D,$B18)</f>
        <v>1</v>
      </c>
      <c r="K18" s="1">
        <f>COUNTIFS(Database!$D:$D,$B18,Database!$E:$E,"W")</f>
        <v>1</v>
      </c>
      <c r="L18" s="1">
        <f>COUNTIFS(Database!$D:$D,$B18,Database!$E:$E,"L")</f>
        <v>0</v>
      </c>
      <c r="M18" s="1">
        <f t="shared" si="4"/>
        <v>1</v>
      </c>
      <c r="N18" s="21">
        <f t="shared" si="5"/>
        <v>1</v>
      </c>
      <c r="O18" s="14">
        <f t="shared" si="6"/>
        <v>0</v>
      </c>
      <c r="Q18" s="28" t="str">
        <f>IFERROR(IF(VLOOKUP(CONCATENATE($B18,Q$2),Database!$B:$E,4,0)="L",6,5),"")</f>
        <v/>
      </c>
      <c r="R18" s="23" t="str">
        <f>IFERROR(IF(VLOOKUP(CONCATENATE($B18,R$2),Database!$B:$E,4,0)="L",6,5),"")</f>
        <v/>
      </c>
      <c r="S18" s="23" t="str">
        <f>IFERROR(IF(VLOOKUP(CONCATENATE($B18,S$2),Database!$B:$E,4,0)="L",6,5),"")</f>
        <v/>
      </c>
      <c r="T18" s="23" t="str">
        <f>IFERROR(IF(VLOOKUP(CONCATENATE($B18,T$2),Database!$B:$E,4,0)="L",6,5),"")</f>
        <v/>
      </c>
      <c r="U18" s="29">
        <f>IFERROR(IF(VLOOKUP(CONCATENATE($B18,U$2),Database!$B:$E,4,0)="L",6,5),"")</f>
        <v>5</v>
      </c>
      <c r="V18" s="55"/>
      <c r="W18" s="62"/>
      <c r="X18" s="85"/>
      <c r="Z18" s="63" t="str">
        <f t="shared" si="7"/>
        <v>N</v>
      </c>
      <c r="AB18" s="29">
        <f>IFERROR(IF(VLOOKUP(CONCATENATE($B18,AB$2),Database!$B:$E,4,0)="L",6,5),"")</f>
        <v>5</v>
      </c>
      <c r="AC18" s="29" t="str">
        <f>IFERROR(IF(VLOOKUP(CONCATENATE($B18,AC$2),Database!$B:$E,4,0)="L",6,5),"")</f>
        <v/>
      </c>
      <c r="AD18" s="29" t="str">
        <f>IFERROR(IF(VLOOKUP(CONCATENATE($B18,AD$2),Database!$B:$E,4,0)="L",6,5),"")</f>
        <v/>
      </c>
      <c r="AE18" s="29" t="str">
        <f>IFERROR(IF(VLOOKUP(CONCATENATE($B18,AE$2),Database!$B:$E,4,0)="L",6,5),"")</f>
        <v/>
      </c>
      <c r="AF18" s="29" t="str">
        <f>IFERROR(IF(VLOOKUP(CONCATENATE($B18,AF$2),Database!$B:$E,4,0)="L",6,5),"")</f>
        <v/>
      </c>
      <c r="AG18" s="29" t="str">
        <f>IFERROR(IF(VLOOKUP(CONCATENATE($B18,AG$2),Database!$B:$E,4,0)="L",6,5),"")</f>
        <v/>
      </c>
      <c r="AH18" s="29" t="str">
        <f>IFERROR(IF(VLOOKUP(CONCATENATE($B18,AH$2),Database!$B:$E,4,0)="L",6,5),"")</f>
        <v/>
      </c>
      <c r="AI18" s="29" t="str">
        <f>IFERROR(IF(VLOOKUP(CONCATENATE($B18,AI$2),Database!$B:$E,4,0)="L",6,5),"")</f>
        <v/>
      </c>
      <c r="AJ18" s="29" t="str">
        <f>IFERROR(IF(VLOOKUP(CONCATENATE($B18,AJ$2),Database!$B:$E,4,0)="L",6,5),"")</f>
        <v/>
      </c>
      <c r="AK18" s="29" t="str">
        <f>IFERROR(IF(VLOOKUP(CONCATENATE($B18,AK$2),Database!$B:$E,4,0)="L",6,5),"")</f>
        <v/>
      </c>
      <c r="AL18" s="29" t="str">
        <f>IFERROR(IF(VLOOKUP(CONCATENATE($B18,AL$2),Database!$B:$E,4,0)="L",6,5),"")</f>
        <v/>
      </c>
      <c r="AM18" s="29" t="str">
        <f>IFERROR(IF(VLOOKUP(CONCATENATE($B18,AM$2),Database!$B:$E,4,0)="L",6,5),"")</f>
        <v/>
      </c>
      <c r="AN18" s="29" t="str">
        <f>IFERROR(IF(VLOOKUP(CONCATENATE($B18,AN$2),Database!$B:$E,4,0)="L",6,5),"")</f>
        <v/>
      </c>
      <c r="AO18" s="29" t="str">
        <f>IFERROR(IF(VLOOKUP(CONCATENATE($B18,AO$2),Database!$B:$E,4,0)="L",6,5),"")</f>
        <v/>
      </c>
      <c r="AP18" s="29" t="str">
        <f>IFERROR(IF(VLOOKUP(CONCATENATE($B18,AP$2),Database!$B:$E,4,0)="L",6,5),"")</f>
        <v/>
      </c>
      <c r="AQ18" s="29" t="str">
        <f>IFERROR(IF(VLOOKUP(CONCATENATE($B18,AQ$2),Database!$B:$E,4,0)="L",6,5),"")</f>
        <v/>
      </c>
      <c r="AR18" s="29" t="str">
        <f>IFERROR(IF(VLOOKUP(CONCATENATE($B18,AR$2),Database!$B:$E,4,0)="L",6,5),"")</f>
        <v/>
      </c>
      <c r="AS18" s="29" t="str">
        <f>IFERROR(IF(VLOOKUP(CONCATENATE($B18,AS$2),Database!$B:$E,4,0)="L",6,5),"")</f>
        <v/>
      </c>
      <c r="AT18" s="29" t="str">
        <f>IFERROR(IF(VLOOKUP(CONCATENATE($B18,AT$2),Database!$B:$E,4,0)="L",6,5),"")</f>
        <v/>
      </c>
      <c r="AU18" s="29" t="str">
        <f>IFERROR(IF(VLOOKUP(CONCATENATE($B18,AU$2),Database!$B:$E,4,0)="L",6,5),"")</f>
        <v/>
      </c>
      <c r="AV18" s="29" t="str">
        <f>IFERROR(IF(VLOOKUP(CONCATENATE($B18,AV$2),Database!$B:$E,4,0)="L",6,5),"")</f>
        <v/>
      </c>
      <c r="AW18" s="29" t="str">
        <f>IFERROR(IF(VLOOKUP(CONCATENATE($B18,AW$2),Database!$B:$E,4,0)="L",6,5),"")</f>
        <v/>
      </c>
      <c r="AX18" s="29" t="str">
        <f>IFERROR(IF(VLOOKUP(CONCATENATE($B18,AX$2),Database!$B:$E,4,0)="L",6,5),"")</f>
        <v/>
      </c>
      <c r="AY18" s="29" t="str">
        <f>IFERROR(IF(VLOOKUP(CONCATENATE($B18,AY$2),Database!$B:$E,4,0)="L",6,5),"")</f>
        <v/>
      </c>
      <c r="AZ18" s="29" t="str">
        <f>IFERROR(IF(VLOOKUP(CONCATENATE($B18,AZ$2),Database!$B:$E,4,0)="L",6,5),"")</f>
        <v/>
      </c>
      <c r="BA18" s="29" t="str">
        <f>IFERROR(IF(VLOOKUP(CONCATENATE($B18,BA$2),Database!$B:$E,4,0)="L",6,5),"")</f>
        <v/>
      </c>
      <c r="BB18" s="29" t="str">
        <f>IFERROR(IF(VLOOKUP(CONCATENATE($B18,BB$2),Database!$B:$E,4,0)="L",6,5),"")</f>
        <v/>
      </c>
      <c r="BC18" s="29" t="str">
        <f>IFERROR(IF(VLOOKUP(CONCATENATE($B18,BC$2),Database!$B:$E,4,0)="L",6,5),"")</f>
        <v/>
      </c>
      <c r="BD18" s="29" t="str">
        <f>IFERROR(IF(VLOOKUP(CONCATENATE($B18,BD$2),Database!$B:$E,4,0)="L",6,5),"")</f>
        <v/>
      </c>
      <c r="BE18" s="29" t="str">
        <f>IFERROR(IF(VLOOKUP(CONCATENATE($B18,BE$2),Database!$B:$E,4,0)="L",6,5),"")</f>
        <v/>
      </c>
      <c r="BF18" s="29" t="str">
        <f>IFERROR(IF(VLOOKUP(CONCATENATE($B18,BF$2),Database!$B:$E,4,0)="L",6,5),"")</f>
        <v/>
      </c>
      <c r="BG18" s="29" t="str">
        <f>IFERROR(IF(VLOOKUP(CONCATENATE($B18,BG$2),Database!$B:$E,4,0)="L",6,5),"")</f>
        <v/>
      </c>
      <c r="BH18" s="29" t="str">
        <f>IFERROR(IF(VLOOKUP(CONCATENATE($B18,BH$2),Database!$B:$E,4,0)="L",6,5),"")</f>
        <v/>
      </c>
      <c r="BI18" s="29" t="str">
        <f>IFERROR(IF(VLOOKUP(CONCATENATE($B18,BI$2),Database!$B:$E,4,0)="L",6,5),"")</f>
        <v/>
      </c>
      <c r="BJ18" s="29" t="str">
        <f>IFERROR(IF(VLOOKUP(CONCATENATE($B18,BJ$2),Database!$B:$E,4,0)="L",6,5),"")</f>
        <v/>
      </c>
      <c r="BK18" s="29" t="str">
        <f>IFERROR(IF(VLOOKUP(CONCATENATE($B18,BK$2),Database!$B:$E,4,0)="L",6,5),"")</f>
        <v/>
      </c>
      <c r="BL18" s="29" t="str">
        <f>IFERROR(IF(VLOOKUP(CONCATENATE($B18,BL$2),Database!$B:$E,4,0)="L",6,5),"")</f>
        <v/>
      </c>
      <c r="BM18" s="29" t="str">
        <f>IFERROR(IF(VLOOKUP(CONCATENATE($B18,BM$2),Database!$B:$E,4,0)="L",6,5),"")</f>
        <v/>
      </c>
      <c r="BN18" s="29" t="str">
        <f>IFERROR(IF(VLOOKUP(CONCATENATE($B18,BN$2),Database!$B:$E,4,0)="L",6,5),"")</f>
        <v/>
      </c>
      <c r="BO18" s="29" t="str">
        <f>IFERROR(IF(VLOOKUP(CONCATENATE($B18,BO$2),Database!$B:$E,4,0)="L",6,5),"")</f>
        <v/>
      </c>
      <c r="BP18" s="29" t="str">
        <f>IFERROR(IF(VLOOKUP(CONCATENATE($B18,BP$2),Database!$B:$E,4,0)="L",6,5),"")</f>
        <v/>
      </c>
      <c r="BQ18" s="29" t="str">
        <f>IFERROR(IF(VLOOKUP(CONCATENATE($B18,BQ$2),Database!$B:$E,4,0)="L",6,5),"")</f>
        <v/>
      </c>
      <c r="BR18" s="29" t="str">
        <f>IFERROR(IF(VLOOKUP(CONCATENATE($B18,BR$2),Database!$B:$E,4,0)="L",6,5),"")</f>
        <v/>
      </c>
      <c r="BS18" s="29" t="str">
        <f>IFERROR(IF(VLOOKUP(CONCATENATE($B18,BS$2),Database!$B:$E,4,0)="L",6,5),"")</f>
        <v/>
      </c>
      <c r="BT18" s="29" t="str">
        <f>IFERROR(IF(VLOOKUP(CONCATENATE($B18,BT$2),Database!$B:$E,4,0)="L",6,5),"")</f>
        <v/>
      </c>
      <c r="BU18" s="29" t="str">
        <f>IFERROR(IF(VLOOKUP(CONCATENATE($B18,BU$2),Database!$B:$E,4,0)="L",6,5),"")</f>
        <v/>
      </c>
      <c r="BV18" s="29" t="str">
        <f>IFERROR(IF(VLOOKUP(CONCATENATE($B18,BV$2),Database!$B:$E,4,0)="L",6,5),"")</f>
        <v/>
      </c>
      <c r="BW18" s="29" t="str">
        <f>IFERROR(IF(VLOOKUP(CONCATENATE($B18,BW$2),Database!$B:$E,4,0)="L",6,5),"")</f>
        <v/>
      </c>
      <c r="BX18" s="29" t="str">
        <f>IFERROR(IF(VLOOKUP(CONCATENATE($B18,BX$2),Database!$B:$E,4,0)="L",6,5),"")</f>
        <v/>
      </c>
      <c r="BY18" s="29" t="str">
        <f>IFERROR(IF(VLOOKUP(CONCATENATE($B18,BY$2),Database!$B:$E,4,0)="L",6,5),"")</f>
        <v/>
      </c>
      <c r="BZ18" s="29" t="str">
        <f>IFERROR(IF(VLOOKUP(CONCATENATE($B18,BZ$2),Database!$B:$E,4,0)="L",6,5),"")</f>
        <v/>
      </c>
    </row>
    <row r="19" spans="2:78" ht="14.3" hidden="1" x14ac:dyDescent="0.3">
      <c r="B19" s="19" t="s">
        <v>140</v>
      </c>
      <c r="C19" s="16">
        <f>COUNTIFS(Database!$D:$D,$B19,Database!$C:$C,"&gt;1/1/25")</f>
        <v>0</v>
      </c>
      <c r="D19" s="1">
        <f>COUNTIFS(Database!$D:$D,$B19,Database!$E:$E,"W",Database!$C:$C,"&gt;1/1/25")</f>
        <v>0</v>
      </c>
      <c r="E19" s="1">
        <f>COUNTIFS(Database!$D:$D,$B19,Database!$E:$E,"L",Database!$C:$C,"&gt;1/1/25")</f>
        <v>0</v>
      </c>
      <c r="F19" s="1">
        <f t="shared" si="1"/>
        <v>0</v>
      </c>
      <c r="G19" s="21" t="str">
        <f t="shared" si="2"/>
        <v>-</v>
      </c>
      <c r="H19" s="14" t="str">
        <f t="shared" si="3"/>
        <v>-</v>
      </c>
      <c r="J19" s="16">
        <f>COUNTIF(Database!$D:$D,$B19)</f>
        <v>1</v>
      </c>
      <c r="K19" s="1">
        <f>COUNTIFS(Database!$D:$D,$B19,Database!$E:$E,"W")</f>
        <v>1</v>
      </c>
      <c r="L19" s="1">
        <f>COUNTIFS(Database!$D:$D,$B19,Database!$E:$E,"L")</f>
        <v>0</v>
      </c>
      <c r="M19" s="1">
        <f t="shared" si="4"/>
        <v>1</v>
      </c>
      <c r="N19" s="21">
        <f t="shared" si="5"/>
        <v>1</v>
      </c>
      <c r="O19" s="14">
        <f t="shared" si="6"/>
        <v>0</v>
      </c>
      <c r="Q19" s="28" t="str">
        <f>IFERROR(IF(VLOOKUP(CONCATENATE($B19,Q$2),Database!$B:$E,4,0)="L",6,5),"")</f>
        <v/>
      </c>
      <c r="R19" s="23" t="str">
        <f>IFERROR(IF(VLOOKUP(CONCATENATE($B19,R$2),Database!$B:$E,4,0)="L",6,5),"")</f>
        <v/>
      </c>
      <c r="S19" s="23" t="str">
        <f>IFERROR(IF(VLOOKUP(CONCATENATE($B19,S$2),Database!$B:$E,4,0)="L",6,5),"")</f>
        <v/>
      </c>
      <c r="T19" s="23" t="str">
        <f>IFERROR(IF(VLOOKUP(CONCATENATE($B19,T$2),Database!$B:$E,4,0)="L",6,5),"")</f>
        <v/>
      </c>
      <c r="U19" s="29">
        <f>IFERROR(IF(VLOOKUP(CONCATENATE($B19,U$2),Database!$B:$E,4,0)="L",6,5),"")</f>
        <v>5</v>
      </c>
      <c r="V19" s="55"/>
      <c r="W19" s="56"/>
      <c r="X19" s="63"/>
      <c r="Z19" s="63" t="str">
        <f t="shared" si="7"/>
        <v>N</v>
      </c>
      <c r="AB19" s="29">
        <f>IFERROR(IF(VLOOKUP(CONCATENATE($B19,AB$2),Database!$B:$E,4,0)="L",6,5),"")</f>
        <v>5</v>
      </c>
      <c r="AC19" s="29" t="str">
        <f>IFERROR(IF(VLOOKUP(CONCATENATE($B19,AC$2),Database!$B:$E,4,0)="L",6,5),"")</f>
        <v/>
      </c>
      <c r="AD19" s="29" t="str">
        <f>IFERROR(IF(VLOOKUP(CONCATENATE($B19,AD$2),Database!$B:$E,4,0)="L",6,5),"")</f>
        <v/>
      </c>
      <c r="AE19" s="29" t="str">
        <f>IFERROR(IF(VLOOKUP(CONCATENATE($B19,AE$2),Database!$B:$E,4,0)="L",6,5),"")</f>
        <v/>
      </c>
      <c r="AF19" s="29" t="str">
        <f>IFERROR(IF(VLOOKUP(CONCATENATE($B19,AF$2),Database!$B:$E,4,0)="L",6,5),"")</f>
        <v/>
      </c>
      <c r="AG19" s="29" t="str">
        <f>IFERROR(IF(VLOOKUP(CONCATENATE($B19,AG$2),Database!$B:$E,4,0)="L",6,5),"")</f>
        <v/>
      </c>
      <c r="AH19" s="29" t="str">
        <f>IFERROR(IF(VLOOKUP(CONCATENATE($B19,AH$2),Database!$B:$E,4,0)="L",6,5),"")</f>
        <v/>
      </c>
      <c r="AI19" s="29" t="str">
        <f>IFERROR(IF(VLOOKUP(CONCATENATE($B19,AI$2),Database!$B:$E,4,0)="L",6,5),"")</f>
        <v/>
      </c>
      <c r="AJ19" s="29" t="str">
        <f>IFERROR(IF(VLOOKUP(CONCATENATE($B19,AJ$2),Database!$B:$E,4,0)="L",6,5),"")</f>
        <v/>
      </c>
      <c r="AK19" s="29" t="str">
        <f>IFERROR(IF(VLOOKUP(CONCATENATE($B19,AK$2),Database!$B:$E,4,0)="L",6,5),"")</f>
        <v/>
      </c>
      <c r="AL19" s="29" t="str">
        <f>IFERROR(IF(VLOOKUP(CONCATENATE($B19,AL$2),Database!$B:$E,4,0)="L",6,5),"")</f>
        <v/>
      </c>
      <c r="AM19" s="29" t="str">
        <f>IFERROR(IF(VLOOKUP(CONCATENATE($B19,AM$2),Database!$B:$E,4,0)="L",6,5),"")</f>
        <v/>
      </c>
      <c r="AN19" s="29" t="str">
        <f>IFERROR(IF(VLOOKUP(CONCATENATE($B19,AN$2),Database!$B:$E,4,0)="L",6,5),"")</f>
        <v/>
      </c>
      <c r="AO19" s="29" t="str">
        <f>IFERROR(IF(VLOOKUP(CONCATENATE($B19,AO$2),Database!$B:$E,4,0)="L",6,5),"")</f>
        <v/>
      </c>
      <c r="AP19" s="29" t="str">
        <f>IFERROR(IF(VLOOKUP(CONCATENATE($B19,AP$2),Database!$B:$E,4,0)="L",6,5),"")</f>
        <v/>
      </c>
      <c r="AQ19" s="29" t="str">
        <f>IFERROR(IF(VLOOKUP(CONCATENATE($B19,AQ$2),Database!$B:$E,4,0)="L",6,5),"")</f>
        <v/>
      </c>
      <c r="AR19" s="29" t="str">
        <f>IFERROR(IF(VLOOKUP(CONCATENATE($B19,AR$2),Database!$B:$E,4,0)="L",6,5),"")</f>
        <v/>
      </c>
      <c r="AS19" s="29" t="str">
        <f>IFERROR(IF(VLOOKUP(CONCATENATE($B19,AS$2),Database!$B:$E,4,0)="L",6,5),"")</f>
        <v/>
      </c>
      <c r="AT19" s="29" t="str">
        <f>IFERROR(IF(VLOOKUP(CONCATENATE($B19,AT$2),Database!$B:$E,4,0)="L",6,5),"")</f>
        <v/>
      </c>
      <c r="AU19" s="29" t="str">
        <f>IFERROR(IF(VLOOKUP(CONCATENATE($B19,AU$2),Database!$B:$E,4,0)="L",6,5),"")</f>
        <v/>
      </c>
      <c r="AV19" s="29" t="str">
        <f>IFERROR(IF(VLOOKUP(CONCATENATE($B19,AV$2),Database!$B:$E,4,0)="L",6,5),"")</f>
        <v/>
      </c>
      <c r="AW19" s="29" t="str">
        <f>IFERROR(IF(VLOOKUP(CONCATENATE($B19,AW$2),Database!$B:$E,4,0)="L",6,5),"")</f>
        <v/>
      </c>
      <c r="AX19" s="29" t="str">
        <f>IFERROR(IF(VLOOKUP(CONCATENATE($B19,AX$2),Database!$B:$E,4,0)="L",6,5),"")</f>
        <v/>
      </c>
      <c r="AY19" s="29" t="str">
        <f>IFERROR(IF(VLOOKUP(CONCATENATE($B19,AY$2),Database!$B:$E,4,0)="L",6,5),"")</f>
        <v/>
      </c>
      <c r="AZ19" s="29" t="str">
        <f>IFERROR(IF(VLOOKUP(CONCATENATE($B19,AZ$2),Database!$B:$E,4,0)="L",6,5),"")</f>
        <v/>
      </c>
      <c r="BA19" s="29" t="str">
        <f>IFERROR(IF(VLOOKUP(CONCATENATE($B19,BA$2),Database!$B:$E,4,0)="L",6,5),"")</f>
        <v/>
      </c>
      <c r="BB19" s="29" t="str">
        <f>IFERROR(IF(VLOOKUP(CONCATENATE($B19,BB$2),Database!$B:$E,4,0)="L",6,5),"")</f>
        <v/>
      </c>
      <c r="BC19" s="29" t="str">
        <f>IFERROR(IF(VLOOKUP(CONCATENATE($B19,BC$2),Database!$B:$E,4,0)="L",6,5),"")</f>
        <v/>
      </c>
      <c r="BD19" s="29" t="str">
        <f>IFERROR(IF(VLOOKUP(CONCATENATE($B19,BD$2),Database!$B:$E,4,0)="L",6,5),"")</f>
        <v/>
      </c>
      <c r="BE19" s="29" t="str">
        <f>IFERROR(IF(VLOOKUP(CONCATENATE($B19,BE$2),Database!$B:$E,4,0)="L",6,5),"")</f>
        <v/>
      </c>
      <c r="BF19" s="29" t="str">
        <f>IFERROR(IF(VLOOKUP(CONCATENATE($B19,BF$2),Database!$B:$E,4,0)="L",6,5),"")</f>
        <v/>
      </c>
      <c r="BG19" s="29" t="str">
        <f>IFERROR(IF(VLOOKUP(CONCATENATE($B19,BG$2),Database!$B:$E,4,0)="L",6,5),"")</f>
        <v/>
      </c>
      <c r="BH19" s="29" t="str">
        <f>IFERROR(IF(VLOOKUP(CONCATENATE($B19,BH$2),Database!$B:$E,4,0)="L",6,5),"")</f>
        <v/>
      </c>
      <c r="BI19" s="29" t="str">
        <f>IFERROR(IF(VLOOKUP(CONCATENATE($B19,BI$2),Database!$B:$E,4,0)="L",6,5),"")</f>
        <v/>
      </c>
      <c r="BJ19" s="29" t="str">
        <f>IFERROR(IF(VLOOKUP(CONCATENATE($B19,BJ$2),Database!$B:$E,4,0)="L",6,5),"")</f>
        <v/>
      </c>
      <c r="BK19" s="29" t="str">
        <f>IFERROR(IF(VLOOKUP(CONCATENATE($B19,BK$2),Database!$B:$E,4,0)="L",6,5),"")</f>
        <v/>
      </c>
      <c r="BL19" s="29" t="str">
        <f>IFERROR(IF(VLOOKUP(CONCATENATE($B19,BL$2),Database!$B:$E,4,0)="L",6,5),"")</f>
        <v/>
      </c>
      <c r="BM19" s="29" t="str">
        <f>IFERROR(IF(VLOOKUP(CONCATENATE($B19,BM$2),Database!$B:$E,4,0)="L",6,5),"")</f>
        <v/>
      </c>
      <c r="BN19" s="29" t="str">
        <f>IFERROR(IF(VLOOKUP(CONCATENATE($B19,BN$2),Database!$B:$E,4,0)="L",6,5),"")</f>
        <v/>
      </c>
      <c r="BO19" s="29" t="str">
        <f>IFERROR(IF(VLOOKUP(CONCATENATE($B19,BO$2),Database!$B:$E,4,0)="L",6,5),"")</f>
        <v/>
      </c>
      <c r="BP19" s="29" t="str">
        <f>IFERROR(IF(VLOOKUP(CONCATENATE($B19,BP$2),Database!$B:$E,4,0)="L",6,5),"")</f>
        <v/>
      </c>
      <c r="BQ19" s="29" t="str">
        <f>IFERROR(IF(VLOOKUP(CONCATENATE($B19,BQ$2),Database!$B:$E,4,0)="L",6,5),"")</f>
        <v/>
      </c>
      <c r="BR19" s="29" t="str">
        <f>IFERROR(IF(VLOOKUP(CONCATENATE($B19,BR$2),Database!$B:$E,4,0)="L",6,5),"")</f>
        <v/>
      </c>
      <c r="BS19" s="29" t="str">
        <f>IFERROR(IF(VLOOKUP(CONCATENATE($B19,BS$2),Database!$B:$E,4,0)="L",6,5),"")</f>
        <v/>
      </c>
      <c r="BT19" s="29" t="str">
        <f>IFERROR(IF(VLOOKUP(CONCATENATE($B19,BT$2),Database!$B:$E,4,0)="L",6,5),"")</f>
        <v/>
      </c>
      <c r="BU19" s="29" t="str">
        <f>IFERROR(IF(VLOOKUP(CONCATENATE($B19,BU$2),Database!$B:$E,4,0)="L",6,5),"")</f>
        <v/>
      </c>
      <c r="BV19" s="29" t="str">
        <f>IFERROR(IF(VLOOKUP(CONCATENATE($B19,BV$2),Database!$B:$E,4,0)="L",6,5),"")</f>
        <v/>
      </c>
      <c r="BW19" s="29" t="str">
        <f>IFERROR(IF(VLOOKUP(CONCATENATE($B19,BW$2),Database!$B:$E,4,0)="L",6,5),"")</f>
        <v/>
      </c>
      <c r="BX19" s="29" t="str">
        <f>IFERROR(IF(VLOOKUP(CONCATENATE($B19,BX$2),Database!$B:$E,4,0)="L",6,5),"")</f>
        <v/>
      </c>
      <c r="BY19" s="29" t="str">
        <f>IFERROR(IF(VLOOKUP(CONCATENATE($B19,BY$2),Database!$B:$E,4,0)="L",6,5),"")</f>
        <v/>
      </c>
      <c r="BZ19" s="29" t="str">
        <f>IFERROR(IF(VLOOKUP(CONCATENATE($B19,BZ$2),Database!$B:$E,4,0)="L",6,5),"")</f>
        <v/>
      </c>
    </row>
    <row r="20" spans="2:78" ht="14.3" hidden="1" x14ac:dyDescent="0.3">
      <c r="B20" s="19" t="s">
        <v>141</v>
      </c>
      <c r="C20" s="16">
        <f>COUNTIFS(Database!$D:$D,$B20,Database!$C:$C,"&gt;1/1/25")</f>
        <v>0</v>
      </c>
      <c r="D20" s="1">
        <f>COUNTIFS(Database!$D:$D,$B20,Database!$E:$E,"W",Database!$C:$C,"&gt;1/1/25")</f>
        <v>0</v>
      </c>
      <c r="E20" s="1">
        <f>COUNTIFS(Database!$D:$D,$B20,Database!$E:$E,"L",Database!$C:$C,"&gt;1/1/25")</f>
        <v>0</v>
      </c>
      <c r="F20" s="1">
        <f t="shared" si="1"/>
        <v>0</v>
      </c>
      <c r="G20" s="21" t="str">
        <f t="shared" si="2"/>
        <v>-</v>
      </c>
      <c r="H20" s="14" t="str">
        <f t="shared" si="3"/>
        <v>-</v>
      </c>
      <c r="J20" s="16">
        <f>COUNTIF(Database!$D:$D,$B20)</f>
        <v>1</v>
      </c>
      <c r="K20" s="1">
        <f>COUNTIFS(Database!$D:$D,$B20,Database!$E:$E,"W")</f>
        <v>1</v>
      </c>
      <c r="L20" s="1">
        <f>COUNTIFS(Database!$D:$D,$B20,Database!$E:$E,"L")</f>
        <v>0</v>
      </c>
      <c r="M20" s="1">
        <f t="shared" si="4"/>
        <v>1</v>
      </c>
      <c r="N20" s="21">
        <f t="shared" si="5"/>
        <v>1</v>
      </c>
      <c r="O20" s="14">
        <f t="shared" si="6"/>
        <v>0</v>
      </c>
      <c r="Q20" s="28" t="str">
        <f>IFERROR(IF(VLOOKUP(CONCATENATE($B20,Q$2),Database!$B:$E,4,0)="L",6,5),"")</f>
        <v/>
      </c>
      <c r="R20" s="23" t="str">
        <f>IFERROR(IF(VLOOKUP(CONCATENATE($B20,R$2),Database!$B:$E,4,0)="L",6,5),"")</f>
        <v/>
      </c>
      <c r="S20" s="23" t="str">
        <f>IFERROR(IF(VLOOKUP(CONCATENATE($B20,S$2),Database!$B:$E,4,0)="L",6,5),"")</f>
        <v/>
      </c>
      <c r="T20" s="23" t="str">
        <f>IFERROR(IF(VLOOKUP(CONCATENATE($B20,T$2),Database!$B:$E,4,0)="L",6,5),"")</f>
        <v/>
      </c>
      <c r="U20" s="29">
        <f>IFERROR(IF(VLOOKUP(CONCATENATE($B20,U$2),Database!$B:$E,4,0)="L",6,5),"")</f>
        <v>5</v>
      </c>
      <c r="V20" s="55"/>
      <c r="W20" s="56"/>
      <c r="X20" s="63"/>
      <c r="Z20" s="63" t="str">
        <f t="shared" si="7"/>
        <v>N</v>
      </c>
      <c r="AB20" s="29">
        <f>IFERROR(IF(VLOOKUP(CONCATENATE($B20,AB$2),Database!$B:$E,4,0)="L",6,5),"")</f>
        <v>5</v>
      </c>
      <c r="AC20" s="29" t="str">
        <f>IFERROR(IF(VLOOKUP(CONCATENATE($B20,AC$2),Database!$B:$E,4,0)="L",6,5),"")</f>
        <v/>
      </c>
      <c r="AD20" s="29" t="str">
        <f>IFERROR(IF(VLOOKUP(CONCATENATE($B20,AD$2),Database!$B:$E,4,0)="L",6,5),"")</f>
        <v/>
      </c>
      <c r="AE20" s="29" t="str">
        <f>IFERROR(IF(VLOOKUP(CONCATENATE($B20,AE$2),Database!$B:$E,4,0)="L",6,5),"")</f>
        <v/>
      </c>
      <c r="AF20" s="29" t="str">
        <f>IFERROR(IF(VLOOKUP(CONCATENATE($B20,AF$2),Database!$B:$E,4,0)="L",6,5),"")</f>
        <v/>
      </c>
      <c r="AG20" s="29" t="str">
        <f>IFERROR(IF(VLOOKUP(CONCATENATE($B20,AG$2),Database!$B:$E,4,0)="L",6,5),"")</f>
        <v/>
      </c>
      <c r="AH20" s="29" t="str">
        <f>IFERROR(IF(VLOOKUP(CONCATENATE($B20,AH$2),Database!$B:$E,4,0)="L",6,5),"")</f>
        <v/>
      </c>
      <c r="AI20" s="29" t="str">
        <f>IFERROR(IF(VLOOKUP(CONCATENATE($B20,AI$2),Database!$B:$E,4,0)="L",6,5),"")</f>
        <v/>
      </c>
      <c r="AJ20" s="29" t="str">
        <f>IFERROR(IF(VLOOKUP(CONCATENATE($B20,AJ$2),Database!$B:$E,4,0)="L",6,5),"")</f>
        <v/>
      </c>
      <c r="AK20" s="29" t="str">
        <f>IFERROR(IF(VLOOKUP(CONCATENATE($B20,AK$2),Database!$B:$E,4,0)="L",6,5),"")</f>
        <v/>
      </c>
      <c r="AL20" s="29" t="str">
        <f>IFERROR(IF(VLOOKUP(CONCATENATE($B20,AL$2),Database!$B:$E,4,0)="L",6,5),"")</f>
        <v/>
      </c>
      <c r="AM20" s="29" t="str">
        <f>IFERROR(IF(VLOOKUP(CONCATENATE($B20,AM$2),Database!$B:$E,4,0)="L",6,5),"")</f>
        <v/>
      </c>
      <c r="AN20" s="29" t="str">
        <f>IFERROR(IF(VLOOKUP(CONCATENATE($B20,AN$2),Database!$B:$E,4,0)="L",6,5),"")</f>
        <v/>
      </c>
      <c r="AO20" s="29" t="str">
        <f>IFERROR(IF(VLOOKUP(CONCATENATE($B20,AO$2),Database!$B:$E,4,0)="L",6,5),"")</f>
        <v/>
      </c>
      <c r="AP20" s="29" t="str">
        <f>IFERROR(IF(VLOOKUP(CONCATENATE($B20,AP$2),Database!$B:$E,4,0)="L",6,5),"")</f>
        <v/>
      </c>
      <c r="AQ20" s="29" t="str">
        <f>IFERROR(IF(VLOOKUP(CONCATENATE($B20,AQ$2),Database!$B:$E,4,0)="L",6,5),"")</f>
        <v/>
      </c>
      <c r="AR20" s="29" t="str">
        <f>IFERROR(IF(VLOOKUP(CONCATENATE($B20,AR$2),Database!$B:$E,4,0)="L",6,5),"")</f>
        <v/>
      </c>
      <c r="AS20" s="29" t="str">
        <f>IFERROR(IF(VLOOKUP(CONCATENATE($B20,AS$2),Database!$B:$E,4,0)="L",6,5),"")</f>
        <v/>
      </c>
      <c r="AT20" s="29" t="str">
        <f>IFERROR(IF(VLOOKUP(CONCATENATE($B20,AT$2),Database!$B:$E,4,0)="L",6,5),"")</f>
        <v/>
      </c>
      <c r="AU20" s="29" t="str">
        <f>IFERROR(IF(VLOOKUP(CONCATENATE($B20,AU$2),Database!$B:$E,4,0)="L",6,5),"")</f>
        <v/>
      </c>
      <c r="AV20" s="29" t="str">
        <f>IFERROR(IF(VLOOKUP(CONCATENATE($B20,AV$2),Database!$B:$E,4,0)="L",6,5),"")</f>
        <v/>
      </c>
      <c r="AW20" s="29" t="str">
        <f>IFERROR(IF(VLOOKUP(CONCATENATE($B20,AW$2),Database!$B:$E,4,0)="L",6,5),"")</f>
        <v/>
      </c>
      <c r="AX20" s="29" t="str">
        <f>IFERROR(IF(VLOOKUP(CONCATENATE($B20,AX$2),Database!$B:$E,4,0)="L",6,5),"")</f>
        <v/>
      </c>
      <c r="AY20" s="29" t="str">
        <f>IFERROR(IF(VLOOKUP(CONCATENATE($B20,AY$2),Database!$B:$E,4,0)="L",6,5),"")</f>
        <v/>
      </c>
      <c r="AZ20" s="29" t="str">
        <f>IFERROR(IF(VLOOKUP(CONCATENATE($B20,AZ$2),Database!$B:$E,4,0)="L",6,5),"")</f>
        <v/>
      </c>
      <c r="BA20" s="29" t="str">
        <f>IFERROR(IF(VLOOKUP(CONCATENATE($B20,BA$2),Database!$B:$E,4,0)="L",6,5),"")</f>
        <v/>
      </c>
      <c r="BB20" s="29" t="str">
        <f>IFERROR(IF(VLOOKUP(CONCATENATE($B20,BB$2),Database!$B:$E,4,0)="L",6,5),"")</f>
        <v/>
      </c>
      <c r="BC20" s="29" t="str">
        <f>IFERROR(IF(VLOOKUP(CONCATENATE($B20,BC$2),Database!$B:$E,4,0)="L",6,5),"")</f>
        <v/>
      </c>
      <c r="BD20" s="29" t="str">
        <f>IFERROR(IF(VLOOKUP(CONCATENATE($B20,BD$2),Database!$B:$E,4,0)="L",6,5),"")</f>
        <v/>
      </c>
      <c r="BE20" s="29" t="str">
        <f>IFERROR(IF(VLOOKUP(CONCATENATE($B20,BE$2),Database!$B:$E,4,0)="L",6,5),"")</f>
        <v/>
      </c>
      <c r="BF20" s="29" t="str">
        <f>IFERROR(IF(VLOOKUP(CONCATENATE($B20,BF$2),Database!$B:$E,4,0)="L",6,5),"")</f>
        <v/>
      </c>
      <c r="BG20" s="29" t="str">
        <f>IFERROR(IF(VLOOKUP(CONCATENATE($B20,BG$2),Database!$B:$E,4,0)="L",6,5),"")</f>
        <v/>
      </c>
      <c r="BH20" s="29" t="str">
        <f>IFERROR(IF(VLOOKUP(CONCATENATE($B20,BH$2),Database!$B:$E,4,0)="L",6,5),"")</f>
        <v/>
      </c>
      <c r="BI20" s="29" t="str">
        <f>IFERROR(IF(VLOOKUP(CONCATENATE($B20,BI$2),Database!$B:$E,4,0)="L",6,5),"")</f>
        <v/>
      </c>
      <c r="BJ20" s="29" t="str">
        <f>IFERROR(IF(VLOOKUP(CONCATENATE($B20,BJ$2),Database!$B:$E,4,0)="L",6,5),"")</f>
        <v/>
      </c>
      <c r="BK20" s="29" t="str">
        <f>IFERROR(IF(VLOOKUP(CONCATENATE($B20,BK$2),Database!$B:$E,4,0)="L",6,5),"")</f>
        <v/>
      </c>
      <c r="BL20" s="29" t="str">
        <f>IFERROR(IF(VLOOKUP(CONCATENATE($B20,BL$2),Database!$B:$E,4,0)="L",6,5),"")</f>
        <v/>
      </c>
      <c r="BM20" s="29" t="str">
        <f>IFERROR(IF(VLOOKUP(CONCATENATE($B20,BM$2),Database!$B:$E,4,0)="L",6,5),"")</f>
        <v/>
      </c>
      <c r="BN20" s="29" t="str">
        <f>IFERROR(IF(VLOOKUP(CONCATENATE($B20,BN$2),Database!$B:$E,4,0)="L",6,5),"")</f>
        <v/>
      </c>
      <c r="BO20" s="29" t="str">
        <f>IFERROR(IF(VLOOKUP(CONCATENATE($B20,BO$2),Database!$B:$E,4,0)="L",6,5),"")</f>
        <v/>
      </c>
      <c r="BP20" s="29" t="str">
        <f>IFERROR(IF(VLOOKUP(CONCATENATE($B20,BP$2),Database!$B:$E,4,0)="L",6,5),"")</f>
        <v/>
      </c>
      <c r="BQ20" s="29" t="str">
        <f>IFERROR(IF(VLOOKUP(CONCATENATE($B20,BQ$2),Database!$B:$E,4,0)="L",6,5),"")</f>
        <v/>
      </c>
      <c r="BR20" s="29" t="str">
        <f>IFERROR(IF(VLOOKUP(CONCATENATE($B20,BR$2),Database!$B:$E,4,0)="L",6,5),"")</f>
        <v/>
      </c>
      <c r="BS20" s="29" t="str">
        <f>IFERROR(IF(VLOOKUP(CONCATENATE($B20,BS$2),Database!$B:$E,4,0)="L",6,5),"")</f>
        <v/>
      </c>
      <c r="BT20" s="29" t="str">
        <f>IFERROR(IF(VLOOKUP(CONCATENATE($B20,BT$2),Database!$B:$E,4,0)="L",6,5),"")</f>
        <v/>
      </c>
      <c r="BU20" s="29" t="str">
        <f>IFERROR(IF(VLOOKUP(CONCATENATE($B20,BU$2),Database!$B:$E,4,0)="L",6,5),"")</f>
        <v/>
      </c>
      <c r="BV20" s="29" t="str">
        <f>IFERROR(IF(VLOOKUP(CONCATENATE($B20,BV$2),Database!$B:$E,4,0)="L",6,5),"")</f>
        <v/>
      </c>
      <c r="BW20" s="29" t="str">
        <f>IFERROR(IF(VLOOKUP(CONCATENATE($B20,BW$2),Database!$B:$E,4,0)="L",6,5),"")</f>
        <v/>
      </c>
      <c r="BX20" s="29" t="str">
        <f>IFERROR(IF(VLOOKUP(CONCATENATE($B20,BX$2),Database!$B:$E,4,0)="L",6,5),"")</f>
        <v/>
      </c>
      <c r="BY20" s="29" t="str">
        <f>IFERROR(IF(VLOOKUP(CONCATENATE($B20,BY$2),Database!$B:$E,4,0)="L",6,5),"")</f>
        <v/>
      </c>
      <c r="BZ20" s="29" t="str">
        <f>IFERROR(IF(VLOOKUP(CONCATENATE($B20,BZ$2),Database!$B:$E,4,0)="L",6,5),"")</f>
        <v/>
      </c>
    </row>
    <row r="21" spans="2:78" ht="14.3" hidden="1" x14ac:dyDescent="0.3">
      <c r="B21" s="19" t="s">
        <v>149</v>
      </c>
      <c r="C21" s="16">
        <f>COUNTIFS(Database!$D:$D,$B21,Database!$C:$C,"&gt;1/1/25")</f>
        <v>0</v>
      </c>
      <c r="D21" s="1">
        <f>COUNTIFS(Database!$D:$D,$B21,Database!$E:$E,"W",Database!$C:$C,"&gt;1/1/25")</f>
        <v>0</v>
      </c>
      <c r="E21" s="1">
        <f>COUNTIFS(Database!$D:$D,$B21,Database!$E:$E,"L",Database!$C:$C,"&gt;1/1/25")</f>
        <v>0</v>
      </c>
      <c r="F21" s="1">
        <f t="shared" si="1"/>
        <v>0</v>
      </c>
      <c r="G21" s="21" t="str">
        <f t="shared" si="2"/>
        <v>-</v>
      </c>
      <c r="H21" s="14" t="str">
        <f t="shared" si="3"/>
        <v>-</v>
      </c>
      <c r="J21" s="16">
        <f>COUNTIF(Database!$D:$D,$B21)</f>
        <v>1</v>
      </c>
      <c r="K21" s="1">
        <f>COUNTIFS(Database!$D:$D,$B21,Database!$E:$E,"W")</f>
        <v>1</v>
      </c>
      <c r="L21" s="1">
        <f>COUNTIFS(Database!$D:$D,$B21,Database!$E:$E,"L")</f>
        <v>0</v>
      </c>
      <c r="M21" s="1">
        <f t="shared" si="4"/>
        <v>1</v>
      </c>
      <c r="N21" s="21">
        <f t="shared" si="5"/>
        <v>1</v>
      </c>
      <c r="O21" s="14">
        <f t="shared" si="6"/>
        <v>0</v>
      </c>
      <c r="Q21" s="28" t="str">
        <f>IFERROR(IF(VLOOKUP(CONCATENATE($B21,Q$2),Database!$B:$E,4,0)="L",6,5),"")</f>
        <v/>
      </c>
      <c r="R21" s="23" t="str">
        <f>IFERROR(IF(VLOOKUP(CONCATENATE($B21,R$2),Database!$B:$E,4,0)="L",6,5),"")</f>
        <v/>
      </c>
      <c r="S21" s="23" t="str">
        <f>IFERROR(IF(VLOOKUP(CONCATENATE($B21,S$2),Database!$B:$E,4,0)="L",6,5),"")</f>
        <v/>
      </c>
      <c r="T21" s="23" t="str">
        <f>IFERROR(IF(VLOOKUP(CONCATENATE($B21,T$2),Database!$B:$E,4,0)="L",6,5),"")</f>
        <v/>
      </c>
      <c r="U21" s="29">
        <f>IFERROR(IF(VLOOKUP(CONCATENATE($B21,U$2),Database!$B:$E,4,0)="L",6,5),"")</f>
        <v>5</v>
      </c>
      <c r="V21" s="55"/>
      <c r="W21" s="62"/>
      <c r="X21" s="85"/>
      <c r="Z21" s="63" t="str">
        <f t="shared" si="7"/>
        <v>N</v>
      </c>
      <c r="AB21" s="29">
        <f>IFERROR(IF(VLOOKUP(CONCATENATE($B21,AB$2),Database!$B:$E,4,0)="L",6,5),"")</f>
        <v>5</v>
      </c>
      <c r="AC21" s="29" t="str">
        <f>IFERROR(IF(VLOOKUP(CONCATENATE($B21,AC$2),Database!$B:$E,4,0)="L",6,5),"")</f>
        <v/>
      </c>
      <c r="AD21" s="29" t="str">
        <f>IFERROR(IF(VLOOKUP(CONCATENATE($B21,AD$2),Database!$B:$E,4,0)="L",6,5),"")</f>
        <v/>
      </c>
      <c r="AE21" s="29" t="str">
        <f>IFERROR(IF(VLOOKUP(CONCATENATE($B21,AE$2),Database!$B:$E,4,0)="L",6,5),"")</f>
        <v/>
      </c>
      <c r="AF21" s="29" t="str">
        <f>IFERROR(IF(VLOOKUP(CONCATENATE($B21,AF$2),Database!$B:$E,4,0)="L",6,5),"")</f>
        <v/>
      </c>
      <c r="AG21" s="29" t="str">
        <f>IFERROR(IF(VLOOKUP(CONCATENATE($B21,AG$2),Database!$B:$E,4,0)="L",6,5),"")</f>
        <v/>
      </c>
      <c r="AH21" s="29" t="str">
        <f>IFERROR(IF(VLOOKUP(CONCATENATE($B21,AH$2),Database!$B:$E,4,0)="L",6,5),"")</f>
        <v/>
      </c>
      <c r="AI21" s="29" t="str">
        <f>IFERROR(IF(VLOOKUP(CONCATENATE($B21,AI$2),Database!$B:$E,4,0)="L",6,5),"")</f>
        <v/>
      </c>
      <c r="AJ21" s="29" t="str">
        <f>IFERROR(IF(VLOOKUP(CONCATENATE($B21,AJ$2),Database!$B:$E,4,0)="L",6,5),"")</f>
        <v/>
      </c>
      <c r="AK21" s="29" t="str">
        <f>IFERROR(IF(VLOOKUP(CONCATENATE($B21,AK$2),Database!$B:$E,4,0)="L",6,5),"")</f>
        <v/>
      </c>
      <c r="AL21" s="29" t="str">
        <f>IFERROR(IF(VLOOKUP(CONCATENATE($B21,AL$2),Database!$B:$E,4,0)="L",6,5),"")</f>
        <v/>
      </c>
      <c r="AM21" s="29" t="str">
        <f>IFERROR(IF(VLOOKUP(CONCATENATE($B21,AM$2),Database!$B:$E,4,0)="L",6,5),"")</f>
        <v/>
      </c>
      <c r="AN21" s="29" t="str">
        <f>IFERROR(IF(VLOOKUP(CONCATENATE($B21,AN$2),Database!$B:$E,4,0)="L",6,5),"")</f>
        <v/>
      </c>
      <c r="AO21" s="29" t="str">
        <f>IFERROR(IF(VLOOKUP(CONCATENATE($B21,AO$2),Database!$B:$E,4,0)="L",6,5),"")</f>
        <v/>
      </c>
      <c r="AP21" s="29" t="str">
        <f>IFERROR(IF(VLOOKUP(CONCATENATE($B21,AP$2),Database!$B:$E,4,0)="L",6,5),"")</f>
        <v/>
      </c>
      <c r="AQ21" s="29" t="str">
        <f>IFERROR(IF(VLOOKUP(CONCATENATE($B21,AQ$2),Database!$B:$E,4,0)="L",6,5),"")</f>
        <v/>
      </c>
      <c r="AR21" s="29" t="str">
        <f>IFERROR(IF(VLOOKUP(CONCATENATE($B21,AR$2),Database!$B:$E,4,0)="L",6,5),"")</f>
        <v/>
      </c>
      <c r="AS21" s="29" t="str">
        <f>IFERROR(IF(VLOOKUP(CONCATENATE($B21,AS$2),Database!$B:$E,4,0)="L",6,5),"")</f>
        <v/>
      </c>
      <c r="AT21" s="29" t="str">
        <f>IFERROR(IF(VLOOKUP(CONCATENATE($B21,AT$2),Database!$B:$E,4,0)="L",6,5),"")</f>
        <v/>
      </c>
      <c r="AU21" s="29" t="str">
        <f>IFERROR(IF(VLOOKUP(CONCATENATE($B21,AU$2),Database!$B:$E,4,0)="L",6,5),"")</f>
        <v/>
      </c>
      <c r="AV21" s="29" t="str">
        <f>IFERROR(IF(VLOOKUP(CONCATENATE($B21,AV$2),Database!$B:$E,4,0)="L",6,5),"")</f>
        <v/>
      </c>
      <c r="AW21" s="29" t="str">
        <f>IFERROR(IF(VLOOKUP(CONCATENATE($B21,AW$2),Database!$B:$E,4,0)="L",6,5),"")</f>
        <v/>
      </c>
      <c r="AX21" s="29" t="str">
        <f>IFERROR(IF(VLOOKUP(CONCATENATE($B21,AX$2),Database!$B:$E,4,0)="L",6,5),"")</f>
        <v/>
      </c>
      <c r="AY21" s="29" t="str">
        <f>IFERROR(IF(VLOOKUP(CONCATENATE($B21,AY$2),Database!$B:$E,4,0)="L",6,5),"")</f>
        <v/>
      </c>
      <c r="AZ21" s="29" t="str">
        <f>IFERROR(IF(VLOOKUP(CONCATENATE($B21,AZ$2),Database!$B:$E,4,0)="L",6,5),"")</f>
        <v/>
      </c>
      <c r="BA21" s="29" t="str">
        <f>IFERROR(IF(VLOOKUP(CONCATENATE($B21,BA$2),Database!$B:$E,4,0)="L",6,5),"")</f>
        <v/>
      </c>
      <c r="BB21" s="29" t="str">
        <f>IFERROR(IF(VLOOKUP(CONCATENATE($B21,BB$2),Database!$B:$E,4,0)="L",6,5),"")</f>
        <v/>
      </c>
      <c r="BC21" s="29" t="str">
        <f>IFERROR(IF(VLOOKUP(CONCATENATE($B21,BC$2),Database!$B:$E,4,0)="L",6,5),"")</f>
        <v/>
      </c>
      <c r="BD21" s="29" t="str">
        <f>IFERROR(IF(VLOOKUP(CONCATENATE($B21,BD$2),Database!$B:$E,4,0)="L",6,5),"")</f>
        <v/>
      </c>
      <c r="BE21" s="29" t="str">
        <f>IFERROR(IF(VLOOKUP(CONCATENATE($B21,BE$2),Database!$B:$E,4,0)="L",6,5),"")</f>
        <v/>
      </c>
      <c r="BF21" s="29" t="str">
        <f>IFERROR(IF(VLOOKUP(CONCATENATE($B21,BF$2),Database!$B:$E,4,0)="L",6,5),"")</f>
        <v/>
      </c>
      <c r="BG21" s="29" t="str">
        <f>IFERROR(IF(VLOOKUP(CONCATENATE($B21,BG$2),Database!$B:$E,4,0)="L",6,5),"")</f>
        <v/>
      </c>
      <c r="BH21" s="29" t="str">
        <f>IFERROR(IF(VLOOKUP(CONCATENATE($B21,BH$2),Database!$B:$E,4,0)="L",6,5),"")</f>
        <v/>
      </c>
      <c r="BI21" s="29" t="str">
        <f>IFERROR(IF(VLOOKUP(CONCATENATE($B21,BI$2),Database!$B:$E,4,0)="L",6,5),"")</f>
        <v/>
      </c>
      <c r="BJ21" s="29" t="str">
        <f>IFERROR(IF(VLOOKUP(CONCATENATE($B21,BJ$2),Database!$B:$E,4,0)="L",6,5),"")</f>
        <v/>
      </c>
      <c r="BK21" s="29" t="str">
        <f>IFERROR(IF(VLOOKUP(CONCATENATE($B21,BK$2),Database!$B:$E,4,0)="L",6,5),"")</f>
        <v/>
      </c>
      <c r="BL21" s="29" t="str">
        <f>IFERROR(IF(VLOOKUP(CONCATENATE($B21,BL$2),Database!$B:$E,4,0)="L",6,5),"")</f>
        <v/>
      </c>
      <c r="BM21" s="29" t="str">
        <f>IFERROR(IF(VLOOKUP(CONCATENATE($B21,BM$2),Database!$B:$E,4,0)="L",6,5),"")</f>
        <v/>
      </c>
      <c r="BN21" s="29" t="str">
        <f>IFERROR(IF(VLOOKUP(CONCATENATE($B21,BN$2),Database!$B:$E,4,0)="L",6,5),"")</f>
        <v/>
      </c>
      <c r="BO21" s="29" t="str">
        <f>IFERROR(IF(VLOOKUP(CONCATENATE($B21,BO$2),Database!$B:$E,4,0)="L",6,5),"")</f>
        <v/>
      </c>
      <c r="BP21" s="29" t="str">
        <f>IFERROR(IF(VLOOKUP(CONCATENATE($B21,BP$2),Database!$B:$E,4,0)="L",6,5),"")</f>
        <v/>
      </c>
      <c r="BQ21" s="29" t="str">
        <f>IFERROR(IF(VLOOKUP(CONCATENATE($B21,BQ$2),Database!$B:$E,4,0)="L",6,5),"")</f>
        <v/>
      </c>
      <c r="BR21" s="29" t="str">
        <f>IFERROR(IF(VLOOKUP(CONCATENATE($B21,BR$2),Database!$B:$E,4,0)="L",6,5),"")</f>
        <v/>
      </c>
      <c r="BS21" s="29" t="str">
        <f>IFERROR(IF(VLOOKUP(CONCATENATE($B21,BS$2),Database!$B:$E,4,0)="L",6,5),"")</f>
        <v/>
      </c>
      <c r="BT21" s="29" t="str">
        <f>IFERROR(IF(VLOOKUP(CONCATENATE($B21,BT$2),Database!$B:$E,4,0)="L",6,5),"")</f>
        <v/>
      </c>
      <c r="BU21" s="29" t="str">
        <f>IFERROR(IF(VLOOKUP(CONCATENATE($B21,BU$2),Database!$B:$E,4,0)="L",6,5),"")</f>
        <v/>
      </c>
      <c r="BV21" s="29" t="str">
        <f>IFERROR(IF(VLOOKUP(CONCATENATE($B21,BV$2),Database!$B:$E,4,0)="L",6,5),"")</f>
        <v/>
      </c>
      <c r="BW21" s="29" t="str">
        <f>IFERROR(IF(VLOOKUP(CONCATENATE($B21,BW$2),Database!$B:$E,4,0)="L",6,5),"")</f>
        <v/>
      </c>
      <c r="BX21" s="29" t="str">
        <f>IFERROR(IF(VLOOKUP(CONCATENATE($B21,BX$2),Database!$B:$E,4,0)="L",6,5),"")</f>
        <v/>
      </c>
      <c r="BY21" s="29" t="str">
        <f>IFERROR(IF(VLOOKUP(CONCATENATE($B21,BY$2),Database!$B:$E,4,0)="L",6,5),"")</f>
        <v/>
      </c>
      <c r="BZ21" s="29" t="str">
        <f>IFERROR(IF(VLOOKUP(CONCATENATE($B21,BZ$2),Database!$B:$E,4,0)="L",6,5),"")</f>
        <v/>
      </c>
    </row>
    <row r="22" spans="2:78" ht="14.3" hidden="1" x14ac:dyDescent="0.3">
      <c r="B22" s="19" t="s">
        <v>150</v>
      </c>
      <c r="C22" s="16">
        <f>COUNTIFS(Database!$D:$D,$B22,Database!$C:$C,"&gt;1/1/25")</f>
        <v>0</v>
      </c>
      <c r="D22" s="1">
        <f>COUNTIFS(Database!$D:$D,$B22,Database!$E:$E,"W",Database!$C:$C,"&gt;1/1/25")</f>
        <v>0</v>
      </c>
      <c r="E22" s="1">
        <f>COUNTIFS(Database!$D:$D,$B22,Database!$E:$E,"L",Database!$C:$C,"&gt;1/1/25")</f>
        <v>0</v>
      </c>
      <c r="F22" s="1">
        <f t="shared" si="1"/>
        <v>0</v>
      </c>
      <c r="G22" s="21" t="str">
        <f t="shared" si="2"/>
        <v>-</v>
      </c>
      <c r="H22" s="14" t="str">
        <f t="shared" si="3"/>
        <v>-</v>
      </c>
      <c r="J22" s="16">
        <f>COUNTIF(Database!$D:$D,$B22)</f>
        <v>1</v>
      </c>
      <c r="K22" s="1">
        <f>COUNTIFS(Database!$D:$D,$B22,Database!$E:$E,"W")</f>
        <v>1</v>
      </c>
      <c r="L22" s="1">
        <f>COUNTIFS(Database!$D:$D,$B22,Database!$E:$E,"L")</f>
        <v>0</v>
      </c>
      <c r="M22" s="1">
        <f t="shared" si="4"/>
        <v>1</v>
      </c>
      <c r="N22" s="21">
        <f t="shared" si="5"/>
        <v>1</v>
      </c>
      <c r="O22" s="14">
        <f t="shared" si="6"/>
        <v>0</v>
      </c>
      <c r="Q22" s="28" t="str">
        <f>IFERROR(IF(VLOOKUP(CONCATENATE($B22,Q$2),Database!$B:$E,4,0)="L",6,5),"")</f>
        <v/>
      </c>
      <c r="R22" s="23" t="str">
        <f>IFERROR(IF(VLOOKUP(CONCATENATE($B22,R$2),Database!$B:$E,4,0)="L",6,5),"")</f>
        <v/>
      </c>
      <c r="S22" s="23" t="str">
        <f>IFERROR(IF(VLOOKUP(CONCATENATE($B22,S$2),Database!$B:$E,4,0)="L",6,5),"")</f>
        <v/>
      </c>
      <c r="T22" s="23" t="str">
        <f>IFERROR(IF(VLOOKUP(CONCATENATE($B22,T$2),Database!$B:$E,4,0)="L",6,5),"")</f>
        <v/>
      </c>
      <c r="U22" s="29">
        <f>IFERROR(IF(VLOOKUP(CONCATENATE($B22,U$2),Database!$B:$E,4,0)="L",6,5),"")</f>
        <v>5</v>
      </c>
      <c r="V22" s="55"/>
      <c r="W22" s="56"/>
      <c r="X22" s="63"/>
      <c r="Z22" s="63" t="str">
        <f t="shared" si="7"/>
        <v>N</v>
      </c>
      <c r="AB22" s="29">
        <f>IFERROR(IF(VLOOKUP(CONCATENATE($B22,AB$2),Database!$B:$E,4,0)="L",6,5),"")</f>
        <v>5</v>
      </c>
      <c r="AC22" s="29" t="str">
        <f>IFERROR(IF(VLOOKUP(CONCATENATE($B22,AC$2),Database!$B:$E,4,0)="L",6,5),"")</f>
        <v/>
      </c>
      <c r="AD22" s="29" t="str">
        <f>IFERROR(IF(VLOOKUP(CONCATENATE($B22,AD$2),Database!$B:$E,4,0)="L",6,5),"")</f>
        <v/>
      </c>
      <c r="AE22" s="29" t="str">
        <f>IFERROR(IF(VLOOKUP(CONCATENATE($B22,AE$2),Database!$B:$E,4,0)="L",6,5),"")</f>
        <v/>
      </c>
      <c r="AF22" s="29" t="str">
        <f>IFERROR(IF(VLOOKUP(CONCATENATE($B22,AF$2),Database!$B:$E,4,0)="L",6,5),"")</f>
        <v/>
      </c>
      <c r="AG22" s="29" t="str">
        <f>IFERROR(IF(VLOOKUP(CONCATENATE($B22,AG$2),Database!$B:$E,4,0)="L",6,5),"")</f>
        <v/>
      </c>
      <c r="AH22" s="29" t="str">
        <f>IFERROR(IF(VLOOKUP(CONCATENATE($B22,AH$2),Database!$B:$E,4,0)="L",6,5),"")</f>
        <v/>
      </c>
      <c r="AI22" s="29" t="str">
        <f>IFERROR(IF(VLOOKUP(CONCATENATE($B22,AI$2),Database!$B:$E,4,0)="L",6,5),"")</f>
        <v/>
      </c>
      <c r="AJ22" s="29" t="str">
        <f>IFERROR(IF(VLOOKUP(CONCATENATE($B22,AJ$2),Database!$B:$E,4,0)="L",6,5),"")</f>
        <v/>
      </c>
      <c r="AK22" s="29" t="str">
        <f>IFERROR(IF(VLOOKUP(CONCATENATE($B22,AK$2),Database!$B:$E,4,0)="L",6,5),"")</f>
        <v/>
      </c>
      <c r="AL22" s="29" t="str">
        <f>IFERROR(IF(VLOOKUP(CONCATENATE($B22,AL$2),Database!$B:$E,4,0)="L",6,5),"")</f>
        <v/>
      </c>
      <c r="AM22" s="29" t="str">
        <f>IFERROR(IF(VLOOKUP(CONCATENATE($B22,AM$2),Database!$B:$E,4,0)="L",6,5),"")</f>
        <v/>
      </c>
      <c r="AN22" s="29" t="str">
        <f>IFERROR(IF(VLOOKUP(CONCATENATE($B22,AN$2),Database!$B:$E,4,0)="L",6,5),"")</f>
        <v/>
      </c>
      <c r="AO22" s="29" t="str">
        <f>IFERROR(IF(VLOOKUP(CONCATENATE($B22,AO$2),Database!$B:$E,4,0)="L",6,5),"")</f>
        <v/>
      </c>
      <c r="AP22" s="29" t="str">
        <f>IFERROR(IF(VLOOKUP(CONCATENATE($B22,AP$2),Database!$B:$E,4,0)="L",6,5),"")</f>
        <v/>
      </c>
      <c r="AQ22" s="29" t="str">
        <f>IFERROR(IF(VLOOKUP(CONCATENATE($B22,AQ$2),Database!$B:$E,4,0)="L",6,5),"")</f>
        <v/>
      </c>
      <c r="AR22" s="29" t="str">
        <f>IFERROR(IF(VLOOKUP(CONCATENATE($B22,AR$2),Database!$B:$E,4,0)="L",6,5),"")</f>
        <v/>
      </c>
      <c r="AS22" s="29" t="str">
        <f>IFERROR(IF(VLOOKUP(CONCATENATE($B22,AS$2),Database!$B:$E,4,0)="L",6,5),"")</f>
        <v/>
      </c>
      <c r="AT22" s="29" t="str">
        <f>IFERROR(IF(VLOOKUP(CONCATENATE($B22,AT$2),Database!$B:$E,4,0)="L",6,5),"")</f>
        <v/>
      </c>
      <c r="AU22" s="29" t="str">
        <f>IFERROR(IF(VLOOKUP(CONCATENATE($B22,AU$2),Database!$B:$E,4,0)="L",6,5),"")</f>
        <v/>
      </c>
      <c r="AV22" s="29" t="str">
        <f>IFERROR(IF(VLOOKUP(CONCATENATE($B22,AV$2),Database!$B:$E,4,0)="L",6,5),"")</f>
        <v/>
      </c>
      <c r="AW22" s="29" t="str">
        <f>IFERROR(IF(VLOOKUP(CONCATENATE($B22,AW$2),Database!$B:$E,4,0)="L",6,5),"")</f>
        <v/>
      </c>
      <c r="AX22" s="29" t="str">
        <f>IFERROR(IF(VLOOKUP(CONCATENATE($B22,AX$2),Database!$B:$E,4,0)="L",6,5),"")</f>
        <v/>
      </c>
      <c r="AY22" s="29" t="str">
        <f>IFERROR(IF(VLOOKUP(CONCATENATE($B22,AY$2),Database!$B:$E,4,0)="L",6,5),"")</f>
        <v/>
      </c>
      <c r="AZ22" s="29" t="str">
        <f>IFERROR(IF(VLOOKUP(CONCATENATE($B22,AZ$2),Database!$B:$E,4,0)="L",6,5),"")</f>
        <v/>
      </c>
      <c r="BA22" s="29" t="str">
        <f>IFERROR(IF(VLOOKUP(CONCATENATE($B22,BA$2),Database!$B:$E,4,0)="L",6,5),"")</f>
        <v/>
      </c>
      <c r="BB22" s="29" t="str">
        <f>IFERROR(IF(VLOOKUP(CONCATENATE($B22,BB$2),Database!$B:$E,4,0)="L",6,5),"")</f>
        <v/>
      </c>
      <c r="BC22" s="29" t="str">
        <f>IFERROR(IF(VLOOKUP(CONCATENATE($B22,BC$2),Database!$B:$E,4,0)="L",6,5),"")</f>
        <v/>
      </c>
      <c r="BD22" s="29" t="str">
        <f>IFERROR(IF(VLOOKUP(CONCATENATE($B22,BD$2),Database!$B:$E,4,0)="L",6,5),"")</f>
        <v/>
      </c>
      <c r="BE22" s="29" t="str">
        <f>IFERROR(IF(VLOOKUP(CONCATENATE($B22,BE$2),Database!$B:$E,4,0)="L",6,5),"")</f>
        <v/>
      </c>
      <c r="BF22" s="29" t="str">
        <f>IFERROR(IF(VLOOKUP(CONCATENATE($B22,BF$2),Database!$B:$E,4,0)="L",6,5),"")</f>
        <v/>
      </c>
      <c r="BG22" s="29" t="str">
        <f>IFERROR(IF(VLOOKUP(CONCATENATE($B22,BG$2),Database!$B:$E,4,0)="L",6,5),"")</f>
        <v/>
      </c>
      <c r="BH22" s="29" t="str">
        <f>IFERROR(IF(VLOOKUP(CONCATENATE($B22,BH$2),Database!$B:$E,4,0)="L",6,5),"")</f>
        <v/>
      </c>
      <c r="BI22" s="29" t="str">
        <f>IFERROR(IF(VLOOKUP(CONCATENATE($B22,BI$2),Database!$B:$E,4,0)="L",6,5),"")</f>
        <v/>
      </c>
      <c r="BJ22" s="29" t="str">
        <f>IFERROR(IF(VLOOKUP(CONCATENATE($B22,BJ$2),Database!$B:$E,4,0)="L",6,5),"")</f>
        <v/>
      </c>
      <c r="BK22" s="29" t="str">
        <f>IFERROR(IF(VLOOKUP(CONCATENATE($B22,BK$2),Database!$B:$E,4,0)="L",6,5),"")</f>
        <v/>
      </c>
      <c r="BL22" s="29" t="str">
        <f>IFERROR(IF(VLOOKUP(CONCATENATE($B22,BL$2),Database!$B:$E,4,0)="L",6,5),"")</f>
        <v/>
      </c>
      <c r="BM22" s="29" t="str">
        <f>IFERROR(IF(VLOOKUP(CONCATENATE($B22,BM$2),Database!$B:$E,4,0)="L",6,5),"")</f>
        <v/>
      </c>
      <c r="BN22" s="29" t="str">
        <f>IFERROR(IF(VLOOKUP(CONCATENATE($B22,BN$2),Database!$B:$E,4,0)="L",6,5),"")</f>
        <v/>
      </c>
      <c r="BO22" s="29" t="str">
        <f>IFERROR(IF(VLOOKUP(CONCATENATE($B22,BO$2),Database!$B:$E,4,0)="L",6,5),"")</f>
        <v/>
      </c>
      <c r="BP22" s="29" t="str">
        <f>IFERROR(IF(VLOOKUP(CONCATENATE($B22,BP$2),Database!$B:$E,4,0)="L",6,5),"")</f>
        <v/>
      </c>
      <c r="BQ22" s="29" t="str">
        <f>IFERROR(IF(VLOOKUP(CONCATENATE($B22,BQ$2),Database!$B:$E,4,0)="L",6,5),"")</f>
        <v/>
      </c>
      <c r="BR22" s="29" t="str">
        <f>IFERROR(IF(VLOOKUP(CONCATENATE($B22,BR$2),Database!$B:$E,4,0)="L",6,5),"")</f>
        <v/>
      </c>
      <c r="BS22" s="29" t="str">
        <f>IFERROR(IF(VLOOKUP(CONCATENATE($B22,BS$2),Database!$B:$E,4,0)="L",6,5),"")</f>
        <v/>
      </c>
      <c r="BT22" s="29" t="str">
        <f>IFERROR(IF(VLOOKUP(CONCATENATE($B22,BT$2),Database!$B:$E,4,0)="L",6,5),"")</f>
        <v/>
      </c>
      <c r="BU22" s="29" t="str">
        <f>IFERROR(IF(VLOOKUP(CONCATENATE($B22,BU$2),Database!$B:$E,4,0)="L",6,5),"")</f>
        <v/>
      </c>
      <c r="BV22" s="29" t="str">
        <f>IFERROR(IF(VLOOKUP(CONCATENATE($B22,BV$2),Database!$B:$E,4,0)="L",6,5),"")</f>
        <v/>
      </c>
      <c r="BW22" s="29" t="str">
        <f>IFERROR(IF(VLOOKUP(CONCATENATE($B22,BW$2),Database!$B:$E,4,0)="L",6,5),"")</f>
        <v/>
      </c>
      <c r="BX22" s="29" t="str">
        <f>IFERROR(IF(VLOOKUP(CONCATENATE($B22,BX$2),Database!$B:$E,4,0)="L",6,5),"")</f>
        <v/>
      </c>
      <c r="BY22" s="29" t="str">
        <f>IFERROR(IF(VLOOKUP(CONCATENATE($B22,BY$2),Database!$B:$E,4,0)="L",6,5),"")</f>
        <v/>
      </c>
      <c r="BZ22" s="29" t="str">
        <f>IFERROR(IF(VLOOKUP(CONCATENATE($B22,BZ$2),Database!$B:$E,4,0)="L",6,5),"")</f>
        <v/>
      </c>
    </row>
    <row r="23" spans="2:78" ht="14.3" hidden="1" x14ac:dyDescent="0.3">
      <c r="B23" s="19" t="s">
        <v>23</v>
      </c>
      <c r="C23" s="16">
        <f>COUNTIFS(Database!$D:$D,$B23,Database!$C:$C,"&gt;1/1/25")</f>
        <v>0</v>
      </c>
      <c r="D23" s="1">
        <f>COUNTIFS(Database!$D:$D,$B23,Database!$E:$E,"W",Database!$C:$C,"&gt;1/1/25")</f>
        <v>0</v>
      </c>
      <c r="E23" s="1">
        <f>COUNTIFS(Database!$D:$D,$B23,Database!$E:$E,"L",Database!$C:$C,"&gt;1/1/25")</f>
        <v>0</v>
      </c>
      <c r="F23" s="1">
        <f t="shared" si="1"/>
        <v>0</v>
      </c>
      <c r="G23" s="21" t="str">
        <f t="shared" si="2"/>
        <v>-</v>
      </c>
      <c r="H23" s="14" t="str">
        <f t="shared" si="3"/>
        <v>-</v>
      </c>
      <c r="J23" s="16">
        <f>COUNTIF(Database!$D:$D,$B23)</f>
        <v>2</v>
      </c>
      <c r="K23" s="1">
        <f>COUNTIFS(Database!$D:$D,$B23,Database!$E:$E,"W")</f>
        <v>1</v>
      </c>
      <c r="L23" s="1">
        <f>COUNTIFS(Database!$D:$D,$B23,Database!$E:$E,"L")</f>
        <v>1</v>
      </c>
      <c r="M23" s="1">
        <f t="shared" si="4"/>
        <v>0</v>
      </c>
      <c r="N23" s="21">
        <f t="shared" si="5"/>
        <v>0.5</v>
      </c>
      <c r="O23" s="14">
        <f t="shared" si="6"/>
        <v>0.5</v>
      </c>
      <c r="Q23" s="28" t="str">
        <f>IFERROR(IF(VLOOKUP(CONCATENATE($B23,Q$2),Database!$B:$E,4,0)="L",6,5),"")</f>
        <v/>
      </c>
      <c r="R23" s="23" t="str">
        <f>IFERROR(IF(VLOOKUP(CONCATENATE($B23,R$2),Database!$B:$E,4,0)="L",6,5),"")</f>
        <v/>
      </c>
      <c r="S23" s="23" t="str">
        <f>IFERROR(IF(VLOOKUP(CONCATENATE($B23,S$2),Database!$B:$E,4,0)="L",6,5),"")</f>
        <v/>
      </c>
      <c r="T23" s="23">
        <f>IFERROR(IF(VLOOKUP(CONCATENATE($B23,T$2),Database!$B:$E,4,0)="L",6,5),"")</f>
        <v>5</v>
      </c>
      <c r="U23" s="29">
        <f>IFERROR(IF(VLOOKUP(CONCATENATE($B23,U$2),Database!$B:$E,4,0)="L",6,5),"")</f>
        <v>6</v>
      </c>
      <c r="V23" s="55"/>
      <c r="W23" s="58"/>
      <c r="X23" s="85"/>
      <c r="Z23" s="63" t="str">
        <f t="shared" si="7"/>
        <v>N</v>
      </c>
      <c r="AB23" s="29">
        <f>IFERROR(IF(VLOOKUP(CONCATENATE($B23,AB$2),Database!$B:$E,4,0)="L",6,5),"")</f>
        <v>6</v>
      </c>
      <c r="AC23" s="29">
        <f>IFERROR(IF(VLOOKUP(CONCATENATE($B23,AC$2),Database!$B:$E,4,0)="L",6,5),"")</f>
        <v>5</v>
      </c>
      <c r="AD23" s="29" t="str">
        <f>IFERROR(IF(VLOOKUP(CONCATENATE($B23,AD$2),Database!$B:$E,4,0)="L",6,5),"")</f>
        <v/>
      </c>
      <c r="AE23" s="29" t="str">
        <f>IFERROR(IF(VLOOKUP(CONCATENATE($B23,AE$2),Database!$B:$E,4,0)="L",6,5),"")</f>
        <v/>
      </c>
      <c r="AF23" s="29" t="str">
        <f>IFERROR(IF(VLOOKUP(CONCATENATE($B23,AF$2),Database!$B:$E,4,0)="L",6,5),"")</f>
        <v/>
      </c>
      <c r="AG23" s="29" t="str">
        <f>IFERROR(IF(VLOOKUP(CONCATENATE($B23,AG$2),Database!$B:$E,4,0)="L",6,5),"")</f>
        <v/>
      </c>
      <c r="AH23" s="29" t="str">
        <f>IFERROR(IF(VLOOKUP(CONCATENATE($B23,AH$2),Database!$B:$E,4,0)="L",6,5),"")</f>
        <v/>
      </c>
      <c r="AI23" s="29" t="str">
        <f>IFERROR(IF(VLOOKUP(CONCATENATE($B23,AI$2),Database!$B:$E,4,0)="L",6,5),"")</f>
        <v/>
      </c>
      <c r="AJ23" s="29" t="str">
        <f>IFERROR(IF(VLOOKUP(CONCATENATE($B23,AJ$2),Database!$B:$E,4,0)="L",6,5),"")</f>
        <v/>
      </c>
      <c r="AK23" s="29" t="str">
        <f>IFERROR(IF(VLOOKUP(CONCATENATE($B23,AK$2),Database!$B:$E,4,0)="L",6,5),"")</f>
        <v/>
      </c>
      <c r="AL23" s="29" t="str">
        <f>IFERROR(IF(VLOOKUP(CONCATENATE($B23,AL$2),Database!$B:$E,4,0)="L",6,5),"")</f>
        <v/>
      </c>
      <c r="AM23" s="29" t="str">
        <f>IFERROR(IF(VLOOKUP(CONCATENATE($B23,AM$2),Database!$B:$E,4,0)="L",6,5),"")</f>
        <v/>
      </c>
      <c r="AN23" s="29" t="str">
        <f>IFERROR(IF(VLOOKUP(CONCATENATE($B23,AN$2),Database!$B:$E,4,0)="L",6,5),"")</f>
        <v/>
      </c>
      <c r="AO23" s="29" t="str">
        <f>IFERROR(IF(VLOOKUP(CONCATENATE($B23,AO$2),Database!$B:$E,4,0)="L",6,5),"")</f>
        <v/>
      </c>
      <c r="AP23" s="29" t="str">
        <f>IFERROR(IF(VLOOKUP(CONCATENATE($B23,AP$2),Database!$B:$E,4,0)="L",6,5),"")</f>
        <v/>
      </c>
      <c r="AQ23" s="29" t="str">
        <f>IFERROR(IF(VLOOKUP(CONCATENATE($B23,AQ$2),Database!$B:$E,4,0)="L",6,5),"")</f>
        <v/>
      </c>
      <c r="AR23" s="29" t="str">
        <f>IFERROR(IF(VLOOKUP(CONCATENATE($B23,AR$2),Database!$B:$E,4,0)="L",6,5),"")</f>
        <v/>
      </c>
      <c r="AS23" s="29" t="str">
        <f>IFERROR(IF(VLOOKUP(CONCATENATE($B23,AS$2),Database!$B:$E,4,0)="L",6,5),"")</f>
        <v/>
      </c>
      <c r="AT23" s="29" t="str">
        <f>IFERROR(IF(VLOOKUP(CONCATENATE($B23,AT$2),Database!$B:$E,4,0)="L",6,5),"")</f>
        <v/>
      </c>
      <c r="AU23" s="29" t="str">
        <f>IFERROR(IF(VLOOKUP(CONCATENATE($B23,AU$2),Database!$B:$E,4,0)="L",6,5),"")</f>
        <v/>
      </c>
      <c r="AV23" s="29" t="str">
        <f>IFERROR(IF(VLOOKUP(CONCATENATE($B23,AV$2),Database!$B:$E,4,0)="L",6,5),"")</f>
        <v/>
      </c>
      <c r="AW23" s="29" t="str">
        <f>IFERROR(IF(VLOOKUP(CONCATENATE($B23,AW$2),Database!$B:$E,4,0)="L",6,5),"")</f>
        <v/>
      </c>
      <c r="AX23" s="29" t="str">
        <f>IFERROR(IF(VLOOKUP(CONCATENATE($B23,AX$2),Database!$B:$E,4,0)="L",6,5),"")</f>
        <v/>
      </c>
      <c r="AY23" s="29" t="str">
        <f>IFERROR(IF(VLOOKUP(CONCATENATE($B23,AY$2),Database!$B:$E,4,0)="L",6,5),"")</f>
        <v/>
      </c>
      <c r="AZ23" s="29" t="str">
        <f>IFERROR(IF(VLOOKUP(CONCATENATE($B23,AZ$2),Database!$B:$E,4,0)="L",6,5),"")</f>
        <v/>
      </c>
      <c r="BA23" s="29" t="str">
        <f>IFERROR(IF(VLOOKUP(CONCATENATE($B23,BA$2),Database!$B:$E,4,0)="L",6,5),"")</f>
        <v/>
      </c>
      <c r="BB23" s="29" t="str">
        <f>IFERROR(IF(VLOOKUP(CONCATENATE($B23,BB$2),Database!$B:$E,4,0)="L",6,5),"")</f>
        <v/>
      </c>
      <c r="BC23" s="29" t="str">
        <f>IFERROR(IF(VLOOKUP(CONCATENATE($B23,BC$2),Database!$B:$E,4,0)="L",6,5),"")</f>
        <v/>
      </c>
      <c r="BD23" s="29" t="str">
        <f>IFERROR(IF(VLOOKUP(CONCATENATE($B23,BD$2),Database!$B:$E,4,0)="L",6,5),"")</f>
        <v/>
      </c>
      <c r="BE23" s="29" t="str">
        <f>IFERROR(IF(VLOOKUP(CONCATENATE($B23,BE$2),Database!$B:$E,4,0)="L",6,5),"")</f>
        <v/>
      </c>
      <c r="BF23" s="29" t="str">
        <f>IFERROR(IF(VLOOKUP(CONCATENATE($B23,BF$2),Database!$B:$E,4,0)="L",6,5),"")</f>
        <v/>
      </c>
      <c r="BG23" s="29" t="str">
        <f>IFERROR(IF(VLOOKUP(CONCATENATE($B23,BG$2),Database!$B:$E,4,0)="L",6,5),"")</f>
        <v/>
      </c>
      <c r="BH23" s="29" t="str">
        <f>IFERROR(IF(VLOOKUP(CONCATENATE($B23,BH$2),Database!$B:$E,4,0)="L",6,5),"")</f>
        <v/>
      </c>
      <c r="BI23" s="29" t="str">
        <f>IFERROR(IF(VLOOKUP(CONCATENATE($B23,BI$2),Database!$B:$E,4,0)="L",6,5),"")</f>
        <v/>
      </c>
      <c r="BJ23" s="29" t="str">
        <f>IFERROR(IF(VLOOKUP(CONCATENATE($B23,BJ$2),Database!$B:$E,4,0)="L",6,5),"")</f>
        <v/>
      </c>
      <c r="BK23" s="29" t="str">
        <f>IFERROR(IF(VLOOKUP(CONCATENATE($B23,BK$2),Database!$B:$E,4,0)="L",6,5),"")</f>
        <v/>
      </c>
      <c r="BL23" s="29" t="str">
        <f>IFERROR(IF(VLOOKUP(CONCATENATE($B23,BL$2),Database!$B:$E,4,0)="L",6,5),"")</f>
        <v/>
      </c>
      <c r="BM23" s="29" t="str">
        <f>IFERROR(IF(VLOOKUP(CONCATENATE($B23,BM$2),Database!$B:$E,4,0)="L",6,5),"")</f>
        <v/>
      </c>
      <c r="BN23" s="29" t="str">
        <f>IFERROR(IF(VLOOKUP(CONCATENATE($B23,BN$2),Database!$B:$E,4,0)="L",6,5),"")</f>
        <v/>
      </c>
      <c r="BO23" s="29" t="str">
        <f>IFERROR(IF(VLOOKUP(CONCATENATE($B23,BO$2),Database!$B:$E,4,0)="L",6,5),"")</f>
        <v/>
      </c>
      <c r="BP23" s="29" t="str">
        <f>IFERROR(IF(VLOOKUP(CONCATENATE($B23,BP$2),Database!$B:$E,4,0)="L",6,5),"")</f>
        <v/>
      </c>
      <c r="BQ23" s="29" t="str">
        <f>IFERROR(IF(VLOOKUP(CONCATENATE($B23,BQ$2),Database!$B:$E,4,0)="L",6,5),"")</f>
        <v/>
      </c>
      <c r="BR23" s="29" t="str">
        <f>IFERROR(IF(VLOOKUP(CONCATENATE($B23,BR$2),Database!$B:$E,4,0)="L",6,5),"")</f>
        <v/>
      </c>
      <c r="BS23" s="29" t="str">
        <f>IFERROR(IF(VLOOKUP(CONCATENATE($B23,BS$2),Database!$B:$E,4,0)="L",6,5),"")</f>
        <v/>
      </c>
      <c r="BT23" s="29" t="str">
        <f>IFERROR(IF(VLOOKUP(CONCATENATE($B23,BT$2),Database!$B:$E,4,0)="L",6,5),"")</f>
        <v/>
      </c>
      <c r="BU23" s="29" t="str">
        <f>IFERROR(IF(VLOOKUP(CONCATENATE($B23,BU$2),Database!$B:$E,4,0)="L",6,5),"")</f>
        <v/>
      </c>
      <c r="BV23" s="29" t="str">
        <f>IFERROR(IF(VLOOKUP(CONCATENATE($B23,BV$2),Database!$B:$E,4,0)="L",6,5),"")</f>
        <v/>
      </c>
      <c r="BW23" s="29" t="str">
        <f>IFERROR(IF(VLOOKUP(CONCATENATE($B23,BW$2),Database!$B:$E,4,0)="L",6,5),"")</f>
        <v/>
      </c>
      <c r="BX23" s="29" t="str">
        <f>IFERROR(IF(VLOOKUP(CONCATENATE($B23,BX$2),Database!$B:$E,4,0)="L",6,5),"")</f>
        <v/>
      </c>
      <c r="BY23" s="29" t="str">
        <f>IFERROR(IF(VLOOKUP(CONCATENATE($B23,BY$2),Database!$B:$E,4,0)="L",6,5),"")</f>
        <v/>
      </c>
      <c r="BZ23" s="29" t="str">
        <f>IFERROR(IF(VLOOKUP(CONCATENATE($B23,BZ$2),Database!$B:$E,4,0)="L",6,5),"")</f>
        <v/>
      </c>
    </row>
    <row r="24" spans="2:78" ht="14.3" hidden="1" x14ac:dyDescent="0.3">
      <c r="B24" s="19" t="s">
        <v>153</v>
      </c>
      <c r="C24" s="16">
        <f>COUNTIFS(Database!$D:$D,$B24,Database!$C:$C,"&gt;1/1/25")</f>
        <v>0</v>
      </c>
      <c r="D24" s="1">
        <f>COUNTIFS(Database!$D:$D,$B24,Database!$E:$E,"W",Database!$C:$C,"&gt;1/1/25")</f>
        <v>0</v>
      </c>
      <c r="E24" s="1">
        <f>COUNTIFS(Database!$D:$D,$B24,Database!$E:$E,"L",Database!$C:$C,"&gt;1/1/25")</f>
        <v>0</v>
      </c>
      <c r="F24" s="1">
        <f t="shared" si="1"/>
        <v>0</v>
      </c>
      <c r="G24" s="21" t="str">
        <f t="shared" si="2"/>
        <v>-</v>
      </c>
      <c r="H24" s="14" t="str">
        <f t="shared" si="3"/>
        <v>-</v>
      </c>
      <c r="J24" s="16">
        <f>COUNTIF(Database!$D:$D,$B24)</f>
        <v>2</v>
      </c>
      <c r="K24" s="1">
        <f>COUNTIFS(Database!$D:$D,$B24,Database!$E:$E,"W")</f>
        <v>1</v>
      </c>
      <c r="L24" s="1">
        <f>COUNTIFS(Database!$D:$D,$B24,Database!$E:$E,"L")</f>
        <v>1</v>
      </c>
      <c r="M24" s="1">
        <f t="shared" si="4"/>
        <v>0</v>
      </c>
      <c r="N24" s="21">
        <f t="shared" si="5"/>
        <v>0.5</v>
      </c>
      <c r="O24" s="14">
        <f t="shared" si="6"/>
        <v>0.5</v>
      </c>
      <c r="Q24" s="28" t="str">
        <f>IFERROR(IF(VLOOKUP(CONCATENATE($B24,Q$2),Database!$B:$E,4,0)="L",6,5),"")</f>
        <v/>
      </c>
      <c r="R24" s="23" t="str">
        <f>IFERROR(IF(VLOOKUP(CONCATENATE($B24,R$2),Database!$B:$E,4,0)="L",6,5),"")</f>
        <v/>
      </c>
      <c r="S24" s="23" t="str">
        <f>IFERROR(IF(VLOOKUP(CONCATENATE($B24,S$2),Database!$B:$E,4,0)="L",6,5),"")</f>
        <v/>
      </c>
      <c r="T24" s="23">
        <f>IFERROR(IF(VLOOKUP(CONCATENATE($B24,T$2),Database!$B:$E,4,0)="L",6,5),"")</f>
        <v>5</v>
      </c>
      <c r="U24" s="29">
        <f>IFERROR(IF(VLOOKUP(CONCATENATE($B24,U$2),Database!$B:$E,4,0)="L",6,5),"")</f>
        <v>6</v>
      </c>
      <c r="V24" s="55"/>
      <c r="W24" s="57"/>
      <c r="X24" s="85"/>
      <c r="Z24" s="63" t="str">
        <f t="shared" si="7"/>
        <v>N</v>
      </c>
      <c r="AB24" s="29">
        <f>IFERROR(IF(VLOOKUP(CONCATENATE($B24,AB$2),Database!$B:$E,4,0)="L",6,5),"")</f>
        <v>6</v>
      </c>
      <c r="AC24" s="29">
        <f>IFERROR(IF(VLOOKUP(CONCATENATE($B24,AC$2),Database!$B:$E,4,0)="L",6,5),"")</f>
        <v>5</v>
      </c>
      <c r="AD24" s="29" t="str">
        <f>IFERROR(IF(VLOOKUP(CONCATENATE($B24,AD$2),Database!$B:$E,4,0)="L",6,5),"")</f>
        <v/>
      </c>
      <c r="AE24" s="29" t="str">
        <f>IFERROR(IF(VLOOKUP(CONCATENATE($B24,AE$2),Database!$B:$E,4,0)="L",6,5),"")</f>
        <v/>
      </c>
      <c r="AF24" s="29" t="str">
        <f>IFERROR(IF(VLOOKUP(CONCATENATE($B24,AF$2),Database!$B:$E,4,0)="L",6,5),"")</f>
        <v/>
      </c>
      <c r="AG24" s="29" t="str">
        <f>IFERROR(IF(VLOOKUP(CONCATENATE($B24,AG$2),Database!$B:$E,4,0)="L",6,5),"")</f>
        <v/>
      </c>
      <c r="AH24" s="29" t="str">
        <f>IFERROR(IF(VLOOKUP(CONCATENATE($B24,AH$2),Database!$B:$E,4,0)="L",6,5),"")</f>
        <v/>
      </c>
      <c r="AI24" s="29" t="str">
        <f>IFERROR(IF(VLOOKUP(CONCATENATE($B24,AI$2),Database!$B:$E,4,0)="L",6,5),"")</f>
        <v/>
      </c>
      <c r="AJ24" s="29" t="str">
        <f>IFERROR(IF(VLOOKUP(CONCATENATE($B24,AJ$2),Database!$B:$E,4,0)="L",6,5),"")</f>
        <v/>
      </c>
      <c r="AK24" s="29" t="str">
        <f>IFERROR(IF(VLOOKUP(CONCATENATE($B24,AK$2),Database!$B:$E,4,0)="L",6,5),"")</f>
        <v/>
      </c>
      <c r="AL24" s="29" t="str">
        <f>IFERROR(IF(VLOOKUP(CONCATENATE($B24,AL$2),Database!$B:$E,4,0)="L",6,5),"")</f>
        <v/>
      </c>
      <c r="AM24" s="29" t="str">
        <f>IFERROR(IF(VLOOKUP(CONCATENATE($B24,AM$2),Database!$B:$E,4,0)="L",6,5),"")</f>
        <v/>
      </c>
      <c r="AN24" s="29" t="str">
        <f>IFERROR(IF(VLOOKUP(CONCATENATE($B24,AN$2),Database!$B:$E,4,0)="L",6,5),"")</f>
        <v/>
      </c>
      <c r="AO24" s="29" t="str">
        <f>IFERROR(IF(VLOOKUP(CONCATENATE($B24,AO$2),Database!$B:$E,4,0)="L",6,5),"")</f>
        <v/>
      </c>
      <c r="AP24" s="29" t="str">
        <f>IFERROR(IF(VLOOKUP(CONCATENATE($B24,AP$2),Database!$B:$E,4,0)="L",6,5),"")</f>
        <v/>
      </c>
      <c r="AQ24" s="29" t="str">
        <f>IFERROR(IF(VLOOKUP(CONCATENATE($B24,AQ$2),Database!$B:$E,4,0)="L",6,5),"")</f>
        <v/>
      </c>
      <c r="AR24" s="29" t="str">
        <f>IFERROR(IF(VLOOKUP(CONCATENATE($B24,AR$2),Database!$B:$E,4,0)="L",6,5),"")</f>
        <v/>
      </c>
      <c r="AS24" s="29" t="str">
        <f>IFERROR(IF(VLOOKUP(CONCATENATE($B24,AS$2),Database!$B:$E,4,0)="L",6,5),"")</f>
        <v/>
      </c>
      <c r="AT24" s="29" t="str">
        <f>IFERROR(IF(VLOOKUP(CONCATENATE($B24,AT$2),Database!$B:$E,4,0)="L",6,5),"")</f>
        <v/>
      </c>
      <c r="AU24" s="29" t="str">
        <f>IFERROR(IF(VLOOKUP(CONCATENATE($B24,AU$2),Database!$B:$E,4,0)="L",6,5),"")</f>
        <v/>
      </c>
      <c r="AV24" s="29" t="str">
        <f>IFERROR(IF(VLOOKUP(CONCATENATE($B24,AV$2),Database!$B:$E,4,0)="L",6,5),"")</f>
        <v/>
      </c>
      <c r="AW24" s="29" t="str">
        <f>IFERROR(IF(VLOOKUP(CONCATENATE($B24,AW$2),Database!$B:$E,4,0)="L",6,5),"")</f>
        <v/>
      </c>
      <c r="AX24" s="29" t="str">
        <f>IFERROR(IF(VLOOKUP(CONCATENATE($B24,AX$2),Database!$B:$E,4,0)="L",6,5),"")</f>
        <v/>
      </c>
      <c r="AY24" s="29" t="str">
        <f>IFERROR(IF(VLOOKUP(CONCATENATE($B24,AY$2),Database!$B:$E,4,0)="L",6,5),"")</f>
        <v/>
      </c>
      <c r="AZ24" s="29" t="str">
        <f>IFERROR(IF(VLOOKUP(CONCATENATE($B24,AZ$2),Database!$B:$E,4,0)="L",6,5),"")</f>
        <v/>
      </c>
      <c r="BA24" s="29" t="str">
        <f>IFERROR(IF(VLOOKUP(CONCATENATE($B24,BA$2),Database!$B:$E,4,0)="L",6,5),"")</f>
        <v/>
      </c>
      <c r="BB24" s="29" t="str">
        <f>IFERROR(IF(VLOOKUP(CONCATENATE($B24,BB$2),Database!$B:$E,4,0)="L",6,5),"")</f>
        <v/>
      </c>
      <c r="BC24" s="29" t="str">
        <f>IFERROR(IF(VLOOKUP(CONCATENATE($B24,BC$2),Database!$B:$E,4,0)="L",6,5),"")</f>
        <v/>
      </c>
      <c r="BD24" s="29" t="str">
        <f>IFERROR(IF(VLOOKUP(CONCATENATE($B24,BD$2),Database!$B:$E,4,0)="L",6,5),"")</f>
        <v/>
      </c>
      <c r="BE24" s="29" t="str">
        <f>IFERROR(IF(VLOOKUP(CONCATENATE($B24,BE$2),Database!$B:$E,4,0)="L",6,5),"")</f>
        <v/>
      </c>
      <c r="BF24" s="29" t="str">
        <f>IFERROR(IF(VLOOKUP(CONCATENATE($B24,BF$2),Database!$B:$E,4,0)="L",6,5),"")</f>
        <v/>
      </c>
      <c r="BG24" s="29" t="str">
        <f>IFERROR(IF(VLOOKUP(CONCATENATE($B24,BG$2),Database!$B:$E,4,0)="L",6,5),"")</f>
        <v/>
      </c>
      <c r="BH24" s="29" t="str">
        <f>IFERROR(IF(VLOOKUP(CONCATENATE($B24,BH$2),Database!$B:$E,4,0)="L",6,5),"")</f>
        <v/>
      </c>
      <c r="BI24" s="29" t="str">
        <f>IFERROR(IF(VLOOKUP(CONCATENATE($B24,BI$2),Database!$B:$E,4,0)="L",6,5),"")</f>
        <v/>
      </c>
      <c r="BJ24" s="29" t="str">
        <f>IFERROR(IF(VLOOKUP(CONCATENATE($B24,BJ$2),Database!$B:$E,4,0)="L",6,5),"")</f>
        <v/>
      </c>
      <c r="BK24" s="29" t="str">
        <f>IFERROR(IF(VLOOKUP(CONCATENATE($B24,BK$2),Database!$B:$E,4,0)="L",6,5),"")</f>
        <v/>
      </c>
      <c r="BL24" s="29" t="str">
        <f>IFERROR(IF(VLOOKUP(CONCATENATE($B24,BL$2),Database!$B:$E,4,0)="L",6,5),"")</f>
        <v/>
      </c>
      <c r="BM24" s="29" t="str">
        <f>IFERROR(IF(VLOOKUP(CONCATENATE($B24,BM$2),Database!$B:$E,4,0)="L",6,5),"")</f>
        <v/>
      </c>
      <c r="BN24" s="29" t="str">
        <f>IFERROR(IF(VLOOKUP(CONCATENATE($B24,BN$2),Database!$B:$E,4,0)="L",6,5),"")</f>
        <v/>
      </c>
      <c r="BO24" s="29" t="str">
        <f>IFERROR(IF(VLOOKUP(CONCATENATE($B24,BO$2),Database!$B:$E,4,0)="L",6,5),"")</f>
        <v/>
      </c>
      <c r="BP24" s="29" t="str">
        <f>IFERROR(IF(VLOOKUP(CONCATENATE($B24,BP$2),Database!$B:$E,4,0)="L",6,5),"")</f>
        <v/>
      </c>
      <c r="BQ24" s="29" t="str">
        <f>IFERROR(IF(VLOOKUP(CONCATENATE($B24,BQ$2),Database!$B:$E,4,0)="L",6,5),"")</f>
        <v/>
      </c>
      <c r="BR24" s="29" t="str">
        <f>IFERROR(IF(VLOOKUP(CONCATENATE($B24,BR$2),Database!$B:$E,4,0)="L",6,5),"")</f>
        <v/>
      </c>
      <c r="BS24" s="29" t="str">
        <f>IFERROR(IF(VLOOKUP(CONCATENATE($B24,BS$2),Database!$B:$E,4,0)="L",6,5),"")</f>
        <v/>
      </c>
      <c r="BT24" s="29" t="str">
        <f>IFERROR(IF(VLOOKUP(CONCATENATE($B24,BT$2),Database!$B:$E,4,0)="L",6,5),"")</f>
        <v/>
      </c>
      <c r="BU24" s="29" t="str">
        <f>IFERROR(IF(VLOOKUP(CONCATENATE($B24,BU$2),Database!$B:$E,4,0)="L",6,5),"")</f>
        <v/>
      </c>
      <c r="BV24" s="29" t="str">
        <f>IFERROR(IF(VLOOKUP(CONCATENATE($B24,BV$2),Database!$B:$E,4,0)="L",6,5),"")</f>
        <v/>
      </c>
      <c r="BW24" s="29" t="str">
        <f>IFERROR(IF(VLOOKUP(CONCATENATE($B24,BW$2),Database!$B:$E,4,0)="L",6,5),"")</f>
        <v/>
      </c>
      <c r="BX24" s="29" t="str">
        <f>IFERROR(IF(VLOOKUP(CONCATENATE($B24,BX$2),Database!$B:$E,4,0)="L",6,5),"")</f>
        <v/>
      </c>
      <c r="BY24" s="29" t="str">
        <f>IFERROR(IF(VLOOKUP(CONCATENATE($B24,BY$2),Database!$B:$E,4,0)="L",6,5),"")</f>
        <v/>
      </c>
      <c r="BZ24" s="29" t="str">
        <f>IFERROR(IF(VLOOKUP(CONCATENATE($B24,BZ$2),Database!$B:$E,4,0)="L",6,5),"")</f>
        <v/>
      </c>
    </row>
    <row r="25" spans="2:78" ht="14.3" hidden="1" x14ac:dyDescent="0.3">
      <c r="B25" s="19" t="s">
        <v>25</v>
      </c>
      <c r="C25" s="16">
        <f>COUNTIFS(Database!$D:$D,$B25,Database!$C:$C,"&gt;1/1/25")</f>
        <v>0</v>
      </c>
      <c r="D25" s="1">
        <f>COUNTIFS(Database!$D:$D,$B25,Database!$E:$E,"W",Database!$C:$C,"&gt;1/1/25")</f>
        <v>0</v>
      </c>
      <c r="E25" s="1">
        <f>COUNTIFS(Database!$D:$D,$B25,Database!$E:$E,"L",Database!$C:$C,"&gt;1/1/25")</f>
        <v>0</v>
      </c>
      <c r="F25" s="1">
        <f t="shared" si="1"/>
        <v>0</v>
      </c>
      <c r="G25" s="21" t="str">
        <f t="shared" si="2"/>
        <v>-</v>
      </c>
      <c r="H25" s="14" t="str">
        <f t="shared" si="3"/>
        <v>-</v>
      </c>
      <c r="J25" s="16">
        <f>COUNTIF(Database!$D:$D,$B25)</f>
        <v>1</v>
      </c>
      <c r="K25" s="1">
        <f>COUNTIFS(Database!$D:$D,$B25,Database!$E:$E,"W")</f>
        <v>0</v>
      </c>
      <c r="L25" s="1">
        <f>COUNTIFS(Database!$D:$D,$B25,Database!$E:$E,"L")</f>
        <v>1</v>
      </c>
      <c r="M25" s="1">
        <f t="shared" si="4"/>
        <v>-1</v>
      </c>
      <c r="N25" s="21">
        <f t="shared" si="5"/>
        <v>0</v>
      </c>
      <c r="O25" s="14">
        <f t="shared" si="6"/>
        <v>1</v>
      </c>
      <c r="Q25" s="28" t="str">
        <f>IFERROR(IF(VLOOKUP(CONCATENATE($B25,Q$2),Database!$B:$E,4,0)="L",6,5),"")</f>
        <v/>
      </c>
      <c r="R25" s="23" t="str">
        <f>IFERROR(IF(VLOOKUP(CONCATENATE($B25,R$2),Database!$B:$E,4,0)="L",6,5),"")</f>
        <v/>
      </c>
      <c r="S25" s="23" t="str">
        <f>IFERROR(IF(VLOOKUP(CONCATENATE($B25,S$2),Database!$B:$E,4,0)="L",6,5),"")</f>
        <v/>
      </c>
      <c r="T25" s="23" t="str">
        <f>IFERROR(IF(VLOOKUP(CONCATENATE($B25,T$2),Database!$B:$E,4,0)="L",6,5),"")</f>
        <v/>
      </c>
      <c r="U25" s="29">
        <f>IFERROR(IF(VLOOKUP(CONCATENATE($B25,U$2),Database!$B:$E,4,0)="L",6,5),"")</f>
        <v>6</v>
      </c>
      <c r="V25" s="55"/>
      <c r="W25" s="57"/>
      <c r="X25" s="62"/>
      <c r="Z25" s="63" t="str">
        <f t="shared" si="7"/>
        <v>N</v>
      </c>
      <c r="AB25" s="29">
        <f>IFERROR(IF(VLOOKUP(CONCATENATE($B25,AB$2),Database!$B:$E,4,0)="L",6,5),"")</f>
        <v>6</v>
      </c>
      <c r="AC25" s="29" t="str">
        <f>IFERROR(IF(VLOOKUP(CONCATENATE($B25,AC$2),Database!$B:$E,4,0)="L",6,5),"")</f>
        <v/>
      </c>
      <c r="AD25" s="29" t="str">
        <f>IFERROR(IF(VLOOKUP(CONCATENATE($B25,AD$2),Database!$B:$E,4,0)="L",6,5),"")</f>
        <v/>
      </c>
      <c r="AE25" s="29" t="str">
        <f>IFERROR(IF(VLOOKUP(CONCATENATE($B25,AE$2),Database!$B:$E,4,0)="L",6,5),"")</f>
        <v/>
      </c>
      <c r="AF25" s="29" t="str">
        <f>IFERROR(IF(VLOOKUP(CONCATENATE($B25,AF$2),Database!$B:$E,4,0)="L",6,5),"")</f>
        <v/>
      </c>
      <c r="AG25" s="29" t="str">
        <f>IFERROR(IF(VLOOKUP(CONCATENATE($B25,AG$2),Database!$B:$E,4,0)="L",6,5),"")</f>
        <v/>
      </c>
      <c r="AH25" s="29" t="str">
        <f>IFERROR(IF(VLOOKUP(CONCATENATE($B25,AH$2),Database!$B:$E,4,0)="L",6,5),"")</f>
        <v/>
      </c>
      <c r="AI25" s="29" t="str">
        <f>IFERROR(IF(VLOOKUP(CONCATENATE($B25,AI$2),Database!$B:$E,4,0)="L",6,5),"")</f>
        <v/>
      </c>
      <c r="AJ25" s="29" t="str">
        <f>IFERROR(IF(VLOOKUP(CONCATENATE($B25,AJ$2),Database!$B:$E,4,0)="L",6,5),"")</f>
        <v/>
      </c>
      <c r="AK25" s="29" t="str">
        <f>IFERROR(IF(VLOOKUP(CONCATENATE($B25,AK$2),Database!$B:$E,4,0)="L",6,5),"")</f>
        <v/>
      </c>
      <c r="AL25" s="29" t="str">
        <f>IFERROR(IF(VLOOKUP(CONCATENATE($B25,AL$2),Database!$B:$E,4,0)="L",6,5),"")</f>
        <v/>
      </c>
      <c r="AM25" s="29" t="str">
        <f>IFERROR(IF(VLOOKUP(CONCATENATE($B25,AM$2),Database!$B:$E,4,0)="L",6,5),"")</f>
        <v/>
      </c>
      <c r="AN25" s="29" t="str">
        <f>IFERROR(IF(VLOOKUP(CONCATENATE($B25,AN$2),Database!$B:$E,4,0)="L",6,5),"")</f>
        <v/>
      </c>
      <c r="AO25" s="29" t="str">
        <f>IFERROR(IF(VLOOKUP(CONCATENATE($B25,AO$2),Database!$B:$E,4,0)="L",6,5),"")</f>
        <v/>
      </c>
      <c r="AP25" s="29" t="str">
        <f>IFERROR(IF(VLOOKUP(CONCATENATE($B25,AP$2),Database!$B:$E,4,0)="L",6,5),"")</f>
        <v/>
      </c>
      <c r="AQ25" s="29" t="str">
        <f>IFERROR(IF(VLOOKUP(CONCATENATE($B25,AQ$2),Database!$B:$E,4,0)="L",6,5),"")</f>
        <v/>
      </c>
      <c r="AR25" s="29" t="str">
        <f>IFERROR(IF(VLOOKUP(CONCATENATE($B25,AR$2),Database!$B:$E,4,0)="L",6,5),"")</f>
        <v/>
      </c>
      <c r="AS25" s="29" t="str">
        <f>IFERROR(IF(VLOOKUP(CONCATENATE($B25,AS$2),Database!$B:$E,4,0)="L",6,5),"")</f>
        <v/>
      </c>
      <c r="AT25" s="29" t="str">
        <f>IFERROR(IF(VLOOKUP(CONCATENATE($B25,AT$2),Database!$B:$E,4,0)="L",6,5),"")</f>
        <v/>
      </c>
      <c r="AU25" s="29" t="str">
        <f>IFERROR(IF(VLOOKUP(CONCATENATE($B25,AU$2),Database!$B:$E,4,0)="L",6,5),"")</f>
        <v/>
      </c>
      <c r="AV25" s="29" t="str">
        <f>IFERROR(IF(VLOOKUP(CONCATENATE($B25,AV$2),Database!$B:$E,4,0)="L",6,5),"")</f>
        <v/>
      </c>
      <c r="AW25" s="29" t="str">
        <f>IFERROR(IF(VLOOKUP(CONCATENATE($B25,AW$2),Database!$B:$E,4,0)="L",6,5),"")</f>
        <v/>
      </c>
      <c r="AX25" s="29" t="str">
        <f>IFERROR(IF(VLOOKUP(CONCATENATE($B25,AX$2),Database!$B:$E,4,0)="L",6,5),"")</f>
        <v/>
      </c>
      <c r="AY25" s="29" t="str">
        <f>IFERROR(IF(VLOOKUP(CONCATENATE($B25,AY$2),Database!$B:$E,4,0)="L",6,5),"")</f>
        <v/>
      </c>
      <c r="AZ25" s="29" t="str">
        <f>IFERROR(IF(VLOOKUP(CONCATENATE($B25,AZ$2),Database!$B:$E,4,0)="L",6,5),"")</f>
        <v/>
      </c>
      <c r="BA25" s="29" t="str">
        <f>IFERROR(IF(VLOOKUP(CONCATENATE($B25,BA$2),Database!$B:$E,4,0)="L",6,5),"")</f>
        <v/>
      </c>
      <c r="BB25" s="29" t="str">
        <f>IFERROR(IF(VLOOKUP(CONCATENATE($B25,BB$2),Database!$B:$E,4,0)="L",6,5),"")</f>
        <v/>
      </c>
      <c r="BC25" s="29" t="str">
        <f>IFERROR(IF(VLOOKUP(CONCATENATE($B25,BC$2),Database!$B:$E,4,0)="L",6,5),"")</f>
        <v/>
      </c>
      <c r="BD25" s="29" t="str">
        <f>IFERROR(IF(VLOOKUP(CONCATENATE($B25,BD$2),Database!$B:$E,4,0)="L",6,5),"")</f>
        <v/>
      </c>
      <c r="BE25" s="29" t="str">
        <f>IFERROR(IF(VLOOKUP(CONCATENATE($B25,BE$2),Database!$B:$E,4,0)="L",6,5),"")</f>
        <v/>
      </c>
      <c r="BF25" s="29" t="str">
        <f>IFERROR(IF(VLOOKUP(CONCATENATE($B25,BF$2),Database!$B:$E,4,0)="L",6,5),"")</f>
        <v/>
      </c>
      <c r="BG25" s="29" t="str">
        <f>IFERROR(IF(VLOOKUP(CONCATENATE($B25,BG$2),Database!$B:$E,4,0)="L",6,5),"")</f>
        <v/>
      </c>
      <c r="BH25" s="29" t="str">
        <f>IFERROR(IF(VLOOKUP(CONCATENATE($B25,BH$2),Database!$B:$E,4,0)="L",6,5),"")</f>
        <v/>
      </c>
      <c r="BI25" s="29" t="str">
        <f>IFERROR(IF(VLOOKUP(CONCATENATE($B25,BI$2),Database!$B:$E,4,0)="L",6,5),"")</f>
        <v/>
      </c>
      <c r="BJ25" s="29" t="str">
        <f>IFERROR(IF(VLOOKUP(CONCATENATE($B25,BJ$2),Database!$B:$E,4,0)="L",6,5),"")</f>
        <v/>
      </c>
      <c r="BK25" s="29" t="str">
        <f>IFERROR(IF(VLOOKUP(CONCATENATE($B25,BK$2),Database!$B:$E,4,0)="L",6,5),"")</f>
        <v/>
      </c>
      <c r="BL25" s="29" t="str">
        <f>IFERROR(IF(VLOOKUP(CONCATENATE($B25,BL$2),Database!$B:$E,4,0)="L",6,5),"")</f>
        <v/>
      </c>
      <c r="BM25" s="29" t="str">
        <f>IFERROR(IF(VLOOKUP(CONCATENATE($B25,BM$2),Database!$B:$E,4,0)="L",6,5),"")</f>
        <v/>
      </c>
      <c r="BN25" s="29" t="str">
        <f>IFERROR(IF(VLOOKUP(CONCATENATE($B25,BN$2),Database!$B:$E,4,0)="L",6,5),"")</f>
        <v/>
      </c>
      <c r="BO25" s="29" t="str">
        <f>IFERROR(IF(VLOOKUP(CONCATENATE($B25,BO$2),Database!$B:$E,4,0)="L",6,5),"")</f>
        <v/>
      </c>
      <c r="BP25" s="29" t="str">
        <f>IFERROR(IF(VLOOKUP(CONCATENATE($B25,BP$2),Database!$B:$E,4,0)="L",6,5),"")</f>
        <v/>
      </c>
      <c r="BQ25" s="29" t="str">
        <f>IFERROR(IF(VLOOKUP(CONCATENATE($B25,BQ$2),Database!$B:$E,4,0)="L",6,5),"")</f>
        <v/>
      </c>
      <c r="BR25" s="29" t="str">
        <f>IFERROR(IF(VLOOKUP(CONCATENATE($B25,BR$2),Database!$B:$E,4,0)="L",6,5),"")</f>
        <v/>
      </c>
      <c r="BS25" s="29" t="str">
        <f>IFERROR(IF(VLOOKUP(CONCATENATE($B25,BS$2),Database!$B:$E,4,0)="L",6,5),"")</f>
        <v/>
      </c>
      <c r="BT25" s="29" t="str">
        <f>IFERROR(IF(VLOOKUP(CONCATENATE($B25,BT$2),Database!$B:$E,4,0)="L",6,5),"")</f>
        <v/>
      </c>
      <c r="BU25" s="29" t="str">
        <f>IFERROR(IF(VLOOKUP(CONCATENATE($B25,BU$2),Database!$B:$E,4,0)="L",6,5),"")</f>
        <v/>
      </c>
      <c r="BV25" s="29" t="str">
        <f>IFERROR(IF(VLOOKUP(CONCATENATE($B25,BV$2),Database!$B:$E,4,0)="L",6,5),"")</f>
        <v/>
      </c>
      <c r="BW25" s="29" t="str">
        <f>IFERROR(IF(VLOOKUP(CONCATENATE($B25,BW$2),Database!$B:$E,4,0)="L",6,5),"")</f>
        <v/>
      </c>
      <c r="BX25" s="29" t="str">
        <f>IFERROR(IF(VLOOKUP(CONCATENATE($B25,BX$2),Database!$B:$E,4,0)="L",6,5),"")</f>
        <v/>
      </c>
      <c r="BY25" s="29" t="str">
        <f>IFERROR(IF(VLOOKUP(CONCATENATE($B25,BY$2),Database!$B:$E,4,0)="L",6,5),"")</f>
        <v/>
      </c>
      <c r="BZ25" s="29" t="str">
        <f>IFERROR(IF(VLOOKUP(CONCATENATE($B25,BZ$2),Database!$B:$E,4,0)="L",6,5),"")</f>
        <v/>
      </c>
    </row>
    <row r="26" spans="2:78" ht="14.3" hidden="1" x14ac:dyDescent="0.3">
      <c r="B26" s="19" t="s">
        <v>26</v>
      </c>
      <c r="C26" s="16">
        <f>COUNTIFS(Database!$D:$D,$B26,Database!$C:$C,"&gt;1/1/25")</f>
        <v>0</v>
      </c>
      <c r="D26" s="1">
        <f>COUNTIFS(Database!$D:$D,$B26,Database!$E:$E,"W",Database!$C:$C,"&gt;1/1/25")</f>
        <v>0</v>
      </c>
      <c r="E26" s="1">
        <f>COUNTIFS(Database!$D:$D,$B26,Database!$E:$E,"L",Database!$C:$C,"&gt;1/1/25")</f>
        <v>0</v>
      </c>
      <c r="F26" s="1">
        <f t="shared" si="1"/>
        <v>0</v>
      </c>
      <c r="G26" s="21" t="str">
        <f t="shared" si="2"/>
        <v>-</v>
      </c>
      <c r="H26" s="14" t="str">
        <f t="shared" si="3"/>
        <v>-</v>
      </c>
      <c r="J26" s="16">
        <f>COUNTIF(Database!$D:$D,$B26)</f>
        <v>1</v>
      </c>
      <c r="K26" s="1">
        <f>COUNTIFS(Database!$D:$D,$B26,Database!$E:$E,"W")</f>
        <v>0</v>
      </c>
      <c r="L26" s="1">
        <f>COUNTIFS(Database!$D:$D,$B26,Database!$E:$E,"L")</f>
        <v>1</v>
      </c>
      <c r="M26" s="1">
        <f t="shared" si="4"/>
        <v>-1</v>
      </c>
      <c r="N26" s="21">
        <f t="shared" si="5"/>
        <v>0</v>
      </c>
      <c r="O26" s="14">
        <f t="shared" si="6"/>
        <v>1</v>
      </c>
      <c r="Q26" s="28" t="str">
        <f>IFERROR(IF(VLOOKUP(CONCATENATE($B26,Q$2),Database!$B:$E,4,0)="L",6,5),"")</f>
        <v/>
      </c>
      <c r="R26" s="23" t="str">
        <f>IFERROR(IF(VLOOKUP(CONCATENATE($B26,R$2),Database!$B:$E,4,0)="L",6,5),"")</f>
        <v/>
      </c>
      <c r="S26" s="23" t="str">
        <f>IFERROR(IF(VLOOKUP(CONCATENATE($B26,S$2),Database!$B:$E,4,0)="L",6,5),"")</f>
        <v/>
      </c>
      <c r="T26" s="23" t="str">
        <f>IFERROR(IF(VLOOKUP(CONCATENATE($B26,T$2),Database!$B:$E,4,0)="L",6,5),"")</f>
        <v/>
      </c>
      <c r="U26" s="29">
        <f>IFERROR(IF(VLOOKUP(CONCATENATE($B26,U$2),Database!$B:$E,4,0)="L",6,5),"")</f>
        <v>6</v>
      </c>
      <c r="V26" s="54"/>
      <c r="W26" s="57"/>
      <c r="X26" s="63"/>
      <c r="Z26" s="63" t="str">
        <f t="shared" si="7"/>
        <v>N</v>
      </c>
      <c r="AB26" s="29">
        <f>IFERROR(IF(VLOOKUP(CONCATENATE($B26,AB$2),Database!$B:$E,4,0)="L",6,5),"")</f>
        <v>6</v>
      </c>
      <c r="AC26" s="29" t="str">
        <f>IFERROR(IF(VLOOKUP(CONCATENATE($B26,AC$2),Database!$B:$E,4,0)="L",6,5),"")</f>
        <v/>
      </c>
      <c r="AD26" s="29" t="str">
        <f>IFERROR(IF(VLOOKUP(CONCATENATE($B26,AD$2),Database!$B:$E,4,0)="L",6,5),"")</f>
        <v/>
      </c>
      <c r="AE26" s="29" t="str">
        <f>IFERROR(IF(VLOOKUP(CONCATENATE($B26,AE$2),Database!$B:$E,4,0)="L",6,5),"")</f>
        <v/>
      </c>
      <c r="AF26" s="29" t="str">
        <f>IFERROR(IF(VLOOKUP(CONCATENATE($B26,AF$2),Database!$B:$E,4,0)="L",6,5),"")</f>
        <v/>
      </c>
      <c r="AG26" s="29" t="str">
        <f>IFERROR(IF(VLOOKUP(CONCATENATE($B26,AG$2),Database!$B:$E,4,0)="L",6,5),"")</f>
        <v/>
      </c>
      <c r="AH26" s="29" t="str">
        <f>IFERROR(IF(VLOOKUP(CONCATENATE($B26,AH$2),Database!$B:$E,4,0)="L",6,5),"")</f>
        <v/>
      </c>
      <c r="AI26" s="29" t="str">
        <f>IFERROR(IF(VLOOKUP(CONCATENATE($B26,AI$2),Database!$B:$E,4,0)="L",6,5),"")</f>
        <v/>
      </c>
      <c r="AJ26" s="29" t="str">
        <f>IFERROR(IF(VLOOKUP(CONCATENATE($B26,AJ$2),Database!$B:$E,4,0)="L",6,5),"")</f>
        <v/>
      </c>
      <c r="AK26" s="29" t="str">
        <f>IFERROR(IF(VLOOKUP(CONCATENATE($B26,AK$2),Database!$B:$E,4,0)="L",6,5),"")</f>
        <v/>
      </c>
      <c r="AL26" s="29" t="str">
        <f>IFERROR(IF(VLOOKUP(CONCATENATE($B26,AL$2),Database!$B:$E,4,0)="L",6,5),"")</f>
        <v/>
      </c>
      <c r="AM26" s="29" t="str">
        <f>IFERROR(IF(VLOOKUP(CONCATENATE($B26,AM$2),Database!$B:$E,4,0)="L",6,5),"")</f>
        <v/>
      </c>
      <c r="AN26" s="29" t="str">
        <f>IFERROR(IF(VLOOKUP(CONCATENATE($B26,AN$2),Database!$B:$E,4,0)="L",6,5),"")</f>
        <v/>
      </c>
      <c r="AO26" s="29" t="str">
        <f>IFERROR(IF(VLOOKUP(CONCATENATE($B26,AO$2),Database!$B:$E,4,0)="L",6,5),"")</f>
        <v/>
      </c>
      <c r="AP26" s="29" t="str">
        <f>IFERROR(IF(VLOOKUP(CONCATENATE($B26,AP$2),Database!$B:$E,4,0)="L",6,5),"")</f>
        <v/>
      </c>
      <c r="AQ26" s="29" t="str">
        <f>IFERROR(IF(VLOOKUP(CONCATENATE($B26,AQ$2),Database!$B:$E,4,0)="L",6,5),"")</f>
        <v/>
      </c>
      <c r="AR26" s="29" t="str">
        <f>IFERROR(IF(VLOOKUP(CONCATENATE($B26,AR$2),Database!$B:$E,4,0)="L",6,5),"")</f>
        <v/>
      </c>
      <c r="AS26" s="29" t="str">
        <f>IFERROR(IF(VLOOKUP(CONCATENATE($B26,AS$2),Database!$B:$E,4,0)="L",6,5),"")</f>
        <v/>
      </c>
      <c r="AT26" s="29" t="str">
        <f>IFERROR(IF(VLOOKUP(CONCATENATE($B26,AT$2),Database!$B:$E,4,0)="L",6,5),"")</f>
        <v/>
      </c>
      <c r="AU26" s="29" t="str">
        <f>IFERROR(IF(VLOOKUP(CONCATENATE($B26,AU$2),Database!$B:$E,4,0)="L",6,5),"")</f>
        <v/>
      </c>
      <c r="AV26" s="29" t="str">
        <f>IFERROR(IF(VLOOKUP(CONCATENATE($B26,AV$2),Database!$B:$E,4,0)="L",6,5),"")</f>
        <v/>
      </c>
      <c r="AW26" s="29" t="str">
        <f>IFERROR(IF(VLOOKUP(CONCATENATE($B26,AW$2),Database!$B:$E,4,0)="L",6,5),"")</f>
        <v/>
      </c>
      <c r="AX26" s="29" t="str">
        <f>IFERROR(IF(VLOOKUP(CONCATENATE($B26,AX$2),Database!$B:$E,4,0)="L",6,5),"")</f>
        <v/>
      </c>
      <c r="AY26" s="29" t="str">
        <f>IFERROR(IF(VLOOKUP(CONCATENATE($B26,AY$2),Database!$B:$E,4,0)="L",6,5),"")</f>
        <v/>
      </c>
      <c r="AZ26" s="29" t="str">
        <f>IFERROR(IF(VLOOKUP(CONCATENATE($B26,AZ$2),Database!$B:$E,4,0)="L",6,5),"")</f>
        <v/>
      </c>
      <c r="BA26" s="29" t="str">
        <f>IFERROR(IF(VLOOKUP(CONCATENATE($B26,BA$2),Database!$B:$E,4,0)="L",6,5),"")</f>
        <v/>
      </c>
      <c r="BB26" s="29" t="str">
        <f>IFERROR(IF(VLOOKUP(CONCATENATE($B26,BB$2),Database!$B:$E,4,0)="L",6,5),"")</f>
        <v/>
      </c>
      <c r="BC26" s="29" t="str">
        <f>IFERROR(IF(VLOOKUP(CONCATENATE($B26,BC$2),Database!$B:$E,4,0)="L",6,5),"")</f>
        <v/>
      </c>
      <c r="BD26" s="29" t="str">
        <f>IFERROR(IF(VLOOKUP(CONCATENATE($B26,BD$2),Database!$B:$E,4,0)="L",6,5),"")</f>
        <v/>
      </c>
      <c r="BE26" s="29" t="str">
        <f>IFERROR(IF(VLOOKUP(CONCATENATE($B26,BE$2),Database!$B:$E,4,0)="L",6,5),"")</f>
        <v/>
      </c>
      <c r="BF26" s="29" t="str">
        <f>IFERROR(IF(VLOOKUP(CONCATENATE($B26,BF$2),Database!$B:$E,4,0)="L",6,5),"")</f>
        <v/>
      </c>
      <c r="BG26" s="29" t="str">
        <f>IFERROR(IF(VLOOKUP(CONCATENATE($B26,BG$2),Database!$B:$E,4,0)="L",6,5),"")</f>
        <v/>
      </c>
      <c r="BH26" s="29" t="str">
        <f>IFERROR(IF(VLOOKUP(CONCATENATE($B26,BH$2),Database!$B:$E,4,0)="L",6,5),"")</f>
        <v/>
      </c>
      <c r="BI26" s="29" t="str">
        <f>IFERROR(IF(VLOOKUP(CONCATENATE($B26,BI$2),Database!$B:$E,4,0)="L",6,5),"")</f>
        <v/>
      </c>
      <c r="BJ26" s="29" t="str">
        <f>IFERROR(IF(VLOOKUP(CONCATENATE($B26,BJ$2),Database!$B:$E,4,0)="L",6,5),"")</f>
        <v/>
      </c>
      <c r="BK26" s="29" t="str">
        <f>IFERROR(IF(VLOOKUP(CONCATENATE($B26,BK$2),Database!$B:$E,4,0)="L",6,5),"")</f>
        <v/>
      </c>
      <c r="BL26" s="29" t="str">
        <f>IFERROR(IF(VLOOKUP(CONCATENATE($B26,BL$2),Database!$B:$E,4,0)="L",6,5),"")</f>
        <v/>
      </c>
      <c r="BM26" s="29" t="str">
        <f>IFERROR(IF(VLOOKUP(CONCATENATE($B26,BM$2),Database!$B:$E,4,0)="L",6,5),"")</f>
        <v/>
      </c>
      <c r="BN26" s="29" t="str">
        <f>IFERROR(IF(VLOOKUP(CONCATENATE($B26,BN$2),Database!$B:$E,4,0)="L",6,5),"")</f>
        <v/>
      </c>
      <c r="BO26" s="29" t="str">
        <f>IFERROR(IF(VLOOKUP(CONCATENATE($B26,BO$2),Database!$B:$E,4,0)="L",6,5),"")</f>
        <v/>
      </c>
      <c r="BP26" s="29" t="str">
        <f>IFERROR(IF(VLOOKUP(CONCATENATE($B26,BP$2),Database!$B:$E,4,0)="L",6,5),"")</f>
        <v/>
      </c>
      <c r="BQ26" s="29" t="str">
        <f>IFERROR(IF(VLOOKUP(CONCATENATE($B26,BQ$2),Database!$B:$E,4,0)="L",6,5),"")</f>
        <v/>
      </c>
      <c r="BR26" s="29" t="str">
        <f>IFERROR(IF(VLOOKUP(CONCATENATE($B26,BR$2),Database!$B:$E,4,0)="L",6,5),"")</f>
        <v/>
      </c>
      <c r="BS26" s="29" t="str">
        <f>IFERROR(IF(VLOOKUP(CONCATENATE($B26,BS$2),Database!$B:$E,4,0)="L",6,5),"")</f>
        <v/>
      </c>
      <c r="BT26" s="29" t="str">
        <f>IFERROR(IF(VLOOKUP(CONCATENATE($B26,BT$2),Database!$B:$E,4,0)="L",6,5),"")</f>
        <v/>
      </c>
      <c r="BU26" s="29" t="str">
        <f>IFERROR(IF(VLOOKUP(CONCATENATE($B26,BU$2),Database!$B:$E,4,0)="L",6,5),"")</f>
        <v/>
      </c>
      <c r="BV26" s="29" t="str">
        <f>IFERROR(IF(VLOOKUP(CONCATENATE($B26,BV$2),Database!$B:$E,4,0)="L",6,5),"")</f>
        <v/>
      </c>
      <c r="BW26" s="29" t="str">
        <f>IFERROR(IF(VLOOKUP(CONCATENATE($B26,BW$2),Database!$B:$E,4,0)="L",6,5),"")</f>
        <v/>
      </c>
      <c r="BX26" s="29" t="str">
        <f>IFERROR(IF(VLOOKUP(CONCATENATE($B26,BX$2),Database!$B:$E,4,0)="L",6,5),"")</f>
        <v/>
      </c>
      <c r="BY26" s="29" t="str">
        <f>IFERROR(IF(VLOOKUP(CONCATENATE($B26,BY$2),Database!$B:$E,4,0)="L",6,5),"")</f>
        <v/>
      </c>
      <c r="BZ26" s="29" t="str">
        <f>IFERROR(IF(VLOOKUP(CONCATENATE($B26,BZ$2),Database!$B:$E,4,0)="L",6,5),"")</f>
        <v/>
      </c>
    </row>
    <row r="27" spans="2:78" ht="14.3" hidden="1" x14ac:dyDescent="0.3">
      <c r="B27" s="19" t="s">
        <v>142</v>
      </c>
      <c r="C27" s="16">
        <f>COUNTIFS(Database!$D:$D,$B27,Database!$C:$C,"&gt;1/1/25")</f>
        <v>0</v>
      </c>
      <c r="D27" s="1">
        <f>COUNTIFS(Database!$D:$D,$B27,Database!$E:$E,"W",Database!$C:$C,"&gt;1/1/25")</f>
        <v>0</v>
      </c>
      <c r="E27" s="1">
        <f>COUNTIFS(Database!$D:$D,$B27,Database!$E:$E,"L",Database!$C:$C,"&gt;1/1/25")</f>
        <v>0</v>
      </c>
      <c r="F27" s="1">
        <f t="shared" si="1"/>
        <v>0</v>
      </c>
      <c r="G27" s="21" t="str">
        <f t="shared" si="2"/>
        <v>-</v>
      </c>
      <c r="H27" s="14" t="str">
        <f t="shared" si="3"/>
        <v>-</v>
      </c>
      <c r="J27" s="16">
        <f>COUNTIF(Database!$D:$D,$B27)</f>
        <v>1</v>
      </c>
      <c r="K27" s="1">
        <f>COUNTIFS(Database!$D:$D,$B27,Database!$E:$E,"W")</f>
        <v>0</v>
      </c>
      <c r="L27" s="1">
        <f>COUNTIFS(Database!$D:$D,$B27,Database!$E:$E,"L")</f>
        <v>1</v>
      </c>
      <c r="M27" s="1">
        <f t="shared" si="4"/>
        <v>-1</v>
      </c>
      <c r="N27" s="21">
        <f t="shared" si="5"/>
        <v>0</v>
      </c>
      <c r="O27" s="14">
        <f t="shared" si="6"/>
        <v>1</v>
      </c>
      <c r="Q27" s="28" t="str">
        <f>IFERROR(IF(VLOOKUP(CONCATENATE($B27,Q$2),Database!$B:$E,4,0)="L",6,5),"")</f>
        <v/>
      </c>
      <c r="R27" s="23" t="str">
        <f>IFERROR(IF(VLOOKUP(CONCATENATE($B27,R$2),Database!$B:$E,4,0)="L",6,5),"")</f>
        <v/>
      </c>
      <c r="S27" s="23" t="str">
        <f>IFERROR(IF(VLOOKUP(CONCATENATE($B27,S$2),Database!$B:$E,4,0)="L",6,5),"")</f>
        <v/>
      </c>
      <c r="T27" s="23" t="str">
        <f>IFERROR(IF(VLOOKUP(CONCATENATE($B27,T$2),Database!$B:$E,4,0)="L",6,5),"")</f>
        <v/>
      </c>
      <c r="U27" s="29">
        <f>IFERROR(IF(VLOOKUP(CONCATENATE($B27,U$2),Database!$B:$E,4,0)="L",6,5),"")</f>
        <v>6</v>
      </c>
      <c r="V27" s="55"/>
      <c r="W27" s="56"/>
      <c r="X27" s="86"/>
      <c r="Z27" s="63" t="str">
        <f t="shared" si="7"/>
        <v>N</v>
      </c>
      <c r="AB27" s="29">
        <f>IFERROR(IF(VLOOKUP(CONCATENATE($B27,AB$2),Database!$B:$E,4,0)="L",6,5),"")</f>
        <v>6</v>
      </c>
      <c r="AC27" s="29" t="str">
        <f>IFERROR(IF(VLOOKUP(CONCATENATE($B27,AC$2),Database!$B:$E,4,0)="L",6,5),"")</f>
        <v/>
      </c>
      <c r="AD27" s="29" t="str">
        <f>IFERROR(IF(VLOOKUP(CONCATENATE($B27,AD$2),Database!$B:$E,4,0)="L",6,5),"")</f>
        <v/>
      </c>
      <c r="AE27" s="29" t="str">
        <f>IFERROR(IF(VLOOKUP(CONCATENATE($B27,AE$2),Database!$B:$E,4,0)="L",6,5),"")</f>
        <v/>
      </c>
      <c r="AF27" s="29" t="str">
        <f>IFERROR(IF(VLOOKUP(CONCATENATE($B27,AF$2),Database!$B:$E,4,0)="L",6,5),"")</f>
        <v/>
      </c>
      <c r="AG27" s="29" t="str">
        <f>IFERROR(IF(VLOOKUP(CONCATENATE($B27,AG$2),Database!$B:$E,4,0)="L",6,5),"")</f>
        <v/>
      </c>
      <c r="AH27" s="29" t="str">
        <f>IFERROR(IF(VLOOKUP(CONCATENATE($B27,AH$2),Database!$B:$E,4,0)="L",6,5),"")</f>
        <v/>
      </c>
      <c r="AI27" s="29" t="str">
        <f>IFERROR(IF(VLOOKUP(CONCATENATE($B27,AI$2),Database!$B:$E,4,0)="L",6,5),"")</f>
        <v/>
      </c>
      <c r="AJ27" s="29" t="str">
        <f>IFERROR(IF(VLOOKUP(CONCATENATE($B27,AJ$2),Database!$B:$E,4,0)="L",6,5),"")</f>
        <v/>
      </c>
      <c r="AK27" s="29" t="str">
        <f>IFERROR(IF(VLOOKUP(CONCATENATE($B27,AK$2),Database!$B:$E,4,0)="L",6,5),"")</f>
        <v/>
      </c>
      <c r="AL27" s="29" t="str">
        <f>IFERROR(IF(VLOOKUP(CONCATENATE($B27,AL$2),Database!$B:$E,4,0)="L",6,5),"")</f>
        <v/>
      </c>
      <c r="AM27" s="29" t="str">
        <f>IFERROR(IF(VLOOKUP(CONCATENATE($B27,AM$2),Database!$B:$E,4,0)="L",6,5),"")</f>
        <v/>
      </c>
      <c r="AN27" s="29" t="str">
        <f>IFERROR(IF(VLOOKUP(CONCATENATE($B27,AN$2),Database!$B:$E,4,0)="L",6,5),"")</f>
        <v/>
      </c>
      <c r="AO27" s="29" t="str">
        <f>IFERROR(IF(VLOOKUP(CONCATENATE($B27,AO$2),Database!$B:$E,4,0)="L",6,5),"")</f>
        <v/>
      </c>
      <c r="AP27" s="29" t="str">
        <f>IFERROR(IF(VLOOKUP(CONCATENATE($B27,AP$2),Database!$B:$E,4,0)="L",6,5),"")</f>
        <v/>
      </c>
      <c r="AQ27" s="29" t="str">
        <f>IFERROR(IF(VLOOKUP(CONCATENATE($B27,AQ$2),Database!$B:$E,4,0)="L",6,5),"")</f>
        <v/>
      </c>
      <c r="AR27" s="29" t="str">
        <f>IFERROR(IF(VLOOKUP(CONCATENATE($B27,AR$2),Database!$B:$E,4,0)="L",6,5),"")</f>
        <v/>
      </c>
      <c r="AS27" s="29" t="str">
        <f>IFERROR(IF(VLOOKUP(CONCATENATE($B27,AS$2),Database!$B:$E,4,0)="L",6,5),"")</f>
        <v/>
      </c>
      <c r="AT27" s="29" t="str">
        <f>IFERROR(IF(VLOOKUP(CONCATENATE($B27,AT$2),Database!$B:$E,4,0)="L",6,5),"")</f>
        <v/>
      </c>
      <c r="AU27" s="29" t="str">
        <f>IFERROR(IF(VLOOKUP(CONCATENATE($B27,AU$2),Database!$B:$E,4,0)="L",6,5),"")</f>
        <v/>
      </c>
      <c r="AV27" s="29" t="str">
        <f>IFERROR(IF(VLOOKUP(CONCATENATE($B27,AV$2),Database!$B:$E,4,0)="L",6,5),"")</f>
        <v/>
      </c>
      <c r="AW27" s="29" t="str">
        <f>IFERROR(IF(VLOOKUP(CONCATENATE($B27,AW$2),Database!$B:$E,4,0)="L",6,5),"")</f>
        <v/>
      </c>
      <c r="AX27" s="29" t="str">
        <f>IFERROR(IF(VLOOKUP(CONCATENATE($B27,AX$2),Database!$B:$E,4,0)="L",6,5),"")</f>
        <v/>
      </c>
      <c r="AY27" s="29" t="str">
        <f>IFERROR(IF(VLOOKUP(CONCATENATE($B27,AY$2),Database!$B:$E,4,0)="L",6,5),"")</f>
        <v/>
      </c>
      <c r="AZ27" s="29" t="str">
        <f>IFERROR(IF(VLOOKUP(CONCATENATE($B27,AZ$2),Database!$B:$E,4,0)="L",6,5),"")</f>
        <v/>
      </c>
      <c r="BA27" s="29" t="str">
        <f>IFERROR(IF(VLOOKUP(CONCATENATE($B27,BA$2),Database!$B:$E,4,0)="L",6,5),"")</f>
        <v/>
      </c>
      <c r="BB27" s="29" t="str">
        <f>IFERROR(IF(VLOOKUP(CONCATENATE($B27,BB$2),Database!$B:$E,4,0)="L",6,5),"")</f>
        <v/>
      </c>
      <c r="BC27" s="29" t="str">
        <f>IFERROR(IF(VLOOKUP(CONCATENATE($B27,BC$2),Database!$B:$E,4,0)="L",6,5),"")</f>
        <v/>
      </c>
      <c r="BD27" s="29" t="str">
        <f>IFERROR(IF(VLOOKUP(CONCATENATE($B27,BD$2),Database!$B:$E,4,0)="L",6,5),"")</f>
        <v/>
      </c>
      <c r="BE27" s="29" t="str">
        <f>IFERROR(IF(VLOOKUP(CONCATENATE($B27,BE$2),Database!$B:$E,4,0)="L",6,5),"")</f>
        <v/>
      </c>
      <c r="BF27" s="29" t="str">
        <f>IFERROR(IF(VLOOKUP(CONCATENATE($B27,BF$2),Database!$B:$E,4,0)="L",6,5),"")</f>
        <v/>
      </c>
      <c r="BG27" s="29" t="str">
        <f>IFERROR(IF(VLOOKUP(CONCATENATE($B27,BG$2),Database!$B:$E,4,0)="L",6,5),"")</f>
        <v/>
      </c>
      <c r="BH27" s="29" t="str">
        <f>IFERROR(IF(VLOOKUP(CONCATENATE($B27,BH$2),Database!$B:$E,4,0)="L",6,5),"")</f>
        <v/>
      </c>
      <c r="BI27" s="29" t="str">
        <f>IFERROR(IF(VLOOKUP(CONCATENATE($B27,BI$2),Database!$B:$E,4,0)="L",6,5),"")</f>
        <v/>
      </c>
      <c r="BJ27" s="29" t="str">
        <f>IFERROR(IF(VLOOKUP(CONCATENATE($B27,BJ$2),Database!$B:$E,4,0)="L",6,5),"")</f>
        <v/>
      </c>
      <c r="BK27" s="29" t="str">
        <f>IFERROR(IF(VLOOKUP(CONCATENATE($B27,BK$2),Database!$B:$E,4,0)="L",6,5),"")</f>
        <v/>
      </c>
      <c r="BL27" s="29" t="str">
        <f>IFERROR(IF(VLOOKUP(CONCATENATE($B27,BL$2),Database!$B:$E,4,0)="L",6,5),"")</f>
        <v/>
      </c>
      <c r="BM27" s="29" t="str">
        <f>IFERROR(IF(VLOOKUP(CONCATENATE($B27,BM$2),Database!$B:$E,4,0)="L",6,5),"")</f>
        <v/>
      </c>
      <c r="BN27" s="29" t="str">
        <f>IFERROR(IF(VLOOKUP(CONCATENATE($B27,BN$2),Database!$B:$E,4,0)="L",6,5),"")</f>
        <v/>
      </c>
      <c r="BO27" s="29" t="str">
        <f>IFERROR(IF(VLOOKUP(CONCATENATE($B27,BO$2),Database!$B:$E,4,0)="L",6,5),"")</f>
        <v/>
      </c>
      <c r="BP27" s="29" t="str">
        <f>IFERROR(IF(VLOOKUP(CONCATENATE($B27,BP$2),Database!$B:$E,4,0)="L",6,5),"")</f>
        <v/>
      </c>
      <c r="BQ27" s="29" t="str">
        <f>IFERROR(IF(VLOOKUP(CONCATENATE($B27,BQ$2),Database!$B:$E,4,0)="L",6,5),"")</f>
        <v/>
      </c>
      <c r="BR27" s="29" t="str">
        <f>IFERROR(IF(VLOOKUP(CONCATENATE($B27,BR$2),Database!$B:$E,4,0)="L",6,5),"")</f>
        <v/>
      </c>
      <c r="BS27" s="29" t="str">
        <f>IFERROR(IF(VLOOKUP(CONCATENATE($B27,BS$2),Database!$B:$E,4,0)="L",6,5),"")</f>
        <v/>
      </c>
      <c r="BT27" s="29" t="str">
        <f>IFERROR(IF(VLOOKUP(CONCATENATE($B27,BT$2),Database!$B:$E,4,0)="L",6,5),"")</f>
        <v/>
      </c>
      <c r="BU27" s="29" t="str">
        <f>IFERROR(IF(VLOOKUP(CONCATENATE($B27,BU$2),Database!$B:$E,4,0)="L",6,5),"")</f>
        <v/>
      </c>
      <c r="BV27" s="29" t="str">
        <f>IFERROR(IF(VLOOKUP(CONCATENATE($B27,BV$2),Database!$B:$E,4,0)="L",6,5),"")</f>
        <v/>
      </c>
      <c r="BW27" s="29" t="str">
        <f>IFERROR(IF(VLOOKUP(CONCATENATE($B27,BW$2),Database!$B:$E,4,0)="L",6,5),"")</f>
        <v/>
      </c>
      <c r="BX27" s="29" t="str">
        <f>IFERROR(IF(VLOOKUP(CONCATENATE($B27,BX$2),Database!$B:$E,4,0)="L",6,5),"")</f>
        <v/>
      </c>
      <c r="BY27" s="29" t="str">
        <f>IFERROR(IF(VLOOKUP(CONCATENATE($B27,BY$2),Database!$B:$E,4,0)="L",6,5),"")</f>
        <v/>
      </c>
      <c r="BZ27" s="29" t="str">
        <f>IFERROR(IF(VLOOKUP(CONCATENATE($B27,BZ$2),Database!$B:$E,4,0)="L",6,5),"")</f>
        <v/>
      </c>
    </row>
    <row r="28" spans="2:78" ht="14.3" hidden="1" x14ac:dyDescent="0.3">
      <c r="B28" s="19" t="s">
        <v>148</v>
      </c>
      <c r="C28" s="16">
        <f>COUNTIFS(Database!$D:$D,$B28,Database!$C:$C,"&gt;1/1/25")</f>
        <v>0</v>
      </c>
      <c r="D28" s="1">
        <f>COUNTIFS(Database!$D:$D,$B28,Database!$E:$E,"W",Database!$C:$C,"&gt;1/1/25")</f>
        <v>0</v>
      </c>
      <c r="E28" s="1">
        <f>COUNTIFS(Database!$D:$D,$B28,Database!$E:$E,"L",Database!$C:$C,"&gt;1/1/25")</f>
        <v>0</v>
      </c>
      <c r="F28" s="1">
        <f t="shared" si="1"/>
        <v>0</v>
      </c>
      <c r="G28" s="21" t="str">
        <f t="shared" si="2"/>
        <v>-</v>
      </c>
      <c r="H28" s="14" t="str">
        <f t="shared" si="3"/>
        <v>-</v>
      </c>
      <c r="J28" s="16">
        <f>COUNTIF(Database!$D:$D,$B28)</f>
        <v>1</v>
      </c>
      <c r="K28" s="1">
        <f>COUNTIFS(Database!$D:$D,$B28,Database!$E:$E,"W")</f>
        <v>0</v>
      </c>
      <c r="L28" s="1">
        <f>COUNTIFS(Database!$D:$D,$B28,Database!$E:$E,"L")</f>
        <v>1</v>
      </c>
      <c r="M28" s="1">
        <f t="shared" si="4"/>
        <v>-1</v>
      </c>
      <c r="N28" s="21">
        <f t="shared" si="5"/>
        <v>0</v>
      </c>
      <c r="O28" s="14">
        <f t="shared" si="6"/>
        <v>1</v>
      </c>
      <c r="Q28" s="28" t="str">
        <f>IFERROR(IF(VLOOKUP(CONCATENATE($B28,Q$2),Database!$B:$E,4,0)="L",6,5),"")</f>
        <v/>
      </c>
      <c r="R28" s="23" t="str">
        <f>IFERROR(IF(VLOOKUP(CONCATENATE($B28,R$2),Database!$B:$E,4,0)="L",6,5),"")</f>
        <v/>
      </c>
      <c r="S28" s="23" t="str">
        <f>IFERROR(IF(VLOOKUP(CONCATENATE($B28,S$2),Database!$B:$E,4,0)="L",6,5),"")</f>
        <v/>
      </c>
      <c r="T28" s="23" t="str">
        <f>IFERROR(IF(VLOOKUP(CONCATENATE($B28,T$2),Database!$B:$E,4,0)="L",6,5),"")</f>
        <v/>
      </c>
      <c r="U28" s="29">
        <f>IFERROR(IF(VLOOKUP(CONCATENATE($B28,U$2),Database!$B:$E,4,0)="L",6,5),"")</f>
        <v>6</v>
      </c>
      <c r="V28" s="55"/>
      <c r="W28" s="56"/>
      <c r="X28" s="86"/>
      <c r="Z28" s="63" t="str">
        <f t="shared" si="7"/>
        <v>N</v>
      </c>
      <c r="AB28" s="29">
        <f>IFERROR(IF(VLOOKUP(CONCATENATE($B28,AB$2),Database!$B:$E,4,0)="L",6,5),"")</f>
        <v>6</v>
      </c>
      <c r="AC28" s="29" t="str">
        <f>IFERROR(IF(VLOOKUP(CONCATENATE($B28,AC$2),Database!$B:$E,4,0)="L",6,5),"")</f>
        <v/>
      </c>
      <c r="AD28" s="29" t="str">
        <f>IFERROR(IF(VLOOKUP(CONCATENATE($B28,AD$2),Database!$B:$E,4,0)="L",6,5),"")</f>
        <v/>
      </c>
      <c r="AE28" s="29" t="str">
        <f>IFERROR(IF(VLOOKUP(CONCATENATE($B28,AE$2),Database!$B:$E,4,0)="L",6,5),"")</f>
        <v/>
      </c>
      <c r="AF28" s="29" t="str">
        <f>IFERROR(IF(VLOOKUP(CONCATENATE($B28,AF$2),Database!$B:$E,4,0)="L",6,5),"")</f>
        <v/>
      </c>
      <c r="AG28" s="29" t="str">
        <f>IFERROR(IF(VLOOKUP(CONCATENATE($B28,AG$2),Database!$B:$E,4,0)="L",6,5),"")</f>
        <v/>
      </c>
      <c r="AH28" s="29" t="str">
        <f>IFERROR(IF(VLOOKUP(CONCATENATE($B28,AH$2),Database!$B:$E,4,0)="L",6,5),"")</f>
        <v/>
      </c>
      <c r="AI28" s="29" t="str">
        <f>IFERROR(IF(VLOOKUP(CONCATENATE($B28,AI$2),Database!$B:$E,4,0)="L",6,5),"")</f>
        <v/>
      </c>
      <c r="AJ28" s="29" t="str">
        <f>IFERROR(IF(VLOOKUP(CONCATENATE($B28,AJ$2),Database!$B:$E,4,0)="L",6,5),"")</f>
        <v/>
      </c>
      <c r="AK28" s="29" t="str">
        <f>IFERROR(IF(VLOOKUP(CONCATENATE($B28,AK$2),Database!$B:$E,4,0)="L",6,5),"")</f>
        <v/>
      </c>
      <c r="AL28" s="29" t="str">
        <f>IFERROR(IF(VLOOKUP(CONCATENATE($B28,AL$2),Database!$B:$E,4,0)="L",6,5),"")</f>
        <v/>
      </c>
      <c r="AM28" s="29" t="str">
        <f>IFERROR(IF(VLOOKUP(CONCATENATE($B28,AM$2),Database!$B:$E,4,0)="L",6,5),"")</f>
        <v/>
      </c>
      <c r="AN28" s="29" t="str">
        <f>IFERROR(IF(VLOOKUP(CONCATENATE($B28,AN$2),Database!$B:$E,4,0)="L",6,5),"")</f>
        <v/>
      </c>
      <c r="AO28" s="29" t="str">
        <f>IFERROR(IF(VLOOKUP(CONCATENATE($B28,AO$2),Database!$B:$E,4,0)="L",6,5),"")</f>
        <v/>
      </c>
      <c r="AP28" s="29" t="str">
        <f>IFERROR(IF(VLOOKUP(CONCATENATE($B28,AP$2),Database!$B:$E,4,0)="L",6,5),"")</f>
        <v/>
      </c>
      <c r="AQ28" s="29" t="str">
        <f>IFERROR(IF(VLOOKUP(CONCATENATE($B28,AQ$2),Database!$B:$E,4,0)="L",6,5),"")</f>
        <v/>
      </c>
      <c r="AR28" s="29" t="str">
        <f>IFERROR(IF(VLOOKUP(CONCATENATE($B28,AR$2),Database!$B:$E,4,0)="L",6,5),"")</f>
        <v/>
      </c>
      <c r="AS28" s="29" t="str">
        <f>IFERROR(IF(VLOOKUP(CONCATENATE($B28,AS$2),Database!$B:$E,4,0)="L",6,5),"")</f>
        <v/>
      </c>
      <c r="AT28" s="29" t="str">
        <f>IFERROR(IF(VLOOKUP(CONCATENATE($B28,AT$2),Database!$B:$E,4,0)="L",6,5),"")</f>
        <v/>
      </c>
      <c r="AU28" s="29" t="str">
        <f>IFERROR(IF(VLOOKUP(CONCATENATE($B28,AU$2),Database!$B:$E,4,0)="L",6,5),"")</f>
        <v/>
      </c>
      <c r="AV28" s="29" t="str">
        <f>IFERROR(IF(VLOOKUP(CONCATENATE($B28,AV$2),Database!$B:$E,4,0)="L",6,5),"")</f>
        <v/>
      </c>
      <c r="AW28" s="29" t="str">
        <f>IFERROR(IF(VLOOKUP(CONCATENATE($B28,AW$2),Database!$B:$E,4,0)="L",6,5),"")</f>
        <v/>
      </c>
      <c r="AX28" s="29" t="str">
        <f>IFERROR(IF(VLOOKUP(CONCATENATE($B28,AX$2),Database!$B:$E,4,0)="L",6,5),"")</f>
        <v/>
      </c>
      <c r="AY28" s="29" t="str">
        <f>IFERROR(IF(VLOOKUP(CONCATENATE($B28,AY$2),Database!$B:$E,4,0)="L",6,5),"")</f>
        <v/>
      </c>
      <c r="AZ28" s="29" t="str">
        <f>IFERROR(IF(VLOOKUP(CONCATENATE($B28,AZ$2),Database!$B:$E,4,0)="L",6,5),"")</f>
        <v/>
      </c>
      <c r="BA28" s="29" t="str">
        <f>IFERROR(IF(VLOOKUP(CONCATENATE($B28,BA$2),Database!$B:$E,4,0)="L",6,5),"")</f>
        <v/>
      </c>
      <c r="BB28" s="29" t="str">
        <f>IFERROR(IF(VLOOKUP(CONCATENATE($B28,BB$2),Database!$B:$E,4,0)="L",6,5),"")</f>
        <v/>
      </c>
      <c r="BC28" s="29" t="str">
        <f>IFERROR(IF(VLOOKUP(CONCATENATE($B28,BC$2),Database!$B:$E,4,0)="L",6,5),"")</f>
        <v/>
      </c>
      <c r="BD28" s="29" t="str">
        <f>IFERROR(IF(VLOOKUP(CONCATENATE($B28,BD$2),Database!$B:$E,4,0)="L",6,5),"")</f>
        <v/>
      </c>
      <c r="BE28" s="29" t="str">
        <f>IFERROR(IF(VLOOKUP(CONCATENATE($B28,BE$2),Database!$B:$E,4,0)="L",6,5),"")</f>
        <v/>
      </c>
      <c r="BF28" s="29" t="str">
        <f>IFERROR(IF(VLOOKUP(CONCATENATE($B28,BF$2),Database!$B:$E,4,0)="L",6,5),"")</f>
        <v/>
      </c>
      <c r="BG28" s="29" t="str">
        <f>IFERROR(IF(VLOOKUP(CONCATENATE($B28,BG$2),Database!$B:$E,4,0)="L",6,5),"")</f>
        <v/>
      </c>
      <c r="BH28" s="29" t="str">
        <f>IFERROR(IF(VLOOKUP(CONCATENATE($B28,BH$2),Database!$B:$E,4,0)="L",6,5),"")</f>
        <v/>
      </c>
      <c r="BI28" s="29" t="str">
        <f>IFERROR(IF(VLOOKUP(CONCATENATE($B28,BI$2),Database!$B:$E,4,0)="L",6,5),"")</f>
        <v/>
      </c>
      <c r="BJ28" s="29" t="str">
        <f>IFERROR(IF(VLOOKUP(CONCATENATE($B28,BJ$2),Database!$B:$E,4,0)="L",6,5),"")</f>
        <v/>
      </c>
      <c r="BK28" s="29" t="str">
        <f>IFERROR(IF(VLOOKUP(CONCATENATE($B28,BK$2),Database!$B:$E,4,0)="L",6,5),"")</f>
        <v/>
      </c>
      <c r="BL28" s="29" t="str">
        <f>IFERROR(IF(VLOOKUP(CONCATENATE($B28,BL$2),Database!$B:$E,4,0)="L",6,5),"")</f>
        <v/>
      </c>
      <c r="BM28" s="29" t="str">
        <f>IFERROR(IF(VLOOKUP(CONCATENATE($B28,BM$2),Database!$B:$E,4,0)="L",6,5),"")</f>
        <v/>
      </c>
      <c r="BN28" s="29" t="str">
        <f>IFERROR(IF(VLOOKUP(CONCATENATE($B28,BN$2),Database!$B:$E,4,0)="L",6,5),"")</f>
        <v/>
      </c>
      <c r="BO28" s="29" t="str">
        <f>IFERROR(IF(VLOOKUP(CONCATENATE($B28,BO$2),Database!$B:$E,4,0)="L",6,5),"")</f>
        <v/>
      </c>
      <c r="BP28" s="29" t="str">
        <f>IFERROR(IF(VLOOKUP(CONCATENATE($B28,BP$2),Database!$B:$E,4,0)="L",6,5),"")</f>
        <v/>
      </c>
      <c r="BQ28" s="29" t="str">
        <f>IFERROR(IF(VLOOKUP(CONCATENATE($B28,BQ$2),Database!$B:$E,4,0)="L",6,5),"")</f>
        <v/>
      </c>
      <c r="BR28" s="29" t="str">
        <f>IFERROR(IF(VLOOKUP(CONCATENATE($B28,BR$2),Database!$B:$E,4,0)="L",6,5),"")</f>
        <v/>
      </c>
      <c r="BS28" s="29" t="str">
        <f>IFERROR(IF(VLOOKUP(CONCATENATE($B28,BS$2),Database!$B:$E,4,0)="L",6,5),"")</f>
        <v/>
      </c>
      <c r="BT28" s="29" t="str">
        <f>IFERROR(IF(VLOOKUP(CONCATENATE($B28,BT$2),Database!$B:$E,4,0)="L",6,5),"")</f>
        <v/>
      </c>
      <c r="BU28" s="29" t="str">
        <f>IFERROR(IF(VLOOKUP(CONCATENATE($B28,BU$2),Database!$B:$E,4,0)="L",6,5),"")</f>
        <v/>
      </c>
      <c r="BV28" s="29" t="str">
        <f>IFERROR(IF(VLOOKUP(CONCATENATE($B28,BV$2),Database!$B:$E,4,0)="L",6,5),"")</f>
        <v/>
      </c>
      <c r="BW28" s="29" t="str">
        <f>IFERROR(IF(VLOOKUP(CONCATENATE($B28,BW$2),Database!$B:$E,4,0)="L",6,5),"")</f>
        <v/>
      </c>
      <c r="BX28" s="29" t="str">
        <f>IFERROR(IF(VLOOKUP(CONCATENATE($B28,BX$2),Database!$B:$E,4,0)="L",6,5),"")</f>
        <v/>
      </c>
      <c r="BY28" s="29" t="str">
        <f>IFERROR(IF(VLOOKUP(CONCATENATE($B28,BY$2),Database!$B:$E,4,0)="L",6,5),"")</f>
        <v/>
      </c>
      <c r="BZ28" s="29" t="str">
        <f>IFERROR(IF(VLOOKUP(CONCATENATE($B28,BZ$2),Database!$B:$E,4,0)="L",6,5),"")</f>
        <v/>
      </c>
    </row>
    <row r="29" spans="2:78" ht="14.3" hidden="1" x14ac:dyDescent="0.3">
      <c r="B29" s="19" t="s">
        <v>144</v>
      </c>
      <c r="C29" s="16">
        <f>COUNTIFS(Database!$D:$D,$B29,Database!$C:$C,"&gt;1/1/25")</f>
        <v>0</v>
      </c>
      <c r="D29" s="1">
        <f>COUNTIFS(Database!$D:$D,$B29,Database!$E:$E,"W",Database!$C:$C,"&gt;1/1/25")</f>
        <v>0</v>
      </c>
      <c r="E29" s="1">
        <f>COUNTIFS(Database!$D:$D,$B29,Database!$E:$E,"L",Database!$C:$C,"&gt;1/1/25")</f>
        <v>0</v>
      </c>
      <c r="F29" s="1">
        <f t="shared" si="1"/>
        <v>0</v>
      </c>
      <c r="G29" s="21" t="str">
        <f t="shared" si="2"/>
        <v>-</v>
      </c>
      <c r="H29" s="14" t="str">
        <f t="shared" si="3"/>
        <v>-</v>
      </c>
      <c r="J29" s="16">
        <f>COUNTIF(Database!$D:$D,$B29)</f>
        <v>2</v>
      </c>
      <c r="K29" s="1">
        <f>COUNTIFS(Database!$D:$D,$B29,Database!$E:$E,"W")</f>
        <v>0</v>
      </c>
      <c r="L29" s="1">
        <f>COUNTIFS(Database!$D:$D,$B29,Database!$E:$E,"L")</f>
        <v>2</v>
      </c>
      <c r="M29" s="1">
        <f t="shared" si="4"/>
        <v>-2</v>
      </c>
      <c r="N29" s="21">
        <f t="shared" si="5"/>
        <v>0</v>
      </c>
      <c r="O29" s="14">
        <f t="shared" si="6"/>
        <v>1</v>
      </c>
      <c r="Q29" s="28" t="str">
        <f>IFERROR(IF(VLOOKUP(CONCATENATE($B29,Q$2),Database!$B:$E,4,0)="L",6,5),"")</f>
        <v/>
      </c>
      <c r="R29" s="23" t="str">
        <f>IFERROR(IF(VLOOKUP(CONCATENATE($B29,R$2),Database!$B:$E,4,0)="L",6,5),"")</f>
        <v/>
      </c>
      <c r="S29" s="23" t="str">
        <f>IFERROR(IF(VLOOKUP(CONCATENATE($B29,S$2),Database!$B:$E,4,0)="L",6,5),"")</f>
        <v/>
      </c>
      <c r="T29" s="23">
        <f>IFERROR(IF(VLOOKUP(CONCATENATE($B29,T$2),Database!$B:$E,4,0)="L",6,5),"")</f>
        <v>6</v>
      </c>
      <c r="U29" s="29">
        <f>IFERROR(IF(VLOOKUP(CONCATENATE($B29,U$2),Database!$B:$E,4,0)="L",6,5),"")</f>
        <v>6</v>
      </c>
      <c r="V29" s="55"/>
      <c r="W29" s="56"/>
      <c r="X29" s="63"/>
      <c r="Z29" s="63" t="str">
        <f t="shared" si="7"/>
        <v>N</v>
      </c>
      <c r="AB29" s="29">
        <f>IFERROR(IF(VLOOKUP(CONCATENATE($B29,AB$2),Database!$B:$E,4,0)="L",6,5),"")</f>
        <v>6</v>
      </c>
      <c r="AC29" s="29">
        <f>IFERROR(IF(VLOOKUP(CONCATENATE($B29,AC$2),Database!$B:$E,4,0)="L",6,5),"")</f>
        <v>6</v>
      </c>
      <c r="AD29" s="29" t="str">
        <f>IFERROR(IF(VLOOKUP(CONCATENATE($B29,AD$2),Database!$B:$E,4,0)="L",6,5),"")</f>
        <v/>
      </c>
      <c r="AE29" s="29" t="str">
        <f>IFERROR(IF(VLOOKUP(CONCATENATE($B29,AE$2),Database!$B:$E,4,0)="L",6,5),"")</f>
        <v/>
      </c>
      <c r="AF29" s="29" t="str">
        <f>IFERROR(IF(VLOOKUP(CONCATENATE($B29,AF$2),Database!$B:$E,4,0)="L",6,5),"")</f>
        <v/>
      </c>
      <c r="AG29" s="29" t="str">
        <f>IFERROR(IF(VLOOKUP(CONCATENATE($B29,AG$2),Database!$B:$E,4,0)="L",6,5),"")</f>
        <v/>
      </c>
      <c r="AH29" s="29" t="str">
        <f>IFERROR(IF(VLOOKUP(CONCATENATE($B29,AH$2),Database!$B:$E,4,0)="L",6,5),"")</f>
        <v/>
      </c>
      <c r="AI29" s="29" t="str">
        <f>IFERROR(IF(VLOOKUP(CONCATENATE($B29,AI$2),Database!$B:$E,4,0)="L",6,5),"")</f>
        <v/>
      </c>
      <c r="AJ29" s="29" t="str">
        <f>IFERROR(IF(VLOOKUP(CONCATENATE($B29,AJ$2),Database!$B:$E,4,0)="L",6,5),"")</f>
        <v/>
      </c>
      <c r="AK29" s="29" t="str">
        <f>IFERROR(IF(VLOOKUP(CONCATENATE($B29,AK$2),Database!$B:$E,4,0)="L",6,5),"")</f>
        <v/>
      </c>
      <c r="AL29" s="29" t="str">
        <f>IFERROR(IF(VLOOKUP(CONCATENATE($B29,AL$2),Database!$B:$E,4,0)="L",6,5),"")</f>
        <v/>
      </c>
      <c r="AM29" s="29" t="str">
        <f>IFERROR(IF(VLOOKUP(CONCATENATE($B29,AM$2),Database!$B:$E,4,0)="L",6,5),"")</f>
        <v/>
      </c>
      <c r="AN29" s="29" t="str">
        <f>IFERROR(IF(VLOOKUP(CONCATENATE($B29,AN$2),Database!$B:$E,4,0)="L",6,5),"")</f>
        <v/>
      </c>
      <c r="AO29" s="29" t="str">
        <f>IFERROR(IF(VLOOKUP(CONCATENATE($B29,AO$2),Database!$B:$E,4,0)="L",6,5),"")</f>
        <v/>
      </c>
      <c r="AP29" s="29" t="str">
        <f>IFERROR(IF(VLOOKUP(CONCATENATE($B29,AP$2),Database!$B:$E,4,0)="L",6,5),"")</f>
        <v/>
      </c>
      <c r="AQ29" s="29" t="str">
        <f>IFERROR(IF(VLOOKUP(CONCATENATE($B29,AQ$2),Database!$B:$E,4,0)="L",6,5),"")</f>
        <v/>
      </c>
      <c r="AR29" s="29" t="str">
        <f>IFERROR(IF(VLOOKUP(CONCATENATE($B29,AR$2),Database!$B:$E,4,0)="L",6,5),"")</f>
        <v/>
      </c>
      <c r="AS29" s="29" t="str">
        <f>IFERROR(IF(VLOOKUP(CONCATENATE($B29,AS$2),Database!$B:$E,4,0)="L",6,5),"")</f>
        <v/>
      </c>
      <c r="AT29" s="29" t="str">
        <f>IFERROR(IF(VLOOKUP(CONCATENATE($B29,AT$2),Database!$B:$E,4,0)="L",6,5),"")</f>
        <v/>
      </c>
      <c r="AU29" s="29" t="str">
        <f>IFERROR(IF(VLOOKUP(CONCATENATE($B29,AU$2),Database!$B:$E,4,0)="L",6,5),"")</f>
        <v/>
      </c>
      <c r="AV29" s="29" t="str">
        <f>IFERROR(IF(VLOOKUP(CONCATENATE($B29,AV$2),Database!$B:$E,4,0)="L",6,5),"")</f>
        <v/>
      </c>
      <c r="AW29" s="29" t="str">
        <f>IFERROR(IF(VLOOKUP(CONCATENATE($B29,AW$2),Database!$B:$E,4,0)="L",6,5),"")</f>
        <v/>
      </c>
      <c r="AX29" s="29" t="str">
        <f>IFERROR(IF(VLOOKUP(CONCATENATE($B29,AX$2),Database!$B:$E,4,0)="L",6,5),"")</f>
        <v/>
      </c>
      <c r="AY29" s="29" t="str">
        <f>IFERROR(IF(VLOOKUP(CONCATENATE($B29,AY$2),Database!$B:$E,4,0)="L",6,5),"")</f>
        <v/>
      </c>
      <c r="AZ29" s="29" t="str">
        <f>IFERROR(IF(VLOOKUP(CONCATENATE($B29,AZ$2),Database!$B:$E,4,0)="L",6,5),"")</f>
        <v/>
      </c>
      <c r="BA29" s="29" t="str">
        <f>IFERROR(IF(VLOOKUP(CONCATENATE($B29,BA$2),Database!$B:$E,4,0)="L",6,5),"")</f>
        <v/>
      </c>
      <c r="BB29" s="29" t="str">
        <f>IFERROR(IF(VLOOKUP(CONCATENATE($B29,BB$2),Database!$B:$E,4,0)="L",6,5),"")</f>
        <v/>
      </c>
      <c r="BC29" s="29" t="str">
        <f>IFERROR(IF(VLOOKUP(CONCATENATE($B29,BC$2),Database!$B:$E,4,0)="L",6,5),"")</f>
        <v/>
      </c>
      <c r="BD29" s="29" t="str">
        <f>IFERROR(IF(VLOOKUP(CONCATENATE($B29,BD$2),Database!$B:$E,4,0)="L",6,5),"")</f>
        <v/>
      </c>
      <c r="BE29" s="29" t="str">
        <f>IFERROR(IF(VLOOKUP(CONCATENATE($B29,BE$2),Database!$B:$E,4,0)="L",6,5),"")</f>
        <v/>
      </c>
      <c r="BF29" s="29" t="str">
        <f>IFERROR(IF(VLOOKUP(CONCATENATE($B29,BF$2),Database!$B:$E,4,0)="L",6,5),"")</f>
        <v/>
      </c>
      <c r="BG29" s="29" t="str">
        <f>IFERROR(IF(VLOOKUP(CONCATENATE($B29,BG$2),Database!$B:$E,4,0)="L",6,5),"")</f>
        <v/>
      </c>
      <c r="BH29" s="29" t="str">
        <f>IFERROR(IF(VLOOKUP(CONCATENATE($B29,BH$2),Database!$B:$E,4,0)="L",6,5),"")</f>
        <v/>
      </c>
      <c r="BI29" s="29" t="str">
        <f>IFERROR(IF(VLOOKUP(CONCATENATE($B29,BI$2),Database!$B:$E,4,0)="L",6,5),"")</f>
        <v/>
      </c>
      <c r="BJ29" s="29" t="str">
        <f>IFERROR(IF(VLOOKUP(CONCATENATE($B29,BJ$2),Database!$B:$E,4,0)="L",6,5),"")</f>
        <v/>
      </c>
      <c r="BK29" s="29" t="str">
        <f>IFERROR(IF(VLOOKUP(CONCATENATE($B29,BK$2),Database!$B:$E,4,0)="L",6,5),"")</f>
        <v/>
      </c>
      <c r="BL29" s="29" t="str">
        <f>IFERROR(IF(VLOOKUP(CONCATENATE($B29,BL$2),Database!$B:$E,4,0)="L",6,5),"")</f>
        <v/>
      </c>
      <c r="BM29" s="29" t="str">
        <f>IFERROR(IF(VLOOKUP(CONCATENATE($B29,BM$2),Database!$B:$E,4,0)="L",6,5),"")</f>
        <v/>
      </c>
      <c r="BN29" s="29" t="str">
        <f>IFERROR(IF(VLOOKUP(CONCATENATE($B29,BN$2),Database!$B:$E,4,0)="L",6,5),"")</f>
        <v/>
      </c>
      <c r="BO29" s="29" t="str">
        <f>IFERROR(IF(VLOOKUP(CONCATENATE($B29,BO$2),Database!$B:$E,4,0)="L",6,5),"")</f>
        <v/>
      </c>
      <c r="BP29" s="29" t="str">
        <f>IFERROR(IF(VLOOKUP(CONCATENATE($B29,BP$2),Database!$B:$E,4,0)="L",6,5),"")</f>
        <v/>
      </c>
      <c r="BQ29" s="29" t="str">
        <f>IFERROR(IF(VLOOKUP(CONCATENATE($B29,BQ$2),Database!$B:$E,4,0)="L",6,5),"")</f>
        <v/>
      </c>
      <c r="BR29" s="29" t="str">
        <f>IFERROR(IF(VLOOKUP(CONCATENATE($B29,BR$2),Database!$B:$E,4,0)="L",6,5),"")</f>
        <v/>
      </c>
      <c r="BS29" s="29" t="str">
        <f>IFERROR(IF(VLOOKUP(CONCATENATE($B29,BS$2),Database!$B:$E,4,0)="L",6,5),"")</f>
        <v/>
      </c>
      <c r="BT29" s="29" t="str">
        <f>IFERROR(IF(VLOOKUP(CONCATENATE($B29,BT$2),Database!$B:$E,4,0)="L",6,5),"")</f>
        <v/>
      </c>
      <c r="BU29" s="29" t="str">
        <f>IFERROR(IF(VLOOKUP(CONCATENATE($B29,BU$2),Database!$B:$E,4,0)="L",6,5),"")</f>
        <v/>
      </c>
      <c r="BV29" s="29" t="str">
        <f>IFERROR(IF(VLOOKUP(CONCATENATE($B29,BV$2),Database!$B:$E,4,0)="L",6,5),"")</f>
        <v/>
      </c>
      <c r="BW29" s="29" t="str">
        <f>IFERROR(IF(VLOOKUP(CONCATENATE($B29,BW$2),Database!$B:$E,4,0)="L",6,5),"")</f>
        <v/>
      </c>
      <c r="BX29" s="29" t="str">
        <f>IFERROR(IF(VLOOKUP(CONCATENATE($B29,BX$2),Database!$B:$E,4,0)="L",6,5),"")</f>
        <v/>
      </c>
      <c r="BY29" s="29" t="str">
        <f>IFERROR(IF(VLOOKUP(CONCATENATE($B29,BY$2),Database!$B:$E,4,0)="L",6,5),"")</f>
        <v/>
      </c>
      <c r="BZ29" s="29" t="str">
        <f>IFERROR(IF(VLOOKUP(CONCATENATE($B29,BZ$2),Database!$B:$E,4,0)="L",6,5),"")</f>
        <v/>
      </c>
    </row>
    <row r="30" spans="2:78" ht="14.3" hidden="1" x14ac:dyDescent="0.3">
      <c r="B30" s="19" t="s">
        <v>30</v>
      </c>
      <c r="C30" s="16">
        <f>COUNTIFS(Database!$D:$D,$B30,Database!$C:$C,"&gt;1/1/25")</f>
        <v>0</v>
      </c>
      <c r="D30" s="1">
        <f>COUNTIFS(Database!$D:$D,$B30,Database!$E:$E,"W",Database!$C:$C,"&gt;1/1/25")</f>
        <v>0</v>
      </c>
      <c r="E30" s="1">
        <f>COUNTIFS(Database!$D:$D,$B30,Database!$E:$E,"L",Database!$C:$C,"&gt;1/1/25")</f>
        <v>0</v>
      </c>
      <c r="F30" s="1">
        <f t="shared" si="1"/>
        <v>0</v>
      </c>
      <c r="G30" s="21" t="str">
        <f t="shared" si="2"/>
        <v>-</v>
      </c>
      <c r="H30" s="14" t="str">
        <f t="shared" si="3"/>
        <v>-</v>
      </c>
      <c r="J30" s="16">
        <f>COUNTIF(Database!$D:$D,$B30)</f>
        <v>2</v>
      </c>
      <c r="K30" s="1">
        <f>COUNTIFS(Database!$D:$D,$B30,Database!$E:$E,"W")</f>
        <v>0</v>
      </c>
      <c r="L30" s="1">
        <f>COUNTIFS(Database!$D:$D,$B30,Database!$E:$E,"L")</f>
        <v>2</v>
      </c>
      <c r="M30" s="1">
        <f t="shared" si="4"/>
        <v>-2</v>
      </c>
      <c r="N30" s="21">
        <f t="shared" si="5"/>
        <v>0</v>
      </c>
      <c r="O30" s="14">
        <f t="shared" si="6"/>
        <v>1</v>
      </c>
      <c r="Q30" s="28" t="str">
        <f>IFERROR(IF(VLOOKUP(CONCATENATE($B30,Q$2),Database!$B:$E,4,0)="L",6,5),"")</f>
        <v/>
      </c>
      <c r="R30" s="23" t="str">
        <f>IFERROR(IF(VLOOKUP(CONCATENATE($B30,R$2),Database!$B:$E,4,0)="L",6,5),"")</f>
        <v/>
      </c>
      <c r="S30" s="23" t="str">
        <f>IFERROR(IF(VLOOKUP(CONCATENATE($B30,S$2),Database!$B:$E,4,0)="L",6,5),"")</f>
        <v/>
      </c>
      <c r="T30" s="23">
        <f>IFERROR(IF(VLOOKUP(CONCATENATE($B30,T$2),Database!$B:$E,4,0)="L",6,5),"")</f>
        <v>6</v>
      </c>
      <c r="U30" s="29">
        <f>IFERROR(IF(VLOOKUP(CONCATENATE($B30,U$2),Database!$B:$E,4,0)="L",6,5),"")</f>
        <v>6</v>
      </c>
      <c r="V30" s="55"/>
      <c r="W30" s="56"/>
      <c r="X30" s="63"/>
      <c r="Z30" s="63" t="str">
        <f t="shared" si="7"/>
        <v>N</v>
      </c>
      <c r="AB30" s="29">
        <f>IFERROR(IF(VLOOKUP(CONCATENATE($B30,AB$2),Database!$B:$E,4,0)="L",6,5),"")</f>
        <v>6</v>
      </c>
      <c r="AC30" s="29">
        <f>IFERROR(IF(VLOOKUP(CONCATENATE($B30,AC$2),Database!$B:$E,4,0)="L",6,5),"")</f>
        <v>6</v>
      </c>
      <c r="AD30" s="29" t="str">
        <f>IFERROR(IF(VLOOKUP(CONCATENATE($B30,AD$2),Database!$B:$E,4,0)="L",6,5),"")</f>
        <v/>
      </c>
      <c r="AE30" s="29" t="str">
        <f>IFERROR(IF(VLOOKUP(CONCATENATE($B30,AE$2),Database!$B:$E,4,0)="L",6,5),"")</f>
        <v/>
      </c>
      <c r="AF30" s="29" t="str">
        <f>IFERROR(IF(VLOOKUP(CONCATENATE($B30,AF$2),Database!$B:$E,4,0)="L",6,5),"")</f>
        <v/>
      </c>
      <c r="AG30" s="29" t="str">
        <f>IFERROR(IF(VLOOKUP(CONCATENATE($B30,AG$2),Database!$B:$E,4,0)="L",6,5),"")</f>
        <v/>
      </c>
      <c r="AH30" s="29" t="str">
        <f>IFERROR(IF(VLOOKUP(CONCATENATE($B30,AH$2),Database!$B:$E,4,0)="L",6,5),"")</f>
        <v/>
      </c>
      <c r="AI30" s="29" t="str">
        <f>IFERROR(IF(VLOOKUP(CONCATENATE($B30,AI$2),Database!$B:$E,4,0)="L",6,5),"")</f>
        <v/>
      </c>
      <c r="AJ30" s="29" t="str">
        <f>IFERROR(IF(VLOOKUP(CONCATENATE($B30,AJ$2),Database!$B:$E,4,0)="L",6,5),"")</f>
        <v/>
      </c>
      <c r="AK30" s="29" t="str">
        <f>IFERROR(IF(VLOOKUP(CONCATENATE($B30,AK$2),Database!$B:$E,4,0)="L",6,5),"")</f>
        <v/>
      </c>
      <c r="AL30" s="29" t="str">
        <f>IFERROR(IF(VLOOKUP(CONCATENATE($B30,AL$2),Database!$B:$E,4,0)="L",6,5),"")</f>
        <v/>
      </c>
      <c r="AM30" s="29" t="str">
        <f>IFERROR(IF(VLOOKUP(CONCATENATE($B30,AM$2),Database!$B:$E,4,0)="L",6,5),"")</f>
        <v/>
      </c>
      <c r="AN30" s="29" t="str">
        <f>IFERROR(IF(VLOOKUP(CONCATENATE($B30,AN$2),Database!$B:$E,4,0)="L",6,5),"")</f>
        <v/>
      </c>
      <c r="AO30" s="29" t="str">
        <f>IFERROR(IF(VLOOKUP(CONCATENATE($B30,AO$2),Database!$B:$E,4,0)="L",6,5),"")</f>
        <v/>
      </c>
      <c r="AP30" s="29" t="str">
        <f>IFERROR(IF(VLOOKUP(CONCATENATE($B30,AP$2),Database!$B:$E,4,0)="L",6,5),"")</f>
        <v/>
      </c>
      <c r="AQ30" s="29" t="str">
        <f>IFERROR(IF(VLOOKUP(CONCATENATE($B30,AQ$2),Database!$B:$E,4,0)="L",6,5),"")</f>
        <v/>
      </c>
      <c r="AR30" s="29" t="str">
        <f>IFERROR(IF(VLOOKUP(CONCATENATE($B30,AR$2),Database!$B:$E,4,0)="L",6,5),"")</f>
        <v/>
      </c>
      <c r="AS30" s="29" t="str">
        <f>IFERROR(IF(VLOOKUP(CONCATENATE($B30,AS$2),Database!$B:$E,4,0)="L",6,5),"")</f>
        <v/>
      </c>
      <c r="AT30" s="29" t="str">
        <f>IFERROR(IF(VLOOKUP(CONCATENATE($B30,AT$2),Database!$B:$E,4,0)="L",6,5),"")</f>
        <v/>
      </c>
      <c r="AU30" s="29" t="str">
        <f>IFERROR(IF(VLOOKUP(CONCATENATE($B30,AU$2),Database!$B:$E,4,0)="L",6,5),"")</f>
        <v/>
      </c>
      <c r="AV30" s="29" t="str">
        <f>IFERROR(IF(VLOOKUP(CONCATENATE($B30,AV$2),Database!$B:$E,4,0)="L",6,5),"")</f>
        <v/>
      </c>
      <c r="AW30" s="29" t="str">
        <f>IFERROR(IF(VLOOKUP(CONCATENATE($B30,AW$2),Database!$B:$E,4,0)="L",6,5),"")</f>
        <v/>
      </c>
      <c r="AX30" s="29" t="str">
        <f>IFERROR(IF(VLOOKUP(CONCATENATE($B30,AX$2),Database!$B:$E,4,0)="L",6,5),"")</f>
        <v/>
      </c>
      <c r="AY30" s="29" t="str">
        <f>IFERROR(IF(VLOOKUP(CONCATENATE($B30,AY$2),Database!$B:$E,4,0)="L",6,5),"")</f>
        <v/>
      </c>
      <c r="AZ30" s="29" t="str">
        <f>IFERROR(IF(VLOOKUP(CONCATENATE($B30,AZ$2),Database!$B:$E,4,0)="L",6,5),"")</f>
        <v/>
      </c>
      <c r="BA30" s="29" t="str">
        <f>IFERROR(IF(VLOOKUP(CONCATENATE($B30,BA$2),Database!$B:$E,4,0)="L",6,5),"")</f>
        <v/>
      </c>
      <c r="BB30" s="29" t="str">
        <f>IFERROR(IF(VLOOKUP(CONCATENATE($B30,BB$2),Database!$B:$E,4,0)="L",6,5),"")</f>
        <v/>
      </c>
      <c r="BC30" s="29" t="str">
        <f>IFERROR(IF(VLOOKUP(CONCATENATE($B30,BC$2),Database!$B:$E,4,0)="L",6,5),"")</f>
        <v/>
      </c>
      <c r="BD30" s="29" t="str">
        <f>IFERROR(IF(VLOOKUP(CONCATENATE($B30,BD$2),Database!$B:$E,4,0)="L",6,5),"")</f>
        <v/>
      </c>
      <c r="BE30" s="29" t="str">
        <f>IFERROR(IF(VLOOKUP(CONCATENATE($B30,BE$2),Database!$B:$E,4,0)="L",6,5),"")</f>
        <v/>
      </c>
      <c r="BF30" s="29" t="str">
        <f>IFERROR(IF(VLOOKUP(CONCATENATE($B30,BF$2),Database!$B:$E,4,0)="L",6,5),"")</f>
        <v/>
      </c>
      <c r="BG30" s="29" t="str">
        <f>IFERROR(IF(VLOOKUP(CONCATENATE($B30,BG$2),Database!$B:$E,4,0)="L",6,5),"")</f>
        <v/>
      </c>
      <c r="BH30" s="29" t="str">
        <f>IFERROR(IF(VLOOKUP(CONCATENATE($B30,BH$2),Database!$B:$E,4,0)="L",6,5),"")</f>
        <v/>
      </c>
      <c r="BI30" s="29" t="str">
        <f>IFERROR(IF(VLOOKUP(CONCATENATE($B30,BI$2),Database!$B:$E,4,0)="L",6,5),"")</f>
        <v/>
      </c>
      <c r="BJ30" s="29" t="str">
        <f>IFERROR(IF(VLOOKUP(CONCATENATE($B30,BJ$2),Database!$B:$E,4,0)="L",6,5),"")</f>
        <v/>
      </c>
      <c r="BK30" s="29" t="str">
        <f>IFERROR(IF(VLOOKUP(CONCATENATE($B30,BK$2),Database!$B:$E,4,0)="L",6,5),"")</f>
        <v/>
      </c>
      <c r="BL30" s="29" t="str">
        <f>IFERROR(IF(VLOOKUP(CONCATENATE($B30,BL$2),Database!$B:$E,4,0)="L",6,5),"")</f>
        <v/>
      </c>
      <c r="BM30" s="29" t="str">
        <f>IFERROR(IF(VLOOKUP(CONCATENATE($B30,BM$2),Database!$B:$E,4,0)="L",6,5),"")</f>
        <v/>
      </c>
      <c r="BN30" s="29" t="str">
        <f>IFERROR(IF(VLOOKUP(CONCATENATE($B30,BN$2),Database!$B:$E,4,0)="L",6,5),"")</f>
        <v/>
      </c>
      <c r="BO30" s="29" t="str">
        <f>IFERROR(IF(VLOOKUP(CONCATENATE($B30,BO$2),Database!$B:$E,4,0)="L",6,5),"")</f>
        <v/>
      </c>
      <c r="BP30" s="29" t="str">
        <f>IFERROR(IF(VLOOKUP(CONCATENATE($B30,BP$2),Database!$B:$E,4,0)="L",6,5),"")</f>
        <v/>
      </c>
      <c r="BQ30" s="29" t="str">
        <f>IFERROR(IF(VLOOKUP(CONCATENATE($B30,BQ$2),Database!$B:$E,4,0)="L",6,5),"")</f>
        <v/>
      </c>
      <c r="BR30" s="29" t="str">
        <f>IFERROR(IF(VLOOKUP(CONCATENATE($B30,BR$2),Database!$B:$E,4,0)="L",6,5),"")</f>
        <v/>
      </c>
      <c r="BS30" s="29" t="str">
        <f>IFERROR(IF(VLOOKUP(CONCATENATE($B30,BS$2),Database!$B:$E,4,0)="L",6,5),"")</f>
        <v/>
      </c>
      <c r="BT30" s="29" t="str">
        <f>IFERROR(IF(VLOOKUP(CONCATENATE($B30,BT$2),Database!$B:$E,4,0)="L",6,5),"")</f>
        <v/>
      </c>
      <c r="BU30" s="29" t="str">
        <f>IFERROR(IF(VLOOKUP(CONCATENATE($B30,BU$2),Database!$B:$E,4,0)="L",6,5),"")</f>
        <v/>
      </c>
      <c r="BV30" s="29" t="str">
        <f>IFERROR(IF(VLOOKUP(CONCATENATE($B30,BV$2),Database!$B:$E,4,0)="L",6,5),"")</f>
        <v/>
      </c>
      <c r="BW30" s="29" t="str">
        <f>IFERROR(IF(VLOOKUP(CONCATENATE($B30,BW$2),Database!$B:$E,4,0)="L",6,5),"")</f>
        <v/>
      </c>
      <c r="BX30" s="29" t="str">
        <f>IFERROR(IF(VLOOKUP(CONCATENATE($B30,BX$2),Database!$B:$E,4,0)="L",6,5),"")</f>
        <v/>
      </c>
      <c r="BY30" s="29" t="str">
        <f>IFERROR(IF(VLOOKUP(CONCATENATE($B30,BY$2),Database!$B:$E,4,0)="L",6,5),"")</f>
        <v/>
      </c>
      <c r="BZ30" s="29" t="str">
        <f>IFERROR(IF(VLOOKUP(CONCATENATE($B30,BZ$2),Database!$B:$E,4,0)="L",6,5),"")</f>
        <v/>
      </c>
    </row>
    <row r="31" spans="2:78" ht="14.3" hidden="1" x14ac:dyDescent="0.3">
      <c r="B31" s="19" t="s">
        <v>152</v>
      </c>
      <c r="C31" s="16">
        <f>COUNTIFS(Database!$D:$D,$B31,Database!$C:$C,"&gt;1/1/25")</f>
        <v>2</v>
      </c>
      <c r="D31" s="1">
        <f>COUNTIFS(Database!$D:$D,$B31,Database!$E:$E,"W",Database!$C:$C,"&gt;1/1/25")</f>
        <v>0</v>
      </c>
      <c r="E31" s="1">
        <f>COUNTIFS(Database!$D:$D,$B31,Database!$E:$E,"L",Database!$C:$C,"&gt;1/1/25")</f>
        <v>2</v>
      </c>
      <c r="F31" s="1">
        <f t="shared" si="1"/>
        <v>-2</v>
      </c>
      <c r="G31" s="21">
        <f t="shared" si="2"/>
        <v>0</v>
      </c>
      <c r="H31" s="14">
        <f t="shared" si="3"/>
        <v>1</v>
      </c>
      <c r="J31" s="16">
        <f>COUNTIF(Database!$D:$D,$B31)</f>
        <v>4</v>
      </c>
      <c r="K31" s="1">
        <f>COUNTIFS(Database!$D:$D,$B31,Database!$E:$E,"W")</f>
        <v>1</v>
      </c>
      <c r="L31" s="1">
        <f>COUNTIFS(Database!$D:$D,$B31,Database!$E:$E,"L")</f>
        <v>3</v>
      </c>
      <c r="M31" s="1">
        <f t="shared" si="4"/>
        <v>-2</v>
      </c>
      <c r="N31" s="21">
        <f t="shared" si="5"/>
        <v>0.25</v>
      </c>
      <c r="O31" s="14">
        <f t="shared" si="6"/>
        <v>0.75</v>
      </c>
      <c r="Q31" s="28" t="str">
        <f>IFERROR(IF(VLOOKUP(CONCATENATE($B31,Q$2),Database!$B:$E,4,0)="L",6,5),"")</f>
        <v/>
      </c>
      <c r="R31" s="23">
        <f>IFERROR(IF(VLOOKUP(CONCATENATE($B31,R$2),Database!$B:$E,4,0)="L",6,5),"")</f>
        <v>6</v>
      </c>
      <c r="S31" s="23">
        <f>IFERROR(IF(VLOOKUP(CONCATENATE($B31,S$2),Database!$B:$E,4,0)="L",6,5),"")</f>
        <v>5</v>
      </c>
      <c r="T31" s="23">
        <f>IFERROR(IF(VLOOKUP(CONCATENATE($B31,T$2),Database!$B:$E,4,0)="L",6,5),"")</f>
        <v>6</v>
      </c>
      <c r="U31" s="29">
        <f>IFERROR(IF(VLOOKUP(CONCATENATE($B31,U$2),Database!$B:$E,4,0)="L",6,5),"")</f>
        <v>6</v>
      </c>
      <c r="V31" s="55"/>
      <c r="W31" s="58"/>
      <c r="X31" s="63"/>
      <c r="Z31" s="63" t="str">
        <f t="shared" si="7"/>
        <v>N</v>
      </c>
      <c r="AB31" s="29">
        <f>IFERROR(IF(VLOOKUP(CONCATENATE($B31,AB$2),Database!$B:$E,4,0)="L",6,5),"")</f>
        <v>6</v>
      </c>
      <c r="AC31" s="29">
        <f>IFERROR(IF(VLOOKUP(CONCATENATE($B31,AC$2),Database!$B:$E,4,0)="L",6,5),"")</f>
        <v>6</v>
      </c>
      <c r="AD31" s="29">
        <f>IFERROR(IF(VLOOKUP(CONCATENATE($B31,AD$2),Database!$B:$E,4,0)="L",6,5),"")</f>
        <v>5</v>
      </c>
      <c r="AE31" s="29">
        <f>IFERROR(IF(VLOOKUP(CONCATENATE($B31,AE$2),Database!$B:$E,4,0)="L",6,5),"")</f>
        <v>6</v>
      </c>
      <c r="AF31" s="29" t="str">
        <f>IFERROR(IF(VLOOKUP(CONCATENATE($B31,AF$2),Database!$B:$E,4,0)="L",6,5),"")</f>
        <v/>
      </c>
      <c r="AG31" s="29" t="str">
        <f>IFERROR(IF(VLOOKUP(CONCATENATE($B31,AG$2),Database!$B:$E,4,0)="L",6,5),"")</f>
        <v/>
      </c>
      <c r="AH31" s="29" t="str">
        <f>IFERROR(IF(VLOOKUP(CONCATENATE($B31,AH$2),Database!$B:$E,4,0)="L",6,5),"")</f>
        <v/>
      </c>
      <c r="AI31" s="29" t="str">
        <f>IFERROR(IF(VLOOKUP(CONCATENATE($B31,AI$2),Database!$B:$E,4,0)="L",6,5),"")</f>
        <v/>
      </c>
      <c r="AJ31" s="29" t="str">
        <f>IFERROR(IF(VLOOKUP(CONCATENATE($B31,AJ$2),Database!$B:$E,4,0)="L",6,5),"")</f>
        <v/>
      </c>
      <c r="AK31" s="29" t="str">
        <f>IFERROR(IF(VLOOKUP(CONCATENATE($B31,AK$2),Database!$B:$E,4,0)="L",6,5),"")</f>
        <v/>
      </c>
      <c r="AL31" s="29" t="str">
        <f>IFERROR(IF(VLOOKUP(CONCATENATE($B31,AL$2),Database!$B:$E,4,0)="L",6,5),"")</f>
        <v/>
      </c>
      <c r="AM31" s="29" t="str">
        <f>IFERROR(IF(VLOOKUP(CONCATENATE($B31,AM$2),Database!$B:$E,4,0)="L",6,5),"")</f>
        <v/>
      </c>
      <c r="AN31" s="29" t="str">
        <f>IFERROR(IF(VLOOKUP(CONCATENATE($B31,AN$2),Database!$B:$E,4,0)="L",6,5),"")</f>
        <v/>
      </c>
      <c r="AO31" s="29" t="str">
        <f>IFERROR(IF(VLOOKUP(CONCATENATE($B31,AO$2),Database!$B:$E,4,0)="L",6,5),"")</f>
        <v/>
      </c>
      <c r="AP31" s="29" t="str">
        <f>IFERROR(IF(VLOOKUP(CONCATENATE($B31,AP$2),Database!$B:$E,4,0)="L",6,5),"")</f>
        <v/>
      </c>
      <c r="AQ31" s="29" t="str">
        <f>IFERROR(IF(VLOOKUP(CONCATENATE($B31,AQ$2),Database!$B:$E,4,0)="L",6,5),"")</f>
        <v/>
      </c>
      <c r="AR31" s="29" t="str">
        <f>IFERROR(IF(VLOOKUP(CONCATENATE($B31,AR$2),Database!$B:$E,4,0)="L",6,5),"")</f>
        <v/>
      </c>
      <c r="AS31" s="29" t="str">
        <f>IFERROR(IF(VLOOKUP(CONCATENATE($B31,AS$2),Database!$B:$E,4,0)="L",6,5),"")</f>
        <v/>
      </c>
      <c r="AT31" s="29" t="str">
        <f>IFERROR(IF(VLOOKUP(CONCATENATE($B31,AT$2),Database!$B:$E,4,0)="L",6,5),"")</f>
        <v/>
      </c>
      <c r="AU31" s="29" t="str">
        <f>IFERROR(IF(VLOOKUP(CONCATENATE($B31,AU$2),Database!$B:$E,4,0)="L",6,5),"")</f>
        <v/>
      </c>
      <c r="AV31" s="29" t="str">
        <f>IFERROR(IF(VLOOKUP(CONCATENATE($B31,AV$2),Database!$B:$E,4,0)="L",6,5),"")</f>
        <v/>
      </c>
      <c r="AW31" s="29" t="str">
        <f>IFERROR(IF(VLOOKUP(CONCATENATE($B31,AW$2),Database!$B:$E,4,0)="L",6,5),"")</f>
        <v/>
      </c>
      <c r="AX31" s="29" t="str">
        <f>IFERROR(IF(VLOOKUP(CONCATENATE($B31,AX$2),Database!$B:$E,4,0)="L",6,5),"")</f>
        <v/>
      </c>
      <c r="AY31" s="29" t="str">
        <f>IFERROR(IF(VLOOKUP(CONCATENATE($B31,AY$2),Database!$B:$E,4,0)="L",6,5),"")</f>
        <v/>
      </c>
      <c r="AZ31" s="29" t="str">
        <f>IFERROR(IF(VLOOKUP(CONCATENATE($B31,AZ$2),Database!$B:$E,4,0)="L",6,5),"")</f>
        <v/>
      </c>
      <c r="BA31" s="29" t="str">
        <f>IFERROR(IF(VLOOKUP(CONCATENATE($B31,BA$2),Database!$B:$E,4,0)="L",6,5),"")</f>
        <v/>
      </c>
      <c r="BB31" s="29" t="str">
        <f>IFERROR(IF(VLOOKUP(CONCATENATE($B31,BB$2),Database!$B:$E,4,0)="L",6,5),"")</f>
        <v/>
      </c>
      <c r="BC31" s="29" t="str">
        <f>IFERROR(IF(VLOOKUP(CONCATENATE($B31,BC$2),Database!$B:$E,4,0)="L",6,5),"")</f>
        <v/>
      </c>
      <c r="BD31" s="29" t="str">
        <f>IFERROR(IF(VLOOKUP(CONCATENATE($B31,BD$2),Database!$B:$E,4,0)="L",6,5),"")</f>
        <v/>
      </c>
      <c r="BE31" s="29" t="str">
        <f>IFERROR(IF(VLOOKUP(CONCATENATE($B31,BE$2),Database!$B:$E,4,0)="L",6,5),"")</f>
        <v/>
      </c>
      <c r="BF31" s="29" t="str">
        <f>IFERROR(IF(VLOOKUP(CONCATENATE($B31,BF$2),Database!$B:$E,4,0)="L",6,5),"")</f>
        <v/>
      </c>
      <c r="BG31" s="29" t="str">
        <f>IFERROR(IF(VLOOKUP(CONCATENATE($B31,BG$2),Database!$B:$E,4,0)="L",6,5),"")</f>
        <v/>
      </c>
      <c r="BH31" s="29" t="str">
        <f>IFERROR(IF(VLOOKUP(CONCATENATE($B31,BH$2),Database!$B:$E,4,0)="L",6,5),"")</f>
        <v/>
      </c>
      <c r="BI31" s="29" t="str">
        <f>IFERROR(IF(VLOOKUP(CONCATENATE($B31,BI$2),Database!$B:$E,4,0)="L",6,5),"")</f>
        <v/>
      </c>
      <c r="BJ31" s="29" t="str">
        <f>IFERROR(IF(VLOOKUP(CONCATENATE($B31,BJ$2),Database!$B:$E,4,0)="L",6,5),"")</f>
        <v/>
      </c>
      <c r="BK31" s="29" t="str">
        <f>IFERROR(IF(VLOOKUP(CONCATENATE($B31,BK$2),Database!$B:$E,4,0)="L",6,5),"")</f>
        <v/>
      </c>
      <c r="BL31" s="29" t="str">
        <f>IFERROR(IF(VLOOKUP(CONCATENATE($B31,BL$2),Database!$B:$E,4,0)="L",6,5),"")</f>
        <v/>
      </c>
      <c r="BM31" s="29" t="str">
        <f>IFERROR(IF(VLOOKUP(CONCATENATE($B31,BM$2),Database!$B:$E,4,0)="L",6,5),"")</f>
        <v/>
      </c>
      <c r="BN31" s="29" t="str">
        <f>IFERROR(IF(VLOOKUP(CONCATENATE($B31,BN$2),Database!$B:$E,4,0)="L",6,5),"")</f>
        <v/>
      </c>
      <c r="BO31" s="29" t="str">
        <f>IFERROR(IF(VLOOKUP(CONCATENATE($B31,BO$2),Database!$B:$E,4,0)="L",6,5),"")</f>
        <v/>
      </c>
      <c r="BP31" s="29" t="str">
        <f>IFERROR(IF(VLOOKUP(CONCATENATE($B31,BP$2),Database!$B:$E,4,0)="L",6,5),"")</f>
        <v/>
      </c>
      <c r="BQ31" s="29" t="str">
        <f>IFERROR(IF(VLOOKUP(CONCATENATE($B31,BQ$2),Database!$B:$E,4,0)="L",6,5),"")</f>
        <v/>
      </c>
      <c r="BR31" s="29" t="str">
        <f>IFERROR(IF(VLOOKUP(CONCATENATE($B31,BR$2),Database!$B:$E,4,0)="L",6,5),"")</f>
        <v/>
      </c>
      <c r="BS31" s="29" t="str">
        <f>IFERROR(IF(VLOOKUP(CONCATENATE($B31,BS$2),Database!$B:$E,4,0)="L",6,5),"")</f>
        <v/>
      </c>
      <c r="BT31" s="29" t="str">
        <f>IFERROR(IF(VLOOKUP(CONCATENATE($B31,BT$2),Database!$B:$E,4,0)="L",6,5),"")</f>
        <v/>
      </c>
      <c r="BU31" s="29" t="str">
        <f>IFERROR(IF(VLOOKUP(CONCATENATE($B31,BU$2),Database!$B:$E,4,0)="L",6,5),"")</f>
        <v/>
      </c>
      <c r="BV31" s="29" t="str">
        <f>IFERROR(IF(VLOOKUP(CONCATENATE($B31,BV$2),Database!$B:$E,4,0)="L",6,5),"")</f>
        <v/>
      </c>
      <c r="BW31" s="29" t="str">
        <f>IFERROR(IF(VLOOKUP(CONCATENATE($B31,BW$2),Database!$B:$E,4,0)="L",6,5),"")</f>
        <v/>
      </c>
      <c r="BX31" s="29" t="str">
        <f>IFERROR(IF(VLOOKUP(CONCATENATE($B31,BX$2),Database!$B:$E,4,0)="L",6,5),"")</f>
        <v/>
      </c>
      <c r="BY31" s="29" t="str">
        <f>IFERROR(IF(VLOOKUP(CONCATENATE($B31,BY$2),Database!$B:$E,4,0)="L",6,5),"")</f>
        <v/>
      </c>
      <c r="BZ31" s="29" t="str">
        <f>IFERROR(IF(VLOOKUP(CONCATENATE($B31,BZ$2),Database!$B:$E,4,0)="L",6,5),"")</f>
        <v/>
      </c>
    </row>
    <row r="32" spans="2:78" ht="14.3" hidden="1" x14ac:dyDescent="0.3">
      <c r="B32" s="19" t="s">
        <v>51</v>
      </c>
      <c r="C32" s="16">
        <f>COUNTIFS(Database!$D:$D,$B32,Database!$C:$C,"&gt;1/1/25")</f>
        <v>0</v>
      </c>
      <c r="D32" s="1">
        <f>COUNTIFS(Database!$D:$D,$B32,Database!$E:$E,"W",Database!$C:$C,"&gt;1/1/25")</f>
        <v>0</v>
      </c>
      <c r="E32" s="1">
        <f>COUNTIFS(Database!$D:$D,$B32,Database!$E:$E,"L",Database!$C:$C,"&gt;1/1/25")</f>
        <v>0</v>
      </c>
      <c r="F32" s="1">
        <f t="shared" si="1"/>
        <v>0</v>
      </c>
      <c r="G32" s="21" t="str">
        <f t="shared" si="2"/>
        <v>-</v>
      </c>
      <c r="H32" s="14" t="str">
        <f t="shared" si="3"/>
        <v>-</v>
      </c>
      <c r="J32" s="16">
        <f>COUNTIF(Database!$D:$D,$B32)</f>
        <v>3</v>
      </c>
      <c r="K32" s="1">
        <f>COUNTIFS(Database!$D:$D,$B32,Database!$E:$E,"W")</f>
        <v>1</v>
      </c>
      <c r="L32" s="1">
        <f>COUNTIFS(Database!$D:$D,$B32,Database!$E:$E,"L")</f>
        <v>2</v>
      </c>
      <c r="M32" s="1">
        <f t="shared" si="4"/>
        <v>-1</v>
      </c>
      <c r="N32" s="21">
        <f t="shared" si="5"/>
        <v>0.33333333333333331</v>
      </c>
      <c r="O32" s="14">
        <f t="shared" si="6"/>
        <v>0.66666666666666663</v>
      </c>
      <c r="Q32" s="28" t="str">
        <f>IFERROR(IF(VLOOKUP(CONCATENATE($B32,Q$2),Database!$B:$E,4,0)="L",6,5),"")</f>
        <v/>
      </c>
      <c r="R32" s="23" t="str">
        <f>IFERROR(IF(VLOOKUP(CONCATENATE($B32,R$2),Database!$B:$E,4,0)="L",6,5),"")</f>
        <v/>
      </c>
      <c r="S32" s="23">
        <f>IFERROR(IF(VLOOKUP(CONCATENATE($B32,S$2),Database!$B:$E,4,0)="L",6,5),"")</f>
        <v>6</v>
      </c>
      <c r="T32" s="23">
        <f>IFERROR(IF(VLOOKUP(CONCATENATE($B32,T$2),Database!$B:$E,4,0)="L",6,5),"")</f>
        <v>6</v>
      </c>
      <c r="U32" s="29">
        <f>IFERROR(IF(VLOOKUP(CONCATENATE($B32,U$2),Database!$B:$E,4,0)="L",6,5),"")</f>
        <v>5</v>
      </c>
      <c r="V32" s="55"/>
      <c r="W32" s="56"/>
      <c r="X32" s="63"/>
      <c r="Z32" s="63" t="s">
        <v>139</v>
      </c>
      <c r="AB32" s="29">
        <f>IFERROR(IF(VLOOKUP(CONCATENATE($B32,AB$2),Database!$B:$E,4,0)="L",6,5),"")</f>
        <v>5</v>
      </c>
      <c r="AC32" s="29">
        <f>IFERROR(IF(VLOOKUP(CONCATENATE($B32,AC$2),Database!$B:$E,4,0)="L",6,5),"")</f>
        <v>6</v>
      </c>
      <c r="AD32" s="29">
        <f>IFERROR(IF(VLOOKUP(CONCATENATE($B32,AD$2),Database!$B:$E,4,0)="L",6,5),"")</f>
        <v>6</v>
      </c>
      <c r="AE32" s="29" t="str">
        <f>IFERROR(IF(VLOOKUP(CONCATENATE($B32,AE$2),Database!$B:$E,4,0)="L",6,5),"")</f>
        <v/>
      </c>
      <c r="AF32" s="29" t="str">
        <f>IFERROR(IF(VLOOKUP(CONCATENATE($B32,AF$2),Database!$B:$E,4,0)="L",6,5),"")</f>
        <v/>
      </c>
      <c r="AG32" s="29" t="str">
        <f>IFERROR(IF(VLOOKUP(CONCATENATE($B32,AG$2),Database!$B:$E,4,0)="L",6,5),"")</f>
        <v/>
      </c>
      <c r="AH32" s="29" t="str">
        <f>IFERROR(IF(VLOOKUP(CONCATENATE($B32,AH$2),Database!$B:$E,4,0)="L",6,5),"")</f>
        <v/>
      </c>
      <c r="AI32" s="29" t="str">
        <f>IFERROR(IF(VLOOKUP(CONCATENATE($B32,AI$2),Database!$B:$E,4,0)="L",6,5),"")</f>
        <v/>
      </c>
      <c r="AJ32" s="29" t="str">
        <f>IFERROR(IF(VLOOKUP(CONCATENATE($B32,AJ$2),Database!$B:$E,4,0)="L",6,5),"")</f>
        <v/>
      </c>
      <c r="AK32" s="29" t="str">
        <f>IFERROR(IF(VLOOKUP(CONCATENATE($B32,AK$2),Database!$B:$E,4,0)="L",6,5),"")</f>
        <v/>
      </c>
      <c r="AL32" s="29" t="str">
        <f>IFERROR(IF(VLOOKUP(CONCATENATE($B32,AL$2),Database!$B:$E,4,0)="L",6,5),"")</f>
        <v/>
      </c>
      <c r="AM32" s="29" t="str">
        <f>IFERROR(IF(VLOOKUP(CONCATENATE($B32,AM$2),Database!$B:$E,4,0)="L",6,5),"")</f>
        <v/>
      </c>
      <c r="AN32" s="29" t="str">
        <f>IFERROR(IF(VLOOKUP(CONCATENATE($B32,AN$2),Database!$B:$E,4,0)="L",6,5),"")</f>
        <v/>
      </c>
      <c r="AO32" s="29" t="str">
        <f>IFERROR(IF(VLOOKUP(CONCATENATE($B32,AO$2),Database!$B:$E,4,0)="L",6,5),"")</f>
        <v/>
      </c>
      <c r="AP32" s="29" t="str">
        <f>IFERROR(IF(VLOOKUP(CONCATENATE($B32,AP$2),Database!$B:$E,4,0)="L",6,5),"")</f>
        <v/>
      </c>
      <c r="AQ32" s="29" t="str">
        <f>IFERROR(IF(VLOOKUP(CONCATENATE($B32,AQ$2),Database!$B:$E,4,0)="L",6,5),"")</f>
        <v/>
      </c>
      <c r="AR32" s="29" t="str">
        <f>IFERROR(IF(VLOOKUP(CONCATENATE($B32,AR$2),Database!$B:$E,4,0)="L",6,5),"")</f>
        <v/>
      </c>
      <c r="AS32" s="29" t="str">
        <f>IFERROR(IF(VLOOKUP(CONCATENATE($B32,AS$2),Database!$B:$E,4,0)="L",6,5),"")</f>
        <v/>
      </c>
      <c r="AT32" s="29" t="str">
        <f>IFERROR(IF(VLOOKUP(CONCATENATE($B32,AT$2),Database!$B:$E,4,0)="L",6,5),"")</f>
        <v/>
      </c>
      <c r="AU32" s="29" t="str">
        <f>IFERROR(IF(VLOOKUP(CONCATENATE($B32,AU$2),Database!$B:$E,4,0)="L",6,5),"")</f>
        <v/>
      </c>
      <c r="AV32" s="29" t="str">
        <f>IFERROR(IF(VLOOKUP(CONCATENATE($B32,AV$2),Database!$B:$E,4,0)="L",6,5),"")</f>
        <v/>
      </c>
      <c r="AW32" s="29" t="str">
        <f>IFERROR(IF(VLOOKUP(CONCATENATE($B32,AW$2),Database!$B:$E,4,0)="L",6,5),"")</f>
        <v/>
      </c>
      <c r="AX32" s="29" t="str">
        <f>IFERROR(IF(VLOOKUP(CONCATENATE($B32,AX$2),Database!$B:$E,4,0)="L",6,5),"")</f>
        <v/>
      </c>
      <c r="AY32" s="29" t="str">
        <f>IFERROR(IF(VLOOKUP(CONCATENATE($B32,AY$2),Database!$B:$E,4,0)="L",6,5),"")</f>
        <v/>
      </c>
      <c r="AZ32" s="29" t="str">
        <f>IFERROR(IF(VLOOKUP(CONCATENATE($B32,AZ$2),Database!$B:$E,4,0)="L",6,5),"")</f>
        <v/>
      </c>
      <c r="BA32" s="29" t="str">
        <f>IFERROR(IF(VLOOKUP(CONCATENATE($B32,BA$2),Database!$B:$E,4,0)="L",6,5),"")</f>
        <v/>
      </c>
      <c r="BB32" s="29" t="str">
        <f>IFERROR(IF(VLOOKUP(CONCATENATE($B32,BB$2),Database!$B:$E,4,0)="L",6,5),"")</f>
        <v/>
      </c>
      <c r="BC32" s="29" t="str">
        <f>IFERROR(IF(VLOOKUP(CONCATENATE($B32,BC$2),Database!$B:$E,4,0)="L",6,5),"")</f>
        <v/>
      </c>
      <c r="BD32" s="29" t="str">
        <f>IFERROR(IF(VLOOKUP(CONCATENATE($B32,BD$2),Database!$B:$E,4,0)="L",6,5),"")</f>
        <v/>
      </c>
      <c r="BE32" s="29" t="str">
        <f>IFERROR(IF(VLOOKUP(CONCATENATE($B32,BE$2),Database!$B:$E,4,0)="L",6,5),"")</f>
        <v/>
      </c>
      <c r="BF32" s="29" t="str">
        <f>IFERROR(IF(VLOOKUP(CONCATENATE($B32,BF$2),Database!$B:$E,4,0)="L",6,5),"")</f>
        <v/>
      </c>
      <c r="BG32" s="29" t="str">
        <f>IFERROR(IF(VLOOKUP(CONCATENATE($B32,BG$2),Database!$B:$E,4,0)="L",6,5),"")</f>
        <v/>
      </c>
      <c r="BH32" s="29" t="str">
        <f>IFERROR(IF(VLOOKUP(CONCATENATE($B32,BH$2),Database!$B:$E,4,0)="L",6,5),"")</f>
        <v/>
      </c>
      <c r="BI32" s="29" t="str">
        <f>IFERROR(IF(VLOOKUP(CONCATENATE($B32,BI$2),Database!$B:$E,4,0)="L",6,5),"")</f>
        <v/>
      </c>
      <c r="BJ32" s="29" t="str">
        <f>IFERROR(IF(VLOOKUP(CONCATENATE($B32,BJ$2),Database!$B:$E,4,0)="L",6,5),"")</f>
        <v/>
      </c>
      <c r="BK32" s="29" t="str">
        <f>IFERROR(IF(VLOOKUP(CONCATENATE($B32,BK$2),Database!$B:$E,4,0)="L",6,5),"")</f>
        <v/>
      </c>
      <c r="BL32" s="29" t="str">
        <f>IFERROR(IF(VLOOKUP(CONCATENATE($B32,BL$2),Database!$B:$E,4,0)="L",6,5),"")</f>
        <v/>
      </c>
      <c r="BM32" s="29" t="str">
        <f>IFERROR(IF(VLOOKUP(CONCATENATE($B32,BM$2),Database!$B:$E,4,0)="L",6,5),"")</f>
        <v/>
      </c>
      <c r="BN32" s="29" t="str">
        <f>IFERROR(IF(VLOOKUP(CONCATENATE($B32,BN$2),Database!$B:$E,4,0)="L",6,5),"")</f>
        <v/>
      </c>
      <c r="BO32" s="29" t="str">
        <f>IFERROR(IF(VLOOKUP(CONCATENATE($B32,BO$2),Database!$B:$E,4,0)="L",6,5),"")</f>
        <v/>
      </c>
      <c r="BP32" s="29" t="str">
        <f>IFERROR(IF(VLOOKUP(CONCATENATE($B32,BP$2),Database!$B:$E,4,0)="L",6,5),"")</f>
        <v/>
      </c>
      <c r="BQ32" s="29" t="str">
        <f>IFERROR(IF(VLOOKUP(CONCATENATE($B32,BQ$2),Database!$B:$E,4,0)="L",6,5),"")</f>
        <v/>
      </c>
      <c r="BR32" s="29" t="str">
        <f>IFERROR(IF(VLOOKUP(CONCATENATE($B32,BR$2),Database!$B:$E,4,0)="L",6,5),"")</f>
        <v/>
      </c>
      <c r="BS32" s="29" t="str">
        <f>IFERROR(IF(VLOOKUP(CONCATENATE($B32,BS$2),Database!$B:$E,4,0)="L",6,5),"")</f>
        <v/>
      </c>
      <c r="BT32" s="29" t="str">
        <f>IFERROR(IF(VLOOKUP(CONCATENATE($B32,BT$2),Database!$B:$E,4,0)="L",6,5),"")</f>
        <v/>
      </c>
      <c r="BU32" s="29" t="str">
        <f>IFERROR(IF(VLOOKUP(CONCATENATE($B32,BU$2),Database!$B:$E,4,0)="L",6,5),"")</f>
        <v/>
      </c>
      <c r="BV32" s="29" t="str">
        <f>IFERROR(IF(VLOOKUP(CONCATENATE($B32,BV$2),Database!$B:$E,4,0)="L",6,5),"")</f>
        <v/>
      </c>
      <c r="BW32" s="29" t="str">
        <f>IFERROR(IF(VLOOKUP(CONCATENATE($B32,BW$2),Database!$B:$E,4,0)="L",6,5),"")</f>
        <v/>
      </c>
      <c r="BX32" s="29" t="str">
        <f>IFERROR(IF(VLOOKUP(CONCATENATE($B32,BX$2),Database!$B:$E,4,0)="L",6,5),"")</f>
        <v/>
      </c>
      <c r="BY32" s="29" t="str">
        <f>IFERROR(IF(VLOOKUP(CONCATENATE($B32,BY$2),Database!$B:$E,4,0)="L",6,5),"")</f>
        <v/>
      </c>
      <c r="BZ32" s="29" t="str">
        <f>IFERROR(IF(VLOOKUP(CONCATENATE($B32,BZ$2),Database!$B:$E,4,0)="L",6,5),"")</f>
        <v/>
      </c>
    </row>
    <row r="33" spans="2:78" ht="14.3" hidden="1" x14ac:dyDescent="0.3">
      <c r="B33" s="19" t="s">
        <v>38</v>
      </c>
      <c r="C33" s="16">
        <f>COUNTIFS(Database!$D:$D,$B33,Database!$C:$C,"&gt;1/1/25")</f>
        <v>0</v>
      </c>
      <c r="D33" s="1">
        <f>COUNTIFS(Database!$D:$D,$B33,Database!$E:$E,"W",Database!$C:$C,"&gt;1/1/25")</f>
        <v>0</v>
      </c>
      <c r="E33" s="1">
        <f>COUNTIFS(Database!$D:$D,$B33,Database!$E:$E,"L",Database!$C:$C,"&gt;1/1/25")</f>
        <v>0</v>
      </c>
      <c r="F33" s="1">
        <f t="shared" si="1"/>
        <v>0</v>
      </c>
      <c r="G33" s="21" t="str">
        <f t="shared" si="2"/>
        <v>-</v>
      </c>
      <c r="H33" s="14" t="str">
        <f t="shared" si="3"/>
        <v>-</v>
      </c>
      <c r="J33" s="16">
        <f>COUNTIF(Database!$D:$D,$B33)</f>
        <v>7</v>
      </c>
      <c r="K33" s="1">
        <f>COUNTIFS(Database!$D:$D,$B33,Database!$E:$E,"W")</f>
        <v>4</v>
      </c>
      <c r="L33" s="1">
        <f>COUNTIFS(Database!$D:$D,$B33,Database!$E:$E,"L")</f>
        <v>3</v>
      </c>
      <c r="M33" s="1">
        <f t="shared" si="4"/>
        <v>1</v>
      </c>
      <c r="N33" s="21">
        <f t="shared" si="5"/>
        <v>0.5714285714285714</v>
      </c>
      <c r="O33" s="14">
        <f t="shared" si="6"/>
        <v>0.42857142857142855</v>
      </c>
      <c r="Q33" s="28">
        <f>IFERROR(IF(VLOOKUP(CONCATENATE($B33,Q$2),Database!$B:$E,4,0)="L",6,5),"")</f>
        <v>6</v>
      </c>
      <c r="R33" s="23">
        <f>IFERROR(IF(VLOOKUP(CONCATENATE($B33,R$2),Database!$B:$E,4,0)="L",6,5),"")</f>
        <v>6</v>
      </c>
      <c r="S33" s="23">
        <f>IFERROR(IF(VLOOKUP(CONCATENATE($B33,S$2),Database!$B:$E,4,0)="L",6,5),"")</f>
        <v>5</v>
      </c>
      <c r="T33" s="23">
        <f>IFERROR(IF(VLOOKUP(CONCATENATE($B33,T$2),Database!$B:$E,4,0)="L",6,5),"")</f>
        <v>5</v>
      </c>
      <c r="U33" s="29">
        <f>IFERROR(IF(VLOOKUP(CONCATENATE($B33,U$2),Database!$B:$E,4,0)="L",6,5),"")</f>
        <v>6</v>
      </c>
      <c r="V33" s="54"/>
      <c r="W33" s="62"/>
      <c r="X33" s="63"/>
      <c r="Z33" s="63" t="s">
        <v>139</v>
      </c>
      <c r="AB33" s="29">
        <f>IFERROR(IF(VLOOKUP(CONCATENATE($B33,AB$2),Database!$B:$E,4,0)="L",6,5),"")</f>
        <v>6</v>
      </c>
      <c r="AC33" s="29">
        <f>IFERROR(IF(VLOOKUP(CONCATENATE($B33,AC$2),Database!$B:$E,4,0)="L",6,5),"")</f>
        <v>5</v>
      </c>
      <c r="AD33" s="29">
        <f>IFERROR(IF(VLOOKUP(CONCATENATE($B33,AD$2),Database!$B:$E,4,0)="L",6,5),"")</f>
        <v>5</v>
      </c>
      <c r="AE33" s="29">
        <f>IFERROR(IF(VLOOKUP(CONCATENATE($B33,AE$2),Database!$B:$E,4,0)="L",6,5),"")</f>
        <v>6</v>
      </c>
      <c r="AF33" s="29">
        <f>IFERROR(IF(VLOOKUP(CONCATENATE($B33,AF$2),Database!$B:$E,4,0)="L",6,5),"")</f>
        <v>6</v>
      </c>
      <c r="AG33" s="29">
        <f>IFERROR(IF(VLOOKUP(CONCATENATE($B33,AG$2),Database!$B:$E,4,0)="L",6,5),"")</f>
        <v>5</v>
      </c>
      <c r="AH33" s="29">
        <f>IFERROR(IF(VLOOKUP(CONCATENATE($B33,AH$2),Database!$B:$E,4,0)="L",6,5),"")</f>
        <v>5</v>
      </c>
      <c r="AI33" s="29" t="str">
        <f>IFERROR(IF(VLOOKUP(CONCATENATE($B33,AI$2),Database!$B:$E,4,0)="L",6,5),"")</f>
        <v/>
      </c>
      <c r="AJ33" s="29" t="str">
        <f>IFERROR(IF(VLOOKUP(CONCATENATE($B33,AJ$2),Database!$B:$E,4,0)="L",6,5),"")</f>
        <v/>
      </c>
      <c r="AK33" s="29" t="str">
        <f>IFERROR(IF(VLOOKUP(CONCATENATE($B33,AK$2),Database!$B:$E,4,0)="L",6,5),"")</f>
        <v/>
      </c>
      <c r="AL33" s="29" t="str">
        <f>IFERROR(IF(VLOOKUP(CONCATENATE($B33,AL$2),Database!$B:$E,4,0)="L",6,5),"")</f>
        <v/>
      </c>
      <c r="AM33" s="29" t="str">
        <f>IFERROR(IF(VLOOKUP(CONCATENATE($B33,AM$2),Database!$B:$E,4,0)="L",6,5),"")</f>
        <v/>
      </c>
      <c r="AN33" s="29" t="str">
        <f>IFERROR(IF(VLOOKUP(CONCATENATE($B33,AN$2),Database!$B:$E,4,0)="L",6,5),"")</f>
        <v/>
      </c>
      <c r="AO33" s="29" t="str">
        <f>IFERROR(IF(VLOOKUP(CONCATENATE($B33,AO$2),Database!$B:$E,4,0)="L",6,5),"")</f>
        <v/>
      </c>
      <c r="AP33" s="29" t="str">
        <f>IFERROR(IF(VLOOKUP(CONCATENATE($B33,AP$2),Database!$B:$E,4,0)="L",6,5),"")</f>
        <v/>
      </c>
      <c r="AQ33" s="29" t="str">
        <f>IFERROR(IF(VLOOKUP(CONCATENATE($B33,AQ$2),Database!$B:$E,4,0)="L",6,5),"")</f>
        <v/>
      </c>
      <c r="AR33" s="29" t="str">
        <f>IFERROR(IF(VLOOKUP(CONCATENATE($B33,AR$2),Database!$B:$E,4,0)="L",6,5),"")</f>
        <v/>
      </c>
      <c r="AS33" s="29" t="str">
        <f>IFERROR(IF(VLOOKUP(CONCATENATE($B33,AS$2),Database!$B:$E,4,0)="L",6,5),"")</f>
        <v/>
      </c>
      <c r="AT33" s="29" t="str">
        <f>IFERROR(IF(VLOOKUP(CONCATENATE($B33,AT$2),Database!$B:$E,4,0)="L",6,5),"")</f>
        <v/>
      </c>
      <c r="AU33" s="29" t="str">
        <f>IFERROR(IF(VLOOKUP(CONCATENATE($B33,AU$2),Database!$B:$E,4,0)="L",6,5),"")</f>
        <v/>
      </c>
      <c r="AV33" s="29" t="str">
        <f>IFERROR(IF(VLOOKUP(CONCATENATE($B33,AV$2),Database!$B:$E,4,0)="L",6,5),"")</f>
        <v/>
      </c>
      <c r="AW33" s="29" t="str">
        <f>IFERROR(IF(VLOOKUP(CONCATENATE($B33,AW$2),Database!$B:$E,4,0)="L",6,5),"")</f>
        <v/>
      </c>
      <c r="AX33" s="29" t="str">
        <f>IFERROR(IF(VLOOKUP(CONCATENATE($B33,AX$2),Database!$B:$E,4,0)="L",6,5),"")</f>
        <v/>
      </c>
      <c r="AY33" s="29" t="str">
        <f>IFERROR(IF(VLOOKUP(CONCATENATE($B33,AY$2),Database!$B:$E,4,0)="L",6,5),"")</f>
        <v/>
      </c>
      <c r="AZ33" s="29" t="str">
        <f>IFERROR(IF(VLOOKUP(CONCATENATE($B33,AZ$2),Database!$B:$E,4,0)="L",6,5),"")</f>
        <v/>
      </c>
      <c r="BA33" s="29" t="str">
        <f>IFERROR(IF(VLOOKUP(CONCATENATE($B33,BA$2),Database!$B:$E,4,0)="L",6,5),"")</f>
        <v/>
      </c>
      <c r="BB33" s="29" t="str">
        <f>IFERROR(IF(VLOOKUP(CONCATENATE($B33,BB$2),Database!$B:$E,4,0)="L",6,5),"")</f>
        <v/>
      </c>
      <c r="BC33" s="29" t="str">
        <f>IFERROR(IF(VLOOKUP(CONCATENATE($B33,BC$2),Database!$B:$E,4,0)="L",6,5),"")</f>
        <v/>
      </c>
      <c r="BD33" s="29" t="str">
        <f>IFERROR(IF(VLOOKUP(CONCATENATE($B33,BD$2),Database!$B:$E,4,0)="L",6,5),"")</f>
        <v/>
      </c>
      <c r="BE33" s="29" t="str">
        <f>IFERROR(IF(VLOOKUP(CONCATENATE($B33,BE$2),Database!$B:$E,4,0)="L",6,5),"")</f>
        <v/>
      </c>
      <c r="BF33" s="29" t="str">
        <f>IFERROR(IF(VLOOKUP(CONCATENATE($B33,BF$2),Database!$B:$E,4,0)="L",6,5),"")</f>
        <v/>
      </c>
      <c r="BG33" s="29" t="str">
        <f>IFERROR(IF(VLOOKUP(CONCATENATE($B33,BG$2),Database!$B:$E,4,0)="L",6,5),"")</f>
        <v/>
      </c>
      <c r="BH33" s="29" t="str">
        <f>IFERROR(IF(VLOOKUP(CONCATENATE($B33,BH$2),Database!$B:$E,4,0)="L",6,5),"")</f>
        <v/>
      </c>
      <c r="BI33" s="29" t="str">
        <f>IFERROR(IF(VLOOKUP(CONCATENATE($B33,BI$2),Database!$B:$E,4,0)="L",6,5),"")</f>
        <v/>
      </c>
      <c r="BJ33" s="29" t="str">
        <f>IFERROR(IF(VLOOKUP(CONCATENATE($B33,BJ$2),Database!$B:$E,4,0)="L",6,5),"")</f>
        <v/>
      </c>
      <c r="BK33" s="29" t="str">
        <f>IFERROR(IF(VLOOKUP(CONCATENATE($B33,BK$2),Database!$B:$E,4,0)="L",6,5),"")</f>
        <v/>
      </c>
      <c r="BL33" s="29" t="str">
        <f>IFERROR(IF(VLOOKUP(CONCATENATE($B33,BL$2),Database!$B:$E,4,0)="L",6,5),"")</f>
        <v/>
      </c>
      <c r="BM33" s="29" t="str">
        <f>IFERROR(IF(VLOOKUP(CONCATENATE($B33,BM$2),Database!$B:$E,4,0)="L",6,5),"")</f>
        <v/>
      </c>
      <c r="BN33" s="29" t="str">
        <f>IFERROR(IF(VLOOKUP(CONCATENATE($B33,BN$2),Database!$B:$E,4,0)="L",6,5),"")</f>
        <v/>
      </c>
      <c r="BO33" s="29" t="str">
        <f>IFERROR(IF(VLOOKUP(CONCATENATE($B33,BO$2),Database!$B:$E,4,0)="L",6,5),"")</f>
        <v/>
      </c>
      <c r="BP33" s="29" t="str">
        <f>IFERROR(IF(VLOOKUP(CONCATENATE($B33,BP$2),Database!$B:$E,4,0)="L",6,5),"")</f>
        <v/>
      </c>
      <c r="BQ33" s="29" t="str">
        <f>IFERROR(IF(VLOOKUP(CONCATENATE($B33,BQ$2),Database!$B:$E,4,0)="L",6,5),"")</f>
        <v/>
      </c>
      <c r="BR33" s="29" t="str">
        <f>IFERROR(IF(VLOOKUP(CONCATENATE($B33,BR$2),Database!$B:$E,4,0)="L",6,5),"")</f>
        <v/>
      </c>
      <c r="BS33" s="29" t="str">
        <f>IFERROR(IF(VLOOKUP(CONCATENATE($B33,BS$2),Database!$B:$E,4,0)="L",6,5),"")</f>
        <v/>
      </c>
      <c r="BT33" s="29" t="str">
        <f>IFERROR(IF(VLOOKUP(CONCATENATE($B33,BT$2),Database!$B:$E,4,0)="L",6,5),"")</f>
        <v/>
      </c>
      <c r="BU33" s="29" t="str">
        <f>IFERROR(IF(VLOOKUP(CONCATENATE($B33,BU$2),Database!$B:$E,4,0)="L",6,5),"")</f>
        <v/>
      </c>
      <c r="BV33" s="29" t="str">
        <f>IFERROR(IF(VLOOKUP(CONCATENATE($B33,BV$2),Database!$B:$E,4,0)="L",6,5),"")</f>
        <v/>
      </c>
      <c r="BW33" s="29" t="str">
        <f>IFERROR(IF(VLOOKUP(CONCATENATE($B33,BW$2),Database!$B:$E,4,0)="L",6,5),"")</f>
        <v/>
      </c>
      <c r="BX33" s="29" t="str">
        <f>IFERROR(IF(VLOOKUP(CONCATENATE($B33,BX$2),Database!$B:$E,4,0)="L",6,5),"")</f>
        <v/>
      </c>
      <c r="BY33" s="29" t="str">
        <f>IFERROR(IF(VLOOKUP(CONCATENATE($B33,BY$2),Database!$B:$E,4,0)="L",6,5),"")</f>
        <v/>
      </c>
      <c r="BZ33" s="29" t="str">
        <f>IFERROR(IF(VLOOKUP(CONCATENATE($B33,BZ$2),Database!$B:$E,4,0)="L",6,5),"")</f>
        <v/>
      </c>
    </row>
    <row r="34" spans="2:78" ht="15.65" hidden="1" x14ac:dyDescent="0.3">
      <c r="B34" s="19" t="s">
        <v>31</v>
      </c>
      <c r="C34" s="16">
        <f>COUNTIFS(Database!$D:$D,$B34,Database!$C:$C,"&gt;1/1/25")</f>
        <v>0</v>
      </c>
      <c r="D34" s="1">
        <f>COUNTIFS(Database!$D:$D,$B34,Database!$E:$E,"W",Database!$C:$C,"&gt;1/1/25")</f>
        <v>0</v>
      </c>
      <c r="E34" s="1">
        <f>COUNTIFS(Database!$D:$D,$B34,Database!$E:$E,"L",Database!$C:$C,"&gt;1/1/25")</f>
        <v>0</v>
      </c>
      <c r="F34" s="1">
        <f t="shared" si="1"/>
        <v>0</v>
      </c>
      <c r="G34" s="21" t="str">
        <f t="shared" si="2"/>
        <v>-</v>
      </c>
      <c r="H34" s="14" t="str">
        <f t="shared" si="3"/>
        <v>-</v>
      </c>
      <c r="J34" s="16">
        <f>COUNTIF(Database!$D:$D,$B34)</f>
        <v>26</v>
      </c>
      <c r="K34" s="1">
        <f>COUNTIFS(Database!$D:$D,$B34,Database!$E:$E,"W")</f>
        <v>21</v>
      </c>
      <c r="L34" s="1">
        <f>COUNTIFS(Database!$D:$D,$B34,Database!$E:$E,"L")</f>
        <v>5</v>
      </c>
      <c r="M34" s="1">
        <f t="shared" si="4"/>
        <v>16</v>
      </c>
      <c r="N34" s="21">
        <f t="shared" si="5"/>
        <v>0.80769230769230771</v>
      </c>
      <c r="O34" s="14">
        <f t="shared" si="6"/>
        <v>0.19230769230769232</v>
      </c>
      <c r="Q34" s="28">
        <f>IFERROR(IF(VLOOKUP(CONCATENATE($B34,Q$2),Database!$B:$E,4,0)="L",6,5),"")</f>
        <v>5</v>
      </c>
      <c r="R34" s="23">
        <f>IFERROR(IF(VLOOKUP(CONCATENATE($B34,R$2),Database!$B:$E,4,0)="L",6,5),"")</f>
        <v>5</v>
      </c>
      <c r="S34" s="23">
        <f>IFERROR(IF(VLOOKUP(CONCATENATE($B34,S$2),Database!$B:$E,4,0)="L",6,5),"")</f>
        <v>6</v>
      </c>
      <c r="T34" s="23">
        <f>IFERROR(IF(VLOOKUP(CONCATENATE($B34,T$2),Database!$B:$E,4,0)="L",6,5),"")</f>
        <v>5</v>
      </c>
      <c r="U34" s="29">
        <f>IFERROR(IF(VLOOKUP(CONCATENATE($B34,U$2),Database!$B:$E,4,0)="L",6,5),"")</f>
        <v>5</v>
      </c>
      <c r="V34" s="54"/>
      <c r="W34" s="56" t="s">
        <v>156</v>
      </c>
      <c r="X34" s="86" t="s">
        <v>14</v>
      </c>
      <c r="Z34" s="63" t="s">
        <v>139</v>
      </c>
      <c r="AB34" s="29">
        <f>IFERROR(IF(VLOOKUP(CONCATENATE($B34,AB$2),Database!$B:$E,4,0)="L",6,5),"")</f>
        <v>5</v>
      </c>
      <c r="AC34" s="29">
        <f>IFERROR(IF(VLOOKUP(CONCATENATE($B34,AC$2),Database!$B:$E,4,0)="L",6,5),"")</f>
        <v>5</v>
      </c>
      <c r="AD34" s="29">
        <f>IFERROR(IF(VLOOKUP(CONCATENATE($B34,AD$2),Database!$B:$E,4,0)="L",6,5),"")</f>
        <v>6</v>
      </c>
      <c r="AE34" s="29">
        <f>IFERROR(IF(VLOOKUP(CONCATENATE($B34,AE$2),Database!$B:$E,4,0)="L",6,5),"")</f>
        <v>5</v>
      </c>
      <c r="AF34" s="29">
        <f>IFERROR(IF(VLOOKUP(CONCATENATE($B34,AF$2),Database!$B:$E,4,0)="L",6,5),"")</f>
        <v>5</v>
      </c>
      <c r="AG34" s="29">
        <f>IFERROR(IF(VLOOKUP(CONCATENATE($B34,AG$2),Database!$B:$E,4,0)="L",6,5),"")</f>
        <v>5</v>
      </c>
      <c r="AH34" s="29">
        <f>IFERROR(IF(VLOOKUP(CONCATENATE($B34,AH$2),Database!$B:$E,4,0)="L",6,5),"")</f>
        <v>5</v>
      </c>
      <c r="AI34" s="29">
        <f>IFERROR(IF(VLOOKUP(CONCATENATE($B34,AI$2),Database!$B:$E,4,0)="L",6,5),"")</f>
        <v>6</v>
      </c>
      <c r="AJ34" s="29">
        <f>IFERROR(IF(VLOOKUP(CONCATENATE($B34,AJ$2),Database!$B:$E,4,0)="L",6,5),"")</f>
        <v>5</v>
      </c>
      <c r="AK34" s="29">
        <f>IFERROR(IF(VLOOKUP(CONCATENATE($B34,AK$2),Database!$B:$E,4,0)="L",6,5),"")</f>
        <v>5</v>
      </c>
      <c r="AL34" s="29">
        <f>IFERROR(IF(VLOOKUP(CONCATENATE($B34,AL$2),Database!$B:$E,4,0)="L",6,5),"")</f>
        <v>5</v>
      </c>
      <c r="AM34" s="29">
        <f>IFERROR(IF(VLOOKUP(CONCATENATE($B34,AM$2),Database!$B:$E,4,0)="L",6,5),"")</f>
        <v>5</v>
      </c>
      <c r="AN34" s="29">
        <f>IFERROR(IF(VLOOKUP(CONCATENATE($B34,AN$2),Database!$B:$E,4,0)="L",6,5),"")</f>
        <v>5</v>
      </c>
      <c r="AO34" s="29">
        <f>IFERROR(IF(VLOOKUP(CONCATENATE($B34,AO$2),Database!$B:$E,4,0)="L",6,5),"")</f>
        <v>5</v>
      </c>
      <c r="AP34" s="29">
        <f>IFERROR(IF(VLOOKUP(CONCATENATE($B34,AP$2),Database!$B:$E,4,0)="L",6,5),"")</f>
        <v>6</v>
      </c>
      <c r="AQ34" s="29">
        <f>IFERROR(IF(VLOOKUP(CONCATENATE($B34,AQ$2),Database!$B:$E,4,0)="L",6,5),"")</f>
        <v>5</v>
      </c>
      <c r="AR34" s="29">
        <f>IFERROR(IF(VLOOKUP(CONCATENATE($B34,AR$2),Database!$B:$E,4,0)="L",6,5),"")</f>
        <v>5</v>
      </c>
      <c r="AS34" s="29">
        <f>IFERROR(IF(VLOOKUP(CONCATENATE($B34,AS$2),Database!$B:$E,4,0)="L",6,5),"")</f>
        <v>5</v>
      </c>
      <c r="AT34" s="29">
        <f>IFERROR(IF(VLOOKUP(CONCATENATE($B34,AT$2),Database!$B:$E,4,0)="L",6,5),"")</f>
        <v>5</v>
      </c>
      <c r="AU34" s="29">
        <f>IFERROR(IF(VLOOKUP(CONCATENATE($B34,AU$2),Database!$B:$E,4,0)="L",6,5),"")</f>
        <v>6</v>
      </c>
      <c r="AV34" s="29">
        <f>IFERROR(IF(VLOOKUP(CONCATENATE($B34,AV$2),Database!$B:$E,4,0)="L",6,5),"")</f>
        <v>5</v>
      </c>
      <c r="AW34" s="29">
        <f>IFERROR(IF(VLOOKUP(CONCATENATE($B34,AW$2),Database!$B:$E,4,0)="L",6,5),"")</f>
        <v>5</v>
      </c>
      <c r="AX34" s="29">
        <f>IFERROR(IF(VLOOKUP(CONCATENATE($B34,AX$2),Database!$B:$E,4,0)="L",6,5),"")</f>
        <v>5</v>
      </c>
      <c r="AY34" s="29">
        <f>IFERROR(IF(VLOOKUP(CONCATENATE($B34,AY$2),Database!$B:$E,4,0)="L",6,5),"")</f>
        <v>5</v>
      </c>
      <c r="AZ34" s="29">
        <f>IFERROR(IF(VLOOKUP(CONCATENATE($B34,AZ$2),Database!$B:$E,4,0)="L",6,5),"")</f>
        <v>5</v>
      </c>
      <c r="BA34" s="29">
        <f>IFERROR(IF(VLOOKUP(CONCATENATE($B34,BA$2),Database!$B:$E,4,0)="L",6,5),"")</f>
        <v>6</v>
      </c>
      <c r="BB34" s="29" t="str">
        <f>IFERROR(IF(VLOOKUP(CONCATENATE($B34,BB$2),Database!$B:$E,4,0)="L",6,5),"")</f>
        <v/>
      </c>
      <c r="BC34" s="29" t="str">
        <f>IFERROR(IF(VLOOKUP(CONCATENATE($B34,BC$2),Database!$B:$E,4,0)="L",6,5),"")</f>
        <v/>
      </c>
      <c r="BD34" s="29" t="str">
        <f>IFERROR(IF(VLOOKUP(CONCATENATE($B34,BD$2),Database!$B:$E,4,0)="L",6,5),"")</f>
        <v/>
      </c>
      <c r="BE34" s="29" t="str">
        <f>IFERROR(IF(VLOOKUP(CONCATENATE($B34,BE$2),Database!$B:$E,4,0)="L",6,5),"")</f>
        <v/>
      </c>
      <c r="BF34" s="29" t="str">
        <f>IFERROR(IF(VLOOKUP(CONCATENATE($B34,BF$2),Database!$B:$E,4,0)="L",6,5),"")</f>
        <v/>
      </c>
      <c r="BG34" s="29" t="str">
        <f>IFERROR(IF(VLOOKUP(CONCATENATE($B34,BG$2),Database!$B:$E,4,0)="L",6,5),"")</f>
        <v/>
      </c>
      <c r="BH34" s="29" t="str">
        <f>IFERROR(IF(VLOOKUP(CONCATENATE($B34,BH$2),Database!$B:$E,4,0)="L",6,5),"")</f>
        <v/>
      </c>
      <c r="BI34" s="29" t="str">
        <f>IFERROR(IF(VLOOKUP(CONCATENATE($B34,BI$2),Database!$B:$E,4,0)="L",6,5),"")</f>
        <v/>
      </c>
      <c r="BJ34" s="29" t="str">
        <f>IFERROR(IF(VLOOKUP(CONCATENATE($B34,BJ$2),Database!$B:$E,4,0)="L",6,5),"")</f>
        <v/>
      </c>
      <c r="BK34" s="29" t="str">
        <f>IFERROR(IF(VLOOKUP(CONCATENATE($B34,BK$2),Database!$B:$E,4,0)="L",6,5),"")</f>
        <v/>
      </c>
      <c r="BL34" s="29" t="str">
        <f>IFERROR(IF(VLOOKUP(CONCATENATE($B34,BL$2),Database!$B:$E,4,0)="L",6,5),"")</f>
        <v/>
      </c>
      <c r="BM34" s="29" t="str">
        <f>IFERROR(IF(VLOOKUP(CONCATENATE($B34,BM$2),Database!$B:$E,4,0)="L",6,5),"")</f>
        <v/>
      </c>
      <c r="BN34" s="29" t="str">
        <f>IFERROR(IF(VLOOKUP(CONCATENATE($B34,BN$2),Database!$B:$E,4,0)="L",6,5),"")</f>
        <v/>
      </c>
      <c r="BO34" s="29" t="str">
        <f>IFERROR(IF(VLOOKUP(CONCATENATE($B34,BO$2),Database!$B:$E,4,0)="L",6,5),"")</f>
        <v/>
      </c>
      <c r="BP34" s="29" t="str">
        <f>IFERROR(IF(VLOOKUP(CONCATENATE($B34,BP$2),Database!$B:$E,4,0)="L",6,5),"")</f>
        <v/>
      </c>
      <c r="BQ34" s="29" t="str">
        <f>IFERROR(IF(VLOOKUP(CONCATENATE($B34,BQ$2),Database!$B:$E,4,0)="L",6,5),"")</f>
        <v/>
      </c>
      <c r="BR34" s="29" t="str">
        <f>IFERROR(IF(VLOOKUP(CONCATENATE($B34,BR$2),Database!$B:$E,4,0)="L",6,5),"")</f>
        <v/>
      </c>
      <c r="BS34" s="29" t="str">
        <f>IFERROR(IF(VLOOKUP(CONCATENATE($B34,BS$2),Database!$B:$E,4,0)="L",6,5),"")</f>
        <v/>
      </c>
      <c r="BT34" s="29" t="str">
        <f>IFERROR(IF(VLOOKUP(CONCATENATE($B34,BT$2),Database!$B:$E,4,0)="L",6,5),"")</f>
        <v/>
      </c>
      <c r="BU34" s="29" t="str">
        <f>IFERROR(IF(VLOOKUP(CONCATENATE($B34,BU$2),Database!$B:$E,4,0)="L",6,5),"")</f>
        <v/>
      </c>
      <c r="BV34" s="29" t="str">
        <f>IFERROR(IF(VLOOKUP(CONCATENATE($B34,BV$2),Database!$B:$E,4,0)="L",6,5),"")</f>
        <v/>
      </c>
      <c r="BW34" s="29" t="str">
        <f>IFERROR(IF(VLOOKUP(CONCATENATE($B34,BW$2),Database!$B:$E,4,0)="L",6,5),"")</f>
        <v/>
      </c>
      <c r="BX34" s="29" t="str">
        <f>IFERROR(IF(VLOOKUP(CONCATENATE($B34,BX$2),Database!$B:$E,4,0)="L",6,5),"")</f>
        <v/>
      </c>
      <c r="BY34" s="29" t="str">
        <f>IFERROR(IF(VLOOKUP(CONCATENATE($B34,BY$2),Database!$B:$E,4,0)="L",6,5),"")</f>
        <v/>
      </c>
      <c r="BZ34" s="29" t="str">
        <f>IFERROR(IF(VLOOKUP(CONCATENATE($B34,BZ$2),Database!$B:$E,4,0)="L",6,5),"")</f>
        <v/>
      </c>
    </row>
    <row r="35" spans="2:78" ht="15.65" x14ac:dyDescent="0.3">
      <c r="B35" s="19" t="s">
        <v>42</v>
      </c>
      <c r="C35" s="16">
        <f>COUNTIFS(Database!$D:$D,$B35,Database!$C:$C,"&gt;1/1/25")</f>
        <v>2</v>
      </c>
      <c r="D35" s="1">
        <f>COUNTIFS(Database!$D:$D,$B35,Database!$E:$E,"W",Database!$C:$C,"&gt;1/1/25")</f>
        <v>2</v>
      </c>
      <c r="E35" s="1">
        <f>COUNTIFS(Database!$D:$D,$B35,Database!$E:$E,"L",Database!$C:$C,"&gt;1/1/25")</f>
        <v>0</v>
      </c>
      <c r="F35" s="1">
        <f t="shared" si="1"/>
        <v>2</v>
      </c>
      <c r="G35" s="21">
        <f t="shared" si="2"/>
        <v>1</v>
      </c>
      <c r="H35" s="14">
        <f t="shared" si="3"/>
        <v>0</v>
      </c>
      <c r="J35" s="16">
        <f>COUNTIF(Database!$D:$D,$B35)</f>
        <v>32</v>
      </c>
      <c r="K35" s="1">
        <f>COUNTIFS(Database!$D:$D,$B35,Database!$E:$E,"W")</f>
        <v>21</v>
      </c>
      <c r="L35" s="1">
        <f>COUNTIFS(Database!$D:$D,$B35,Database!$E:$E,"L")</f>
        <v>11</v>
      </c>
      <c r="M35" s="1">
        <f t="shared" si="4"/>
        <v>10</v>
      </c>
      <c r="N35" s="21">
        <f t="shared" si="5"/>
        <v>0.65625</v>
      </c>
      <c r="O35" s="14">
        <f t="shared" si="6"/>
        <v>0.34375</v>
      </c>
      <c r="Q35" s="28">
        <f>IFERROR(IF(VLOOKUP(CONCATENATE($B35,Q$2),Database!$B:$E,4,0)="L",6,5),"")</f>
        <v>5</v>
      </c>
      <c r="R35" s="23">
        <f>IFERROR(IF(VLOOKUP(CONCATENATE($B35,R$2),Database!$B:$E,4,0)="L",6,5),"")</f>
        <v>5</v>
      </c>
      <c r="S35" s="23">
        <f>IFERROR(IF(VLOOKUP(CONCATENATE($B35,S$2),Database!$B:$E,4,0)="L",6,5),"")</f>
        <v>5</v>
      </c>
      <c r="T35" s="23">
        <f>IFERROR(IF(VLOOKUP(CONCATENATE($B35,T$2),Database!$B:$E,4,0)="L",6,5),"")</f>
        <v>5</v>
      </c>
      <c r="U35" s="29">
        <f>IFERROR(IF(VLOOKUP(CONCATENATE($B35,U$2),Database!$B:$E,4,0)="L",6,5),"")</f>
        <v>5</v>
      </c>
      <c r="V35" s="54"/>
      <c r="W35" s="62" t="s">
        <v>14</v>
      </c>
      <c r="X35" s="130" t="s">
        <v>156</v>
      </c>
      <c r="Z35" s="63" t="str">
        <f t="shared" ref="Z35:Z64" si="8">IF(J35&lt;5,"N","Y")</f>
        <v>Y</v>
      </c>
      <c r="AB35" s="29">
        <f>IFERROR(IF(VLOOKUP(CONCATENATE($B35,AB$2),Database!$B:$E,4,0)="L",6,5),"")</f>
        <v>5</v>
      </c>
      <c r="AC35" s="29">
        <f>IFERROR(IF(VLOOKUP(CONCATENATE($B35,AC$2),Database!$B:$E,4,0)="L",6,5),"")</f>
        <v>5</v>
      </c>
      <c r="AD35" s="29">
        <f>IFERROR(IF(VLOOKUP(CONCATENATE($B35,AD$2),Database!$B:$E,4,0)="L",6,5),"")</f>
        <v>5</v>
      </c>
      <c r="AE35" s="29">
        <f>IFERROR(IF(VLOOKUP(CONCATENATE($B35,AE$2),Database!$B:$E,4,0)="L",6,5),"")</f>
        <v>5</v>
      </c>
      <c r="AF35" s="29">
        <f>IFERROR(IF(VLOOKUP(CONCATENATE($B35,AF$2),Database!$B:$E,4,0)="L",6,5),"")</f>
        <v>5</v>
      </c>
      <c r="AG35" s="29">
        <f>IFERROR(IF(VLOOKUP(CONCATENATE($B35,AG$2),Database!$B:$E,4,0)="L",6,5),"")</f>
        <v>5</v>
      </c>
      <c r="AH35" s="29">
        <f>IFERROR(IF(VLOOKUP(CONCATENATE($B35,AH$2),Database!$B:$E,4,0)="L",6,5),"")</f>
        <v>5</v>
      </c>
      <c r="AI35" s="29">
        <f>IFERROR(IF(VLOOKUP(CONCATENATE($B35,AI$2),Database!$B:$E,4,0)="L",6,5),"")</f>
        <v>5</v>
      </c>
      <c r="AJ35" s="29">
        <f>IFERROR(IF(VLOOKUP(CONCATENATE($B35,AJ$2),Database!$B:$E,4,0)="L",6,5),"")</f>
        <v>5</v>
      </c>
      <c r="AK35" s="29">
        <f>IFERROR(IF(VLOOKUP(CONCATENATE($B35,AK$2),Database!$B:$E,4,0)="L",6,5),"")</f>
        <v>5</v>
      </c>
      <c r="AL35" s="29">
        <f>IFERROR(IF(VLOOKUP(CONCATENATE($B35,AL$2),Database!$B:$E,4,0)="L",6,5),"")</f>
        <v>6</v>
      </c>
      <c r="AM35" s="29">
        <f>IFERROR(IF(VLOOKUP(CONCATENATE($B35,AM$2),Database!$B:$E,4,0)="L",6,5),"")</f>
        <v>5</v>
      </c>
      <c r="AN35" s="29">
        <f>IFERROR(IF(VLOOKUP(CONCATENATE($B35,AN$2),Database!$B:$E,4,0)="L",6,5),"")</f>
        <v>6</v>
      </c>
      <c r="AO35" s="29">
        <f>IFERROR(IF(VLOOKUP(CONCATENATE($B35,AO$2),Database!$B:$E,4,0)="L",6,5),"")</f>
        <v>5</v>
      </c>
      <c r="AP35" s="29">
        <f>IFERROR(IF(VLOOKUP(CONCATENATE($B35,AP$2),Database!$B:$E,4,0)="L",6,5),"")</f>
        <v>6</v>
      </c>
      <c r="AQ35" s="29">
        <f>IFERROR(IF(VLOOKUP(CONCATENATE($B35,AQ$2),Database!$B:$E,4,0)="L",6,5),"")</f>
        <v>6</v>
      </c>
      <c r="AR35" s="29">
        <f>IFERROR(IF(VLOOKUP(CONCATENATE($B35,AR$2),Database!$B:$E,4,0)="L",6,5),"")</f>
        <v>6</v>
      </c>
      <c r="AS35" s="29">
        <f>IFERROR(IF(VLOOKUP(CONCATENATE($B35,AS$2),Database!$B:$E,4,0)="L",6,5),"")</f>
        <v>5</v>
      </c>
      <c r="AT35" s="29">
        <f>IFERROR(IF(VLOOKUP(CONCATENATE($B35,AT$2),Database!$B:$E,4,0)="L",6,5),"")</f>
        <v>5</v>
      </c>
      <c r="AU35" s="29">
        <f>IFERROR(IF(VLOOKUP(CONCATENATE($B35,AU$2),Database!$B:$E,4,0)="L",6,5),"")</f>
        <v>5</v>
      </c>
      <c r="AV35" s="29">
        <f>IFERROR(IF(VLOOKUP(CONCATENATE($B35,AV$2),Database!$B:$E,4,0)="L",6,5),"")</f>
        <v>6</v>
      </c>
      <c r="AW35" s="29">
        <f>IFERROR(IF(VLOOKUP(CONCATENATE($B35,AW$2),Database!$B:$E,4,0)="L",6,5),"")</f>
        <v>5</v>
      </c>
      <c r="AX35" s="29">
        <f>IFERROR(IF(VLOOKUP(CONCATENATE($B35,AX$2),Database!$B:$E,4,0)="L",6,5),"")</f>
        <v>5</v>
      </c>
      <c r="AY35" s="29">
        <f>IFERROR(IF(VLOOKUP(CONCATENATE($B35,AY$2),Database!$B:$E,4,0)="L",6,5),"")</f>
        <v>5</v>
      </c>
      <c r="AZ35" s="29">
        <f>IFERROR(IF(VLOOKUP(CONCATENATE($B35,AZ$2),Database!$B:$E,4,0)="L",6,5),"")</f>
        <v>6</v>
      </c>
      <c r="BA35" s="29">
        <f>IFERROR(IF(VLOOKUP(CONCATENATE($B35,BA$2),Database!$B:$E,4,0)="L",6,5),"")</f>
        <v>5</v>
      </c>
      <c r="BB35" s="29">
        <f>IFERROR(IF(VLOOKUP(CONCATENATE($B35,BB$2),Database!$B:$E,4,0)="L",6,5),"")</f>
        <v>6</v>
      </c>
      <c r="BC35" s="29">
        <f>IFERROR(IF(VLOOKUP(CONCATENATE($B35,BC$2),Database!$B:$E,4,0)="L",6,5),"")</f>
        <v>5</v>
      </c>
      <c r="BD35" s="29">
        <f>IFERROR(IF(VLOOKUP(CONCATENATE($B35,BD$2),Database!$B:$E,4,0)="L",6,5),"")</f>
        <v>6</v>
      </c>
      <c r="BE35" s="29">
        <f>IFERROR(IF(VLOOKUP(CONCATENATE($B35,BE$2),Database!$B:$E,4,0)="L",6,5),"")</f>
        <v>5</v>
      </c>
      <c r="BF35" s="29">
        <f>IFERROR(IF(VLOOKUP(CONCATENATE($B35,BF$2),Database!$B:$E,4,0)="L",6,5),"")</f>
        <v>6</v>
      </c>
      <c r="BG35" s="29">
        <f>IFERROR(IF(VLOOKUP(CONCATENATE($B35,BG$2),Database!$B:$E,4,0)="L",6,5),"")</f>
        <v>6</v>
      </c>
      <c r="BH35" s="29" t="str">
        <f>IFERROR(IF(VLOOKUP(CONCATENATE($B35,BH$2),Database!$B:$E,4,0)="L",6,5),"")</f>
        <v/>
      </c>
      <c r="BI35" s="29" t="str">
        <f>IFERROR(IF(VLOOKUP(CONCATENATE($B35,BI$2),Database!$B:$E,4,0)="L",6,5),"")</f>
        <v/>
      </c>
      <c r="BJ35" s="29" t="str">
        <f>IFERROR(IF(VLOOKUP(CONCATENATE($B35,BJ$2),Database!$B:$E,4,0)="L",6,5),"")</f>
        <v/>
      </c>
      <c r="BK35" s="29" t="str">
        <f>IFERROR(IF(VLOOKUP(CONCATENATE($B35,BK$2),Database!$B:$E,4,0)="L",6,5),"")</f>
        <v/>
      </c>
      <c r="BL35" s="29" t="str">
        <f>IFERROR(IF(VLOOKUP(CONCATENATE($B35,BL$2),Database!$B:$E,4,0)="L",6,5),"")</f>
        <v/>
      </c>
      <c r="BM35" s="29" t="str">
        <f>IFERROR(IF(VLOOKUP(CONCATENATE($B35,BM$2),Database!$B:$E,4,0)="L",6,5),"")</f>
        <v/>
      </c>
      <c r="BN35" s="29" t="str">
        <f>IFERROR(IF(VLOOKUP(CONCATENATE($B35,BN$2),Database!$B:$E,4,0)="L",6,5),"")</f>
        <v/>
      </c>
      <c r="BO35" s="29" t="str">
        <f>IFERROR(IF(VLOOKUP(CONCATENATE($B35,BO$2),Database!$B:$E,4,0)="L",6,5),"")</f>
        <v/>
      </c>
      <c r="BP35" s="29" t="str">
        <f>IFERROR(IF(VLOOKUP(CONCATENATE($B35,BP$2),Database!$B:$E,4,0)="L",6,5),"")</f>
        <v/>
      </c>
      <c r="BQ35" s="29" t="str">
        <f>IFERROR(IF(VLOOKUP(CONCATENATE($B35,BQ$2),Database!$B:$E,4,0)="L",6,5),"")</f>
        <v/>
      </c>
      <c r="BR35" s="29" t="str">
        <f>IFERROR(IF(VLOOKUP(CONCATENATE($B35,BR$2),Database!$B:$E,4,0)="L",6,5),"")</f>
        <v/>
      </c>
      <c r="BS35" s="29" t="str">
        <f>IFERROR(IF(VLOOKUP(CONCATENATE($B35,BS$2),Database!$B:$E,4,0)="L",6,5),"")</f>
        <v/>
      </c>
      <c r="BT35" s="29" t="str">
        <f>IFERROR(IF(VLOOKUP(CONCATENATE($B35,BT$2),Database!$B:$E,4,0)="L",6,5),"")</f>
        <v/>
      </c>
      <c r="BU35" s="29" t="str">
        <f>IFERROR(IF(VLOOKUP(CONCATENATE($B35,BU$2),Database!$B:$E,4,0)="L",6,5),"")</f>
        <v/>
      </c>
      <c r="BV35" s="29" t="str">
        <f>IFERROR(IF(VLOOKUP(CONCATENATE($B35,BV$2),Database!$B:$E,4,0)="L",6,5),"")</f>
        <v/>
      </c>
      <c r="BW35" s="29" t="str">
        <f>IFERROR(IF(VLOOKUP(CONCATENATE($B35,BW$2),Database!$B:$E,4,0)="L",6,5),"")</f>
        <v/>
      </c>
      <c r="BX35" s="29" t="str">
        <f>IFERROR(IF(VLOOKUP(CONCATENATE($B35,BX$2),Database!$B:$E,4,0)="L",6,5),"")</f>
        <v/>
      </c>
      <c r="BY35" s="29" t="str">
        <f>IFERROR(IF(VLOOKUP(CONCATENATE($B35,BY$2),Database!$B:$E,4,0)="L",6,5),"")</f>
        <v/>
      </c>
      <c r="BZ35" s="29" t="str">
        <f>IFERROR(IF(VLOOKUP(CONCATENATE($B35,BZ$2),Database!$B:$E,4,0)="L",6,5),"")</f>
        <v/>
      </c>
    </row>
    <row r="36" spans="2:78" ht="14.3" x14ac:dyDescent="0.3">
      <c r="B36" s="19" t="s">
        <v>53</v>
      </c>
      <c r="C36" s="16">
        <f>COUNTIFS(Database!$D:$D,$B36,Database!$C:$C,"&gt;1/1/25")</f>
        <v>2</v>
      </c>
      <c r="D36" s="1">
        <f>COUNTIFS(Database!$D:$D,$B36,Database!$E:$E,"W",Database!$C:$C,"&gt;1/1/25")</f>
        <v>2</v>
      </c>
      <c r="E36" s="1">
        <f>COUNTIFS(Database!$D:$D,$B36,Database!$E:$E,"L",Database!$C:$C,"&gt;1/1/25")</f>
        <v>0</v>
      </c>
      <c r="F36" s="1">
        <f t="shared" ref="F36:F67" si="9">D36-E36</f>
        <v>2</v>
      </c>
      <c r="G36" s="21">
        <f t="shared" ref="G36:G64" si="10">IFERROR(D36/C36,"-")</f>
        <v>1</v>
      </c>
      <c r="H36" s="14">
        <f t="shared" ref="H36:H64" si="11">IFERROR(E36/C36,"-")</f>
        <v>0</v>
      </c>
      <c r="J36" s="16">
        <f>COUNTIF(Database!$D:$D,$B36)</f>
        <v>52</v>
      </c>
      <c r="K36" s="1">
        <f>COUNTIFS(Database!$D:$D,$B36,Database!$E:$E,"W")</f>
        <v>25</v>
      </c>
      <c r="L36" s="1">
        <f>COUNTIFS(Database!$D:$D,$B36,Database!$E:$E,"L")</f>
        <v>27</v>
      </c>
      <c r="M36" s="1">
        <f t="shared" ref="M36:M67" si="12">K36-L36</f>
        <v>-2</v>
      </c>
      <c r="N36" s="21">
        <f t="shared" ref="N36:N64" si="13">IFERROR(K36/J36,"-")</f>
        <v>0.48076923076923078</v>
      </c>
      <c r="O36" s="14">
        <f t="shared" ref="O36:O64" si="14">IFERROR(L36/J36,"-")</f>
        <v>0.51923076923076927</v>
      </c>
      <c r="Q36" s="28">
        <f>IFERROR(IF(VLOOKUP(CONCATENATE($B36,Q$2),Database!$B:$E,4,0)="L",6,5),"")</f>
        <v>6</v>
      </c>
      <c r="R36" s="23">
        <f>IFERROR(IF(VLOOKUP(CONCATENATE($B36,R$2),Database!$B:$E,4,0)="L",6,5),"")</f>
        <v>6</v>
      </c>
      <c r="S36" s="23">
        <f>IFERROR(IF(VLOOKUP(CONCATENATE($B36,S$2),Database!$B:$E,4,0)="L",6,5),"")</f>
        <v>6</v>
      </c>
      <c r="T36" s="23">
        <f>IFERROR(IF(VLOOKUP(CONCATENATE($B36,T$2),Database!$B:$E,4,0)="L",6,5),"")</f>
        <v>5</v>
      </c>
      <c r="U36" s="29">
        <f>IFERROR(IF(VLOOKUP(CONCATENATE($B36,U$2),Database!$B:$E,4,0)="L",6,5),"")</f>
        <v>5</v>
      </c>
      <c r="V36" s="55" t="s">
        <v>14</v>
      </c>
      <c r="W36" s="56"/>
      <c r="X36" s="86" t="s">
        <v>14</v>
      </c>
      <c r="Z36" s="63" t="str">
        <f t="shared" si="8"/>
        <v>Y</v>
      </c>
      <c r="AB36" s="29">
        <f>IFERROR(IF(VLOOKUP(CONCATENATE($B36,AB$2),Database!$B:$E,4,0)="L",6,5),"")</f>
        <v>5</v>
      </c>
      <c r="AC36" s="29">
        <f>IFERROR(IF(VLOOKUP(CONCATENATE($B36,AC$2),Database!$B:$E,4,0)="L",6,5),"")</f>
        <v>5</v>
      </c>
      <c r="AD36" s="29">
        <f>IFERROR(IF(VLOOKUP(CONCATENATE($B36,AD$2),Database!$B:$E,4,0)="L",6,5),"")</f>
        <v>6</v>
      </c>
      <c r="AE36" s="29">
        <f>IFERROR(IF(VLOOKUP(CONCATENATE($B36,AE$2),Database!$B:$E,4,0)="L",6,5),"")</f>
        <v>6</v>
      </c>
      <c r="AF36" s="29">
        <f>IFERROR(IF(VLOOKUP(CONCATENATE($B36,AF$2),Database!$B:$E,4,0)="L",6,5),"")</f>
        <v>6</v>
      </c>
      <c r="AG36" s="29">
        <f>IFERROR(IF(VLOOKUP(CONCATENATE($B36,AG$2),Database!$B:$E,4,0)="L",6,5),"")</f>
        <v>6</v>
      </c>
      <c r="AH36" s="29">
        <f>IFERROR(IF(VLOOKUP(CONCATENATE($B36,AH$2),Database!$B:$E,4,0)="L",6,5),"")</f>
        <v>6</v>
      </c>
      <c r="AI36" s="29">
        <f>IFERROR(IF(VLOOKUP(CONCATENATE($B36,AI$2),Database!$B:$E,4,0)="L",6,5),"")</f>
        <v>5</v>
      </c>
      <c r="AJ36" s="29">
        <f>IFERROR(IF(VLOOKUP(CONCATENATE($B36,AJ$2),Database!$B:$E,4,0)="L",6,5),"")</f>
        <v>6</v>
      </c>
      <c r="AK36" s="29">
        <f>IFERROR(IF(VLOOKUP(CONCATENATE($B36,AK$2),Database!$B:$E,4,0)="L",6,5),"")</f>
        <v>5</v>
      </c>
      <c r="AL36" s="29">
        <f>IFERROR(IF(VLOOKUP(CONCATENATE($B36,AL$2),Database!$B:$E,4,0)="L",6,5),"")</f>
        <v>5</v>
      </c>
      <c r="AM36" s="29">
        <f>IFERROR(IF(VLOOKUP(CONCATENATE($B36,AM$2),Database!$B:$E,4,0)="L",6,5),"")</f>
        <v>6</v>
      </c>
      <c r="AN36" s="29">
        <f>IFERROR(IF(VLOOKUP(CONCATENATE($B36,AN$2),Database!$B:$E,4,0)="L",6,5),"")</f>
        <v>6</v>
      </c>
      <c r="AO36" s="29">
        <f>IFERROR(IF(VLOOKUP(CONCATENATE($B36,AO$2),Database!$B:$E,4,0)="L",6,5),"")</f>
        <v>5</v>
      </c>
      <c r="AP36" s="29">
        <f>IFERROR(IF(VLOOKUP(CONCATENATE($B36,AP$2),Database!$B:$E,4,0)="L",6,5),"")</f>
        <v>5</v>
      </c>
      <c r="AQ36" s="29">
        <f>IFERROR(IF(VLOOKUP(CONCATENATE($B36,AQ$2),Database!$B:$E,4,0)="L",6,5),"")</f>
        <v>6</v>
      </c>
      <c r="AR36" s="29">
        <f>IFERROR(IF(VLOOKUP(CONCATENATE($B36,AR$2),Database!$B:$E,4,0)="L",6,5),"")</f>
        <v>5</v>
      </c>
      <c r="AS36" s="29">
        <f>IFERROR(IF(VLOOKUP(CONCATENATE($B36,AS$2),Database!$B:$E,4,0)="L",6,5),"")</f>
        <v>5</v>
      </c>
      <c r="AT36" s="29">
        <f>IFERROR(IF(VLOOKUP(CONCATENATE($B36,AT$2),Database!$B:$E,4,0)="L",6,5),"")</f>
        <v>5</v>
      </c>
      <c r="AU36" s="29">
        <f>IFERROR(IF(VLOOKUP(CONCATENATE($B36,AU$2),Database!$B:$E,4,0)="L",6,5),"")</f>
        <v>5</v>
      </c>
      <c r="AV36" s="29">
        <f>IFERROR(IF(VLOOKUP(CONCATENATE($B36,AV$2),Database!$B:$E,4,0)="L",6,5),"")</f>
        <v>6</v>
      </c>
      <c r="AW36" s="29">
        <f>IFERROR(IF(VLOOKUP(CONCATENATE($B36,AW$2),Database!$B:$E,4,0)="L",6,5),"")</f>
        <v>6</v>
      </c>
      <c r="AX36" s="29">
        <f>IFERROR(IF(VLOOKUP(CONCATENATE($B36,AX$2),Database!$B:$E,4,0)="L",6,5),"")</f>
        <v>6</v>
      </c>
      <c r="AY36" s="29">
        <f>IFERROR(IF(VLOOKUP(CONCATENATE($B36,AY$2),Database!$B:$E,4,0)="L",6,5),"")</f>
        <v>5</v>
      </c>
      <c r="AZ36" s="29">
        <f>IFERROR(IF(VLOOKUP(CONCATENATE($B36,AZ$2),Database!$B:$E,4,0)="L",6,5),"")</f>
        <v>6</v>
      </c>
      <c r="BA36" s="29">
        <f>IFERROR(IF(VLOOKUP(CONCATENATE($B36,BA$2),Database!$B:$E,4,0)="L",6,5),"")</f>
        <v>6</v>
      </c>
      <c r="BB36" s="29">
        <f>IFERROR(IF(VLOOKUP(CONCATENATE($B36,BB$2),Database!$B:$E,4,0)="L",6,5),"")</f>
        <v>5</v>
      </c>
      <c r="BC36" s="29">
        <f>IFERROR(IF(VLOOKUP(CONCATENATE($B36,BC$2),Database!$B:$E,4,0)="L",6,5),"")</f>
        <v>6</v>
      </c>
      <c r="BD36" s="29">
        <f>IFERROR(IF(VLOOKUP(CONCATENATE($B36,BD$2),Database!$B:$E,4,0)="L",6,5),"")</f>
        <v>6</v>
      </c>
      <c r="BE36" s="29">
        <f>IFERROR(IF(VLOOKUP(CONCATENATE($B36,BE$2),Database!$B:$E,4,0)="L",6,5),"")</f>
        <v>6</v>
      </c>
      <c r="BF36" s="29">
        <f>IFERROR(IF(VLOOKUP(CONCATENATE($B36,BF$2),Database!$B:$E,4,0)="L",6,5),"")</f>
        <v>6</v>
      </c>
      <c r="BG36" s="29">
        <f>IFERROR(IF(VLOOKUP(CONCATENATE($B36,BG$2),Database!$B:$E,4,0)="L",6,5),"")</f>
        <v>5</v>
      </c>
      <c r="BH36" s="29">
        <f>IFERROR(IF(VLOOKUP(CONCATENATE($B36,BH$2),Database!$B:$E,4,0)="L",6,5),"")</f>
        <v>6</v>
      </c>
      <c r="BI36" s="29">
        <f>IFERROR(IF(VLOOKUP(CONCATENATE($B36,BI$2),Database!$B:$E,4,0)="L",6,5),"")</f>
        <v>5</v>
      </c>
      <c r="BJ36" s="29">
        <f>IFERROR(IF(VLOOKUP(CONCATENATE($B36,BJ$2),Database!$B:$E,4,0)="L",6,5),"")</f>
        <v>6</v>
      </c>
      <c r="BK36" s="29">
        <f>IFERROR(IF(VLOOKUP(CONCATENATE($B36,BK$2),Database!$B:$E,4,0)="L",6,5),"")</f>
        <v>5</v>
      </c>
      <c r="BL36" s="29">
        <f>IFERROR(IF(VLOOKUP(CONCATENATE($B36,BL$2),Database!$B:$E,4,0)="L",6,5),"")</f>
        <v>5</v>
      </c>
      <c r="BM36" s="29">
        <f>IFERROR(IF(VLOOKUP(CONCATENATE($B36,BM$2),Database!$B:$E,4,0)="L",6,5),"")</f>
        <v>6</v>
      </c>
      <c r="BN36" s="29">
        <f>IFERROR(IF(VLOOKUP(CONCATENATE($B36,BN$2),Database!$B:$E,4,0)="L",6,5),"")</f>
        <v>6</v>
      </c>
      <c r="BO36" s="29">
        <f>IFERROR(IF(VLOOKUP(CONCATENATE($B36,BO$2),Database!$B:$E,4,0)="L",6,5),"")</f>
        <v>5</v>
      </c>
      <c r="BP36" s="29">
        <f>IFERROR(IF(VLOOKUP(CONCATENATE($B36,BP$2),Database!$B:$E,4,0)="L",6,5),"")</f>
        <v>5</v>
      </c>
      <c r="BQ36" s="29">
        <f>IFERROR(IF(VLOOKUP(CONCATENATE($B36,BQ$2),Database!$B:$E,4,0)="L",6,5),"")</f>
        <v>6</v>
      </c>
      <c r="BR36" s="29">
        <f>IFERROR(IF(VLOOKUP(CONCATENATE($B36,BR$2),Database!$B:$E,4,0)="L",6,5),"")</f>
        <v>6</v>
      </c>
      <c r="BS36" s="29">
        <f>IFERROR(IF(VLOOKUP(CONCATENATE($B36,BS$2),Database!$B:$E,4,0)="L",6,5),"")</f>
        <v>5</v>
      </c>
      <c r="BT36" s="29">
        <f>IFERROR(IF(VLOOKUP(CONCATENATE($B36,BT$2),Database!$B:$E,4,0)="L",6,5),"")</f>
        <v>5</v>
      </c>
      <c r="BU36" s="29">
        <f>IFERROR(IF(VLOOKUP(CONCATENATE($B36,BU$2),Database!$B:$E,4,0)="L",6,5),"")</f>
        <v>5</v>
      </c>
      <c r="BV36" s="29">
        <f>IFERROR(IF(VLOOKUP(CONCATENATE($B36,BV$2),Database!$B:$E,4,0)="L",6,5),"")</f>
        <v>6</v>
      </c>
      <c r="BW36" s="29">
        <f>IFERROR(IF(VLOOKUP(CONCATENATE($B36,BW$2),Database!$B:$E,4,0)="L",6,5),"")</f>
        <v>6</v>
      </c>
      <c r="BX36" s="29">
        <f>IFERROR(IF(VLOOKUP(CONCATENATE($B36,BX$2),Database!$B:$E,4,0)="L",6,5),"")</f>
        <v>5</v>
      </c>
      <c r="BY36" s="29">
        <f>IFERROR(IF(VLOOKUP(CONCATENATE($B36,BY$2),Database!$B:$E,4,0)="L",6,5),"")</f>
        <v>5</v>
      </c>
      <c r="BZ36" s="29">
        <f>IFERROR(IF(VLOOKUP(CONCATENATE($B36,BZ$2),Database!$B:$E,4,0)="L",6,5),"")</f>
        <v>5</v>
      </c>
    </row>
    <row r="37" spans="2:78" ht="14.3" x14ac:dyDescent="0.3">
      <c r="B37" s="19" t="s">
        <v>147</v>
      </c>
      <c r="C37" s="16">
        <f>COUNTIFS(Database!$D:$D,$B37,Database!$C:$C,"&gt;1/1/25")</f>
        <v>2</v>
      </c>
      <c r="D37" s="1">
        <f>COUNTIFS(Database!$D:$D,$B37,Database!$E:$E,"W",Database!$C:$C,"&gt;1/1/25")</f>
        <v>2</v>
      </c>
      <c r="E37" s="1">
        <f>COUNTIFS(Database!$D:$D,$B37,Database!$E:$E,"L",Database!$C:$C,"&gt;1/1/25")</f>
        <v>0</v>
      </c>
      <c r="F37" s="1">
        <f t="shared" si="9"/>
        <v>2</v>
      </c>
      <c r="G37" s="21">
        <f t="shared" si="10"/>
        <v>1</v>
      </c>
      <c r="H37" s="14">
        <f t="shared" si="11"/>
        <v>0</v>
      </c>
      <c r="J37" s="16">
        <f>COUNTIF(Database!$D:$D,$B37)</f>
        <v>11</v>
      </c>
      <c r="K37" s="1">
        <f>COUNTIFS(Database!$D:$D,$B37,Database!$E:$E,"W")</f>
        <v>5</v>
      </c>
      <c r="L37" s="1">
        <f>COUNTIFS(Database!$D:$D,$B37,Database!$E:$E,"L")</f>
        <v>6</v>
      </c>
      <c r="M37" s="1">
        <f t="shared" si="12"/>
        <v>-1</v>
      </c>
      <c r="N37" s="21">
        <f t="shared" si="13"/>
        <v>0.45454545454545453</v>
      </c>
      <c r="O37" s="14">
        <f t="shared" si="14"/>
        <v>0.54545454545454541</v>
      </c>
      <c r="Q37" s="28">
        <f>IFERROR(IF(VLOOKUP(CONCATENATE($B37,Q$2),Database!$B:$E,4,0)="L",6,5),"")</f>
        <v>6</v>
      </c>
      <c r="R37" s="23">
        <f>IFERROR(IF(VLOOKUP(CONCATENATE($B37,R$2),Database!$B:$E,4,0)="L",6,5),"")</f>
        <v>5</v>
      </c>
      <c r="S37" s="23">
        <f>IFERROR(IF(VLOOKUP(CONCATENATE($B37,S$2),Database!$B:$E,4,0)="L",6,5),"")</f>
        <v>6</v>
      </c>
      <c r="T37" s="23">
        <f>IFERROR(IF(VLOOKUP(CONCATENATE($B37,T$2),Database!$B:$E,4,0)="L",6,5),"")</f>
        <v>5</v>
      </c>
      <c r="U37" s="29">
        <f>IFERROR(IF(VLOOKUP(CONCATENATE($B37,U$2),Database!$B:$E,4,0)="L",6,5),"")</f>
        <v>5</v>
      </c>
      <c r="V37" s="55" t="s">
        <v>14</v>
      </c>
      <c r="W37" s="58"/>
      <c r="X37" s="130"/>
      <c r="Z37" s="63" t="str">
        <f t="shared" si="8"/>
        <v>Y</v>
      </c>
      <c r="AB37" s="29">
        <f>IFERROR(IF(VLOOKUP(CONCATENATE($B37,AB$2),Database!$B:$E,4,0)="L",6,5),"")</f>
        <v>5</v>
      </c>
      <c r="AC37" s="29">
        <f>IFERROR(IF(VLOOKUP(CONCATENATE($B37,AC$2),Database!$B:$E,4,0)="L",6,5),"")</f>
        <v>5</v>
      </c>
      <c r="AD37" s="29">
        <f>IFERROR(IF(VLOOKUP(CONCATENATE($B37,AD$2),Database!$B:$E,4,0)="L",6,5),"")</f>
        <v>6</v>
      </c>
      <c r="AE37" s="29">
        <f>IFERROR(IF(VLOOKUP(CONCATENATE($B37,AE$2),Database!$B:$E,4,0)="L",6,5),"")</f>
        <v>5</v>
      </c>
      <c r="AF37" s="29">
        <f>IFERROR(IF(VLOOKUP(CONCATENATE($B37,AF$2),Database!$B:$E,4,0)="L",6,5),"")</f>
        <v>6</v>
      </c>
      <c r="AG37" s="29">
        <f>IFERROR(IF(VLOOKUP(CONCATENATE($B37,AG$2),Database!$B:$E,4,0)="L",6,5),"")</f>
        <v>6</v>
      </c>
      <c r="AH37" s="29">
        <f>IFERROR(IF(VLOOKUP(CONCATENATE($B37,AH$2),Database!$B:$E,4,0)="L",6,5),"")</f>
        <v>6</v>
      </c>
      <c r="AI37" s="29">
        <f>IFERROR(IF(VLOOKUP(CONCATENATE($B37,AI$2),Database!$B:$E,4,0)="L",6,5),"")</f>
        <v>6</v>
      </c>
      <c r="AJ37" s="29">
        <f>IFERROR(IF(VLOOKUP(CONCATENATE($B37,AJ$2),Database!$B:$E,4,0)="L",6,5),"")</f>
        <v>6</v>
      </c>
      <c r="AK37" s="29">
        <f>IFERROR(IF(VLOOKUP(CONCATENATE($B37,AK$2),Database!$B:$E,4,0)="L",6,5),"")</f>
        <v>5</v>
      </c>
      <c r="AL37" s="29">
        <f>IFERROR(IF(VLOOKUP(CONCATENATE($B37,AL$2),Database!$B:$E,4,0)="L",6,5),"")</f>
        <v>5</v>
      </c>
      <c r="AM37" s="29" t="str">
        <f>IFERROR(IF(VLOOKUP(CONCATENATE($B37,AM$2),Database!$B:$E,4,0)="L",6,5),"")</f>
        <v/>
      </c>
      <c r="AN37" s="29" t="str">
        <f>IFERROR(IF(VLOOKUP(CONCATENATE($B37,AN$2),Database!$B:$E,4,0)="L",6,5),"")</f>
        <v/>
      </c>
      <c r="AO37" s="29" t="str">
        <f>IFERROR(IF(VLOOKUP(CONCATENATE($B37,AO$2),Database!$B:$E,4,0)="L",6,5),"")</f>
        <v/>
      </c>
      <c r="AP37" s="29" t="str">
        <f>IFERROR(IF(VLOOKUP(CONCATENATE($B37,AP$2),Database!$B:$E,4,0)="L",6,5),"")</f>
        <v/>
      </c>
      <c r="AQ37" s="29" t="str">
        <f>IFERROR(IF(VLOOKUP(CONCATENATE($B37,AQ$2),Database!$B:$E,4,0)="L",6,5),"")</f>
        <v/>
      </c>
      <c r="AR37" s="29" t="str">
        <f>IFERROR(IF(VLOOKUP(CONCATENATE($B37,AR$2),Database!$B:$E,4,0)="L",6,5),"")</f>
        <v/>
      </c>
      <c r="AS37" s="29" t="str">
        <f>IFERROR(IF(VLOOKUP(CONCATENATE($B37,AS$2),Database!$B:$E,4,0)="L",6,5),"")</f>
        <v/>
      </c>
      <c r="AT37" s="29" t="str">
        <f>IFERROR(IF(VLOOKUP(CONCATENATE($B37,AT$2),Database!$B:$E,4,0)="L",6,5),"")</f>
        <v/>
      </c>
      <c r="AU37" s="29" t="str">
        <f>IFERROR(IF(VLOOKUP(CONCATENATE($B37,AU$2),Database!$B:$E,4,0)="L",6,5),"")</f>
        <v/>
      </c>
      <c r="AV37" s="29" t="str">
        <f>IFERROR(IF(VLOOKUP(CONCATENATE($B37,AV$2),Database!$B:$E,4,0)="L",6,5),"")</f>
        <v/>
      </c>
      <c r="AW37" s="29" t="str">
        <f>IFERROR(IF(VLOOKUP(CONCATENATE($B37,AW$2),Database!$B:$E,4,0)="L",6,5),"")</f>
        <v/>
      </c>
      <c r="AX37" s="29" t="str">
        <f>IFERROR(IF(VLOOKUP(CONCATENATE($B37,AX$2),Database!$B:$E,4,0)="L",6,5),"")</f>
        <v/>
      </c>
      <c r="AY37" s="29" t="str">
        <f>IFERROR(IF(VLOOKUP(CONCATENATE($B37,AY$2),Database!$B:$E,4,0)="L",6,5),"")</f>
        <v/>
      </c>
      <c r="AZ37" s="29" t="str">
        <f>IFERROR(IF(VLOOKUP(CONCATENATE($B37,AZ$2),Database!$B:$E,4,0)="L",6,5),"")</f>
        <v/>
      </c>
      <c r="BA37" s="29" t="str">
        <f>IFERROR(IF(VLOOKUP(CONCATENATE($B37,BA$2),Database!$B:$E,4,0)="L",6,5),"")</f>
        <v/>
      </c>
      <c r="BB37" s="29" t="str">
        <f>IFERROR(IF(VLOOKUP(CONCATENATE($B37,BB$2),Database!$B:$E,4,0)="L",6,5),"")</f>
        <v/>
      </c>
      <c r="BC37" s="29" t="str">
        <f>IFERROR(IF(VLOOKUP(CONCATENATE($B37,BC$2),Database!$B:$E,4,0)="L",6,5),"")</f>
        <v/>
      </c>
      <c r="BD37" s="29" t="str">
        <f>IFERROR(IF(VLOOKUP(CONCATENATE($B37,BD$2),Database!$B:$E,4,0)="L",6,5),"")</f>
        <v/>
      </c>
      <c r="BE37" s="29" t="str">
        <f>IFERROR(IF(VLOOKUP(CONCATENATE($B37,BE$2),Database!$B:$E,4,0)="L",6,5),"")</f>
        <v/>
      </c>
      <c r="BF37" s="29" t="str">
        <f>IFERROR(IF(VLOOKUP(CONCATENATE($B37,BF$2),Database!$B:$E,4,0)="L",6,5),"")</f>
        <v/>
      </c>
      <c r="BG37" s="29" t="str">
        <f>IFERROR(IF(VLOOKUP(CONCATENATE($B37,BG$2),Database!$B:$E,4,0)="L",6,5),"")</f>
        <v/>
      </c>
      <c r="BH37" s="29" t="str">
        <f>IFERROR(IF(VLOOKUP(CONCATENATE($B37,BH$2),Database!$B:$E,4,0)="L",6,5),"")</f>
        <v/>
      </c>
      <c r="BI37" s="29" t="str">
        <f>IFERROR(IF(VLOOKUP(CONCATENATE($B37,BI$2),Database!$B:$E,4,0)="L",6,5),"")</f>
        <v/>
      </c>
      <c r="BJ37" s="29" t="str">
        <f>IFERROR(IF(VLOOKUP(CONCATENATE($B37,BJ$2),Database!$B:$E,4,0)="L",6,5),"")</f>
        <v/>
      </c>
      <c r="BK37" s="29" t="str">
        <f>IFERROR(IF(VLOOKUP(CONCATENATE($B37,BK$2),Database!$B:$E,4,0)="L",6,5),"")</f>
        <v/>
      </c>
      <c r="BL37" s="29" t="str">
        <f>IFERROR(IF(VLOOKUP(CONCATENATE($B37,BL$2),Database!$B:$E,4,0)="L",6,5),"")</f>
        <v/>
      </c>
      <c r="BM37" s="29" t="str">
        <f>IFERROR(IF(VLOOKUP(CONCATENATE($B37,BM$2),Database!$B:$E,4,0)="L",6,5),"")</f>
        <v/>
      </c>
      <c r="BN37" s="29" t="str">
        <f>IFERROR(IF(VLOOKUP(CONCATENATE($B37,BN$2),Database!$B:$E,4,0)="L",6,5),"")</f>
        <v/>
      </c>
      <c r="BO37" s="29" t="str">
        <f>IFERROR(IF(VLOOKUP(CONCATENATE($B37,BO$2),Database!$B:$E,4,0)="L",6,5),"")</f>
        <v/>
      </c>
      <c r="BP37" s="29" t="str">
        <f>IFERROR(IF(VLOOKUP(CONCATENATE($B37,BP$2),Database!$B:$E,4,0)="L",6,5),"")</f>
        <v/>
      </c>
      <c r="BQ37" s="29" t="str">
        <f>IFERROR(IF(VLOOKUP(CONCATENATE($B37,BQ$2),Database!$B:$E,4,0)="L",6,5),"")</f>
        <v/>
      </c>
      <c r="BR37" s="29" t="str">
        <f>IFERROR(IF(VLOOKUP(CONCATENATE($B37,BR$2),Database!$B:$E,4,0)="L",6,5),"")</f>
        <v/>
      </c>
      <c r="BS37" s="29" t="str">
        <f>IFERROR(IF(VLOOKUP(CONCATENATE($B37,BS$2),Database!$B:$E,4,0)="L",6,5),"")</f>
        <v/>
      </c>
      <c r="BT37" s="29" t="str">
        <f>IFERROR(IF(VLOOKUP(CONCATENATE($B37,BT$2),Database!$B:$E,4,0)="L",6,5),"")</f>
        <v/>
      </c>
      <c r="BU37" s="29" t="str">
        <f>IFERROR(IF(VLOOKUP(CONCATENATE($B37,BU$2),Database!$B:$E,4,0)="L",6,5),"")</f>
        <v/>
      </c>
      <c r="BV37" s="29" t="str">
        <f>IFERROR(IF(VLOOKUP(CONCATENATE($B37,BV$2),Database!$B:$E,4,0)="L",6,5),"")</f>
        <v/>
      </c>
      <c r="BW37" s="29" t="str">
        <f>IFERROR(IF(VLOOKUP(CONCATENATE($B37,BW$2),Database!$B:$E,4,0)="L",6,5),"")</f>
        <v/>
      </c>
      <c r="BX37" s="29" t="str">
        <f>IFERROR(IF(VLOOKUP(CONCATENATE($B37,BX$2),Database!$B:$E,4,0)="L",6,5),"")</f>
        <v/>
      </c>
      <c r="BY37" s="29" t="str">
        <f>IFERROR(IF(VLOOKUP(CONCATENATE($B37,BY$2),Database!$B:$E,4,0)="L",6,5),"")</f>
        <v/>
      </c>
      <c r="BZ37" s="29" t="str">
        <f>IFERROR(IF(VLOOKUP(CONCATENATE($B37,BZ$2),Database!$B:$E,4,0)="L",6,5),"")</f>
        <v/>
      </c>
    </row>
    <row r="38" spans="2:78" ht="14.3" x14ac:dyDescent="0.3">
      <c r="B38" s="19" t="s">
        <v>37</v>
      </c>
      <c r="C38" s="16">
        <f>COUNTIFS(Database!$D:$D,$B38,Database!$C:$C,"&gt;1/1/25")</f>
        <v>1</v>
      </c>
      <c r="D38" s="1">
        <f>COUNTIFS(Database!$D:$D,$B38,Database!$E:$E,"W",Database!$C:$C,"&gt;1/1/25")</f>
        <v>1</v>
      </c>
      <c r="E38" s="1">
        <f>COUNTIFS(Database!$D:$D,$B38,Database!$E:$E,"L",Database!$C:$C,"&gt;1/1/25")</f>
        <v>0</v>
      </c>
      <c r="F38" s="1">
        <f t="shared" si="9"/>
        <v>1</v>
      </c>
      <c r="G38" s="21">
        <f t="shared" si="10"/>
        <v>1</v>
      </c>
      <c r="H38" s="14">
        <f t="shared" si="11"/>
        <v>0</v>
      </c>
      <c r="J38" s="16">
        <f>COUNTIF(Database!$D:$D,$B38)</f>
        <v>25</v>
      </c>
      <c r="K38" s="1">
        <f>COUNTIFS(Database!$D:$D,$B38,Database!$E:$E,"W")</f>
        <v>15</v>
      </c>
      <c r="L38" s="1">
        <f>COUNTIFS(Database!$D:$D,$B38,Database!$E:$E,"L")</f>
        <v>10</v>
      </c>
      <c r="M38" s="1">
        <f t="shared" si="12"/>
        <v>5</v>
      </c>
      <c r="N38" s="21">
        <f t="shared" si="13"/>
        <v>0.6</v>
      </c>
      <c r="O38" s="14">
        <f t="shared" si="14"/>
        <v>0.4</v>
      </c>
      <c r="Q38" s="28">
        <f>IFERROR(IF(VLOOKUP(CONCATENATE($B38,Q$2),Database!$B:$E,4,0)="L",6,5),"")</f>
        <v>5</v>
      </c>
      <c r="R38" s="23">
        <f>IFERROR(IF(VLOOKUP(CONCATENATE($B38,R$2),Database!$B:$E,4,0)="L",6,5),"")</f>
        <v>5</v>
      </c>
      <c r="S38" s="23">
        <f>IFERROR(IF(VLOOKUP(CONCATENATE($B38,S$2),Database!$B:$E,4,0)="L",6,5),"")</f>
        <v>6</v>
      </c>
      <c r="T38" s="23">
        <f>IFERROR(IF(VLOOKUP(CONCATENATE($B38,T$2),Database!$B:$E,4,0)="L",6,5),"")</f>
        <v>5</v>
      </c>
      <c r="U38" s="29">
        <f>IFERROR(IF(VLOOKUP(CONCATENATE($B38,U$2),Database!$B:$E,4,0)="L",6,5),"")</f>
        <v>5</v>
      </c>
      <c r="V38" s="55"/>
      <c r="W38" s="58"/>
      <c r="X38" s="86" t="s">
        <v>14</v>
      </c>
      <c r="Z38" s="63" t="str">
        <f t="shared" si="8"/>
        <v>Y</v>
      </c>
      <c r="AB38" s="29">
        <f>IFERROR(IF(VLOOKUP(CONCATENATE($B38,AB$2),Database!$B:$E,4,0)="L",6,5),"")</f>
        <v>5</v>
      </c>
      <c r="AC38" s="29">
        <f>IFERROR(IF(VLOOKUP(CONCATENATE($B38,AC$2),Database!$B:$E,4,0)="L",6,5),"")</f>
        <v>5</v>
      </c>
      <c r="AD38" s="29">
        <f>IFERROR(IF(VLOOKUP(CONCATENATE($B38,AD$2),Database!$B:$E,4,0)="L",6,5),"")</f>
        <v>6</v>
      </c>
      <c r="AE38" s="29">
        <f>IFERROR(IF(VLOOKUP(CONCATENATE($B38,AE$2),Database!$B:$E,4,0)="L",6,5),"")</f>
        <v>5</v>
      </c>
      <c r="AF38" s="29">
        <f>IFERROR(IF(VLOOKUP(CONCATENATE($B38,AF$2),Database!$B:$E,4,0)="L",6,5),"")</f>
        <v>5</v>
      </c>
      <c r="AG38" s="29">
        <f>IFERROR(IF(VLOOKUP(CONCATENATE($B38,AG$2),Database!$B:$E,4,0)="L",6,5),"")</f>
        <v>6</v>
      </c>
      <c r="AH38" s="29">
        <f>IFERROR(IF(VLOOKUP(CONCATENATE($B38,AH$2),Database!$B:$E,4,0)="L",6,5),"")</f>
        <v>6</v>
      </c>
      <c r="AI38" s="29">
        <f>IFERROR(IF(VLOOKUP(CONCATENATE($B38,AI$2),Database!$B:$E,4,0)="L",6,5),"")</f>
        <v>5</v>
      </c>
      <c r="AJ38" s="29">
        <f>IFERROR(IF(VLOOKUP(CONCATENATE($B38,AJ$2),Database!$B:$E,4,0)="L",6,5),"")</f>
        <v>5</v>
      </c>
      <c r="AK38" s="29">
        <f>IFERROR(IF(VLOOKUP(CONCATENATE($B38,AK$2),Database!$B:$E,4,0)="L",6,5),"")</f>
        <v>5</v>
      </c>
      <c r="AL38" s="29">
        <f>IFERROR(IF(VLOOKUP(CONCATENATE($B38,AL$2),Database!$B:$E,4,0)="L",6,5),"")</f>
        <v>6</v>
      </c>
      <c r="AM38" s="29">
        <f>IFERROR(IF(VLOOKUP(CONCATENATE($B38,AM$2),Database!$B:$E,4,0)="L",6,5),"")</f>
        <v>6</v>
      </c>
      <c r="AN38" s="29">
        <f>IFERROR(IF(VLOOKUP(CONCATENATE($B38,AN$2),Database!$B:$E,4,0)="L",6,5),"")</f>
        <v>5</v>
      </c>
      <c r="AO38" s="29">
        <f>IFERROR(IF(VLOOKUP(CONCATENATE($B38,AO$2),Database!$B:$E,4,0)="L",6,5),"")</f>
        <v>6</v>
      </c>
      <c r="AP38" s="29">
        <f>IFERROR(IF(VLOOKUP(CONCATENATE($B38,AP$2),Database!$B:$E,4,0)="L",6,5),"")</f>
        <v>6</v>
      </c>
      <c r="AQ38" s="29">
        <f>IFERROR(IF(VLOOKUP(CONCATENATE($B38,AQ$2),Database!$B:$E,4,0)="L",6,5),"")</f>
        <v>6</v>
      </c>
      <c r="AR38" s="29">
        <f>IFERROR(IF(VLOOKUP(CONCATENATE($B38,AR$2),Database!$B:$E,4,0)="L",6,5),"")</f>
        <v>5</v>
      </c>
      <c r="AS38" s="29">
        <f>IFERROR(IF(VLOOKUP(CONCATENATE($B38,AS$2),Database!$B:$E,4,0)="L",6,5),"")</f>
        <v>5</v>
      </c>
      <c r="AT38" s="29">
        <f>IFERROR(IF(VLOOKUP(CONCATENATE($B38,AT$2),Database!$B:$E,4,0)="L",6,5),"")</f>
        <v>6</v>
      </c>
      <c r="AU38" s="29">
        <f>IFERROR(IF(VLOOKUP(CONCATENATE($B38,AU$2),Database!$B:$E,4,0)="L",6,5),"")</f>
        <v>5</v>
      </c>
      <c r="AV38" s="29">
        <f>IFERROR(IF(VLOOKUP(CONCATENATE($B38,AV$2),Database!$B:$E,4,0)="L",6,5),"")</f>
        <v>6</v>
      </c>
      <c r="AW38" s="29">
        <f>IFERROR(IF(VLOOKUP(CONCATENATE($B38,AW$2),Database!$B:$E,4,0)="L",6,5),"")</f>
        <v>5</v>
      </c>
      <c r="AX38" s="29">
        <f>IFERROR(IF(VLOOKUP(CONCATENATE($B38,AX$2),Database!$B:$E,4,0)="L",6,5),"")</f>
        <v>5</v>
      </c>
      <c r="AY38" s="29">
        <f>IFERROR(IF(VLOOKUP(CONCATENATE($B38,AY$2),Database!$B:$E,4,0)="L",6,5),"")</f>
        <v>5</v>
      </c>
      <c r="AZ38" s="29">
        <f>IFERROR(IF(VLOOKUP(CONCATENATE($B38,AZ$2),Database!$B:$E,4,0)="L",6,5),"")</f>
        <v>5</v>
      </c>
      <c r="BA38" s="29" t="str">
        <f>IFERROR(IF(VLOOKUP(CONCATENATE($B38,BA$2),Database!$B:$E,4,0)="L",6,5),"")</f>
        <v/>
      </c>
      <c r="BB38" s="29" t="str">
        <f>IFERROR(IF(VLOOKUP(CONCATENATE($B38,BB$2),Database!$B:$E,4,0)="L",6,5),"")</f>
        <v/>
      </c>
      <c r="BC38" s="29" t="str">
        <f>IFERROR(IF(VLOOKUP(CONCATENATE($B38,BC$2),Database!$B:$E,4,0)="L",6,5),"")</f>
        <v/>
      </c>
      <c r="BD38" s="29" t="str">
        <f>IFERROR(IF(VLOOKUP(CONCATENATE($B38,BD$2),Database!$B:$E,4,0)="L",6,5),"")</f>
        <v/>
      </c>
      <c r="BE38" s="29" t="str">
        <f>IFERROR(IF(VLOOKUP(CONCATENATE($B38,BE$2),Database!$B:$E,4,0)="L",6,5),"")</f>
        <v/>
      </c>
      <c r="BF38" s="29" t="str">
        <f>IFERROR(IF(VLOOKUP(CONCATENATE($B38,BF$2),Database!$B:$E,4,0)="L",6,5),"")</f>
        <v/>
      </c>
      <c r="BG38" s="29" t="str">
        <f>IFERROR(IF(VLOOKUP(CONCATENATE($B38,BG$2),Database!$B:$E,4,0)="L",6,5),"")</f>
        <v/>
      </c>
      <c r="BH38" s="29" t="str">
        <f>IFERROR(IF(VLOOKUP(CONCATENATE($B38,BH$2),Database!$B:$E,4,0)="L",6,5),"")</f>
        <v/>
      </c>
      <c r="BI38" s="29" t="str">
        <f>IFERROR(IF(VLOOKUP(CONCATENATE($B38,BI$2),Database!$B:$E,4,0)="L",6,5),"")</f>
        <v/>
      </c>
      <c r="BJ38" s="29" t="str">
        <f>IFERROR(IF(VLOOKUP(CONCATENATE($B38,BJ$2),Database!$B:$E,4,0)="L",6,5),"")</f>
        <v/>
      </c>
      <c r="BK38" s="29" t="str">
        <f>IFERROR(IF(VLOOKUP(CONCATENATE($B38,BK$2),Database!$B:$E,4,0)="L",6,5),"")</f>
        <v/>
      </c>
      <c r="BL38" s="29" t="str">
        <f>IFERROR(IF(VLOOKUP(CONCATENATE($B38,BL$2),Database!$B:$E,4,0)="L",6,5),"")</f>
        <v/>
      </c>
      <c r="BM38" s="29" t="str">
        <f>IFERROR(IF(VLOOKUP(CONCATENATE($B38,BM$2),Database!$B:$E,4,0)="L",6,5),"")</f>
        <v/>
      </c>
      <c r="BN38" s="29" t="str">
        <f>IFERROR(IF(VLOOKUP(CONCATENATE($B38,BN$2),Database!$B:$E,4,0)="L",6,5),"")</f>
        <v/>
      </c>
      <c r="BO38" s="29" t="str">
        <f>IFERROR(IF(VLOOKUP(CONCATENATE($B38,BO$2),Database!$B:$E,4,0)="L",6,5),"")</f>
        <v/>
      </c>
      <c r="BP38" s="29" t="str">
        <f>IFERROR(IF(VLOOKUP(CONCATENATE($B38,BP$2),Database!$B:$E,4,0)="L",6,5),"")</f>
        <v/>
      </c>
      <c r="BQ38" s="29" t="str">
        <f>IFERROR(IF(VLOOKUP(CONCATENATE($B38,BQ$2),Database!$B:$E,4,0)="L",6,5),"")</f>
        <v/>
      </c>
      <c r="BR38" s="29" t="str">
        <f>IFERROR(IF(VLOOKUP(CONCATENATE($B38,BR$2),Database!$B:$E,4,0)="L",6,5),"")</f>
        <v/>
      </c>
      <c r="BS38" s="29" t="str">
        <f>IFERROR(IF(VLOOKUP(CONCATENATE($B38,BS$2),Database!$B:$E,4,0)="L",6,5),"")</f>
        <v/>
      </c>
      <c r="BT38" s="29" t="str">
        <f>IFERROR(IF(VLOOKUP(CONCATENATE($B38,BT$2),Database!$B:$E,4,0)="L",6,5),"")</f>
        <v/>
      </c>
      <c r="BU38" s="29" t="str">
        <f>IFERROR(IF(VLOOKUP(CONCATENATE($B38,BU$2),Database!$B:$E,4,0)="L",6,5),"")</f>
        <v/>
      </c>
      <c r="BV38" s="29" t="str">
        <f>IFERROR(IF(VLOOKUP(CONCATENATE($B38,BV$2),Database!$B:$E,4,0)="L",6,5),"")</f>
        <v/>
      </c>
      <c r="BW38" s="29" t="str">
        <f>IFERROR(IF(VLOOKUP(CONCATENATE($B38,BW$2),Database!$B:$E,4,0)="L",6,5),"")</f>
        <v/>
      </c>
      <c r="BX38" s="29" t="str">
        <f>IFERROR(IF(VLOOKUP(CONCATENATE($B38,BX$2),Database!$B:$E,4,0)="L",6,5),"")</f>
        <v/>
      </c>
      <c r="BY38" s="29" t="str">
        <f>IFERROR(IF(VLOOKUP(CONCATENATE($B38,BY$2),Database!$B:$E,4,0)="L",6,5),"")</f>
        <v/>
      </c>
      <c r="BZ38" s="29" t="str">
        <f>IFERROR(IF(VLOOKUP(CONCATENATE($B38,BZ$2),Database!$B:$E,4,0)="L",6,5),"")</f>
        <v/>
      </c>
    </row>
    <row r="39" spans="2:78" ht="14.3" x14ac:dyDescent="0.3">
      <c r="B39" s="19" t="s">
        <v>60</v>
      </c>
      <c r="C39" s="16">
        <f>COUNTIFS(Database!$D:$D,$B39,Database!$C:$C,"&gt;1/1/25")</f>
        <v>1</v>
      </c>
      <c r="D39" s="1">
        <f>COUNTIFS(Database!$D:$D,$B39,Database!$E:$E,"W",Database!$C:$C,"&gt;1/1/25")</f>
        <v>1</v>
      </c>
      <c r="E39" s="1">
        <f>COUNTIFS(Database!$D:$D,$B39,Database!$E:$E,"L",Database!$C:$C,"&gt;1/1/25")</f>
        <v>0</v>
      </c>
      <c r="F39" s="1">
        <f t="shared" si="9"/>
        <v>1</v>
      </c>
      <c r="G39" s="21">
        <f t="shared" si="10"/>
        <v>1</v>
      </c>
      <c r="H39" s="14">
        <f t="shared" si="11"/>
        <v>0</v>
      </c>
      <c r="J39" s="16">
        <f>COUNTIF(Database!$D:$D,$B39)</f>
        <v>10</v>
      </c>
      <c r="K39" s="1">
        <f>COUNTIFS(Database!$D:$D,$B39,Database!$E:$E,"W")</f>
        <v>3</v>
      </c>
      <c r="L39" s="1">
        <f>COUNTIFS(Database!$D:$D,$B39,Database!$E:$E,"L")</f>
        <v>7</v>
      </c>
      <c r="M39" s="1">
        <f t="shared" si="12"/>
        <v>-4</v>
      </c>
      <c r="N39" s="21">
        <f t="shared" si="13"/>
        <v>0.3</v>
      </c>
      <c r="O39" s="14">
        <f t="shared" si="14"/>
        <v>0.7</v>
      </c>
      <c r="Q39" s="28">
        <f>IFERROR(IF(VLOOKUP(CONCATENATE($B39,Q$2),Database!$B:$E,4,0)="L",6,5),"")</f>
        <v>6</v>
      </c>
      <c r="R39" s="23">
        <f>IFERROR(IF(VLOOKUP(CONCATENATE($B39,R$2),Database!$B:$E,4,0)="L",6,5),"")</f>
        <v>6</v>
      </c>
      <c r="S39" s="23">
        <f>IFERROR(IF(VLOOKUP(CONCATENATE($B39,S$2),Database!$B:$E,4,0)="L",6,5),"")</f>
        <v>6</v>
      </c>
      <c r="T39" s="23">
        <f>IFERROR(IF(VLOOKUP(CONCATENATE($B39,T$2),Database!$B:$E,4,0)="L",6,5),"")</f>
        <v>6</v>
      </c>
      <c r="U39" s="29">
        <f>IFERROR(IF(VLOOKUP(CONCATENATE($B39,U$2),Database!$B:$E,4,0)="L",6,5),"")</f>
        <v>5</v>
      </c>
      <c r="V39" s="55" t="s">
        <v>14</v>
      </c>
      <c r="W39" s="57"/>
      <c r="X39" s="63"/>
      <c r="Z39" s="63" t="str">
        <f t="shared" si="8"/>
        <v>Y</v>
      </c>
      <c r="AB39" s="29">
        <f>IFERROR(IF(VLOOKUP(CONCATENATE($B39,AB$2),Database!$B:$E,4,0)="L",6,5),"")</f>
        <v>5</v>
      </c>
      <c r="AC39" s="29">
        <f>IFERROR(IF(VLOOKUP(CONCATENATE($B39,AC$2),Database!$B:$E,4,0)="L",6,5),"")</f>
        <v>6</v>
      </c>
      <c r="AD39" s="29">
        <f>IFERROR(IF(VLOOKUP(CONCATENATE($B39,AD$2),Database!$B:$E,4,0)="L",6,5),"")</f>
        <v>6</v>
      </c>
      <c r="AE39" s="29">
        <f>IFERROR(IF(VLOOKUP(CONCATENATE($B39,AE$2),Database!$B:$E,4,0)="L",6,5),"")</f>
        <v>6</v>
      </c>
      <c r="AF39" s="29">
        <f>IFERROR(IF(VLOOKUP(CONCATENATE($B39,AF$2),Database!$B:$E,4,0)="L",6,5),"")</f>
        <v>6</v>
      </c>
      <c r="AG39" s="29">
        <f>IFERROR(IF(VLOOKUP(CONCATENATE($B39,AG$2),Database!$B:$E,4,0)="L",6,5),"")</f>
        <v>6</v>
      </c>
      <c r="AH39" s="29">
        <f>IFERROR(IF(VLOOKUP(CONCATENATE($B39,AH$2),Database!$B:$E,4,0)="L",6,5),"")</f>
        <v>6</v>
      </c>
      <c r="AI39" s="29">
        <f>IFERROR(IF(VLOOKUP(CONCATENATE($B39,AI$2),Database!$B:$E,4,0)="L",6,5),"")</f>
        <v>6</v>
      </c>
      <c r="AJ39" s="29">
        <f>IFERROR(IF(VLOOKUP(CONCATENATE($B39,AJ$2),Database!$B:$E,4,0)="L",6,5),"")</f>
        <v>5</v>
      </c>
      <c r="AK39" s="29">
        <f>IFERROR(IF(VLOOKUP(CONCATENATE($B39,AK$2),Database!$B:$E,4,0)="L",6,5),"")</f>
        <v>5</v>
      </c>
      <c r="AL39" s="29" t="str">
        <f>IFERROR(IF(VLOOKUP(CONCATENATE($B39,AL$2),Database!$B:$E,4,0)="L",6,5),"")</f>
        <v/>
      </c>
      <c r="AM39" s="29" t="str">
        <f>IFERROR(IF(VLOOKUP(CONCATENATE($B39,AM$2),Database!$B:$E,4,0)="L",6,5),"")</f>
        <v/>
      </c>
      <c r="AN39" s="29" t="str">
        <f>IFERROR(IF(VLOOKUP(CONCATENATE($B39,AN$2),Database!$B:$E,4,0)="L",6,5),"")</f>
        <v/>
      </c>
      <c r="AO39" s="29" t="str">
        <f>IFERROR(IF(VLOOKUP(CONCATENATE($B39,AO$2),Database!$B:$E,4,0)="L",6,5),"")</f>
        <v/>
      </c>
      <c r="AP39" s="29" t="str">
        <f>IFERROR(IF(VLOOKUP(CONCATENATE($B39,AP$2),Database!$B:$E,4,0)="L",6,5),"")</f>
        <v/>
      </c>
      <c r="AQ39" s="29" t="str">
        <f>IFERROR(IF(VLOOKUP(CONCATENATE($B39,AQ$2),Database!$B:$E,4,0)="L",6,5),"")</f>
        <v/>
      </c>
      <c r="AR39" s="29" t="str">
        <f>IFERROR(IF(VLOOKUP(CONCATENATE($B39,AR$2),Database!$B:$E,4,0)="L",6,5),"")</f>
        <v/>
      </c>
      <c r="AS39" s="29" t="str">
        <f>IFERROR(IF(VLOOKUP(CONCATENATE($B39,AS$2),Database!$B:$E,4,0)="L",6,5),"")</f>
        <v/>
      </c>
      <c r="AT39" s="29" t="str">
        <f>IFERROR(IF(VLOOKUP(CONCATENATE($B39,AT$2),Database!$B:$E,4,0)="L",6,5),"")</f>
        <v/>
      </c>
      <c r="AU39" s="29" t="str">
        <f>IFERROR(IF(VLOOKUP(CONCATENATE($B39,AU$2),Database!$B:$E,4,0)="L",6,5),"")</f>
        <v/>
      </c>
      <c r="AV39" s="29" t="str">
        <f>IFERROR(IF(VLOOKUP(CONCATENATE($B39,AV$2),Database!$B:$E,4,0)="L",6,5),"")</f>
        <v/>
      </c>
      <c r="AW39" s="29" t="str">
        <f>IFERROR(IF(VLOOKUP(CONCATENATE($B39,AW$2),Database!$B:$E,4,0)="L",6,5),"")</f>
        <v/>
      </c>
      <c r="AX39" s="29" t="str">
        <f>IFERROR(IF(VLOOKUP(CONCATENATE($B39,AX$2),Database!$B:$E,4,0)="L",6,5),"")</f>
        <v/>
      </c>
      <c r="AY39" s="29" t="str">
        <f>IFERROR(IF(VLOOKUP(CONCATENATE($B39,AY$2),Database!$B:$E,4,0)="L",6,5),"")</f>
        <v/>
      </c>
      <c r="AZ39" s="29" t="str">
        <f>IFERROR(IF(VLOOKUP(CONCATENATE($B39,AZ$2),Database!$B:$E,4,0)="L",6,5),"")</f>
        <v/>
      </c>
      <c r="BA39" s="29" t="str">
        <f>IFERROR(IF(VLOOKUP(CONCATENATE($B39,BA$2),Database!$B:$E,4,0)="L",6,5),"")</f>
        <v/>
      </c>
      <c r="BB39" s="29" t="str">
        <f>IFERROR(IF(VLOOKUP(CONCATENATE($B39,BB$2),Database!$B:$E,4,0)="L",6,5),"")</f>
        <v/>
      </c>
      <c r="BC39" s="29" t="str">
        <f>IFERROR(IF(VLOOKUP(CONCATENATE($B39,BC$2),Database!$B:$E,4,0)="L",6,5),"")</f>
        <v/>
      </c>
      <c r="BD39" s="29" t="str">
        <f>IFERROR(IF(VLOOKUP(CONCATENATE($B39,BD$2),Database!$B:$E,4,0)="L",6,5),"")</f>
        <v/>
      </c>
      <c r="BE39" s="29" t="str">
        <f>IFERROR(IF(VLOOKUP(CONCATENATE($B39,BE$2),Database!$B:$E,4,0)="L",6,5),"")</f>
        <v/>
      </c>
      <c r="BF39" s="29" t="str">
        <f>IFERROR(IF(VLOOKUP(CONCATENATE($B39,BF$2),Database!$B:$E,4,0)="L",6,5),"")</f>
        <v/>
      </c>
      <c r="BG39" s="29" t="str">
        <f>IFERROR(IF(VLOOKUP(CONCATENATE($B39,BG$2),Database!$B:$E,4,0)="L",6,5),"")</f>
        <v/>
      </c>
      <c r="BH39" s="29" t="str">
        <f>IFERROR(IF(VLOOKUP(CONCATENATE($B39,BH$2),Database!$B:$E,4,0)="L",6,5),"")</f>
        <v/>
      </c>
      <c r="BI39" s="29" t="str">
        <f>IFERROR(IF(VLOOKUP(CONCATENATE($B39,BI$2),Database!$B:$E,4,0)="L",6,5),"")</f>
        <v/>
      </c>
      <c r="BJ39" s="29" t="str">
        <f>IFERROR(IF(VLOOKUP(CONCATENATE($B39,BJ$2),Database!$B:$E,4,0)="L",6,5),"")</f>
        <v/>
      </c>
      <c r="BK39" s="29" t="str">
        <f>IFERROR(IF(VLOOKUP(CONCATENATE($B39,BK$2),Database!$B:$E,4,0)="L",6,5),"")</f>
        <v/>
      </c>
      <c r="BL39" s="29" t="str">
        <f>IFERROR(IF(VLOOKUP(CONCATENATE($B39,BL$2),Database!$B:$E,4,0)="L",6,5),"")</f>
        <v/>
      </c>
      <c r="BM39" s="29" t="str">
        <f>IFERROR(IF(VLOOKUP(CONCATENATE($B39,BM$2),Database!$B:$E,4,0)="L",6,5),"")</f>
        <v/>
      </c>
      <c r="BN39" s="29" t="str">
        <f>IFERROR(IF(VLOOKUP(CONCATENATE($B39,BN$2),Database!$B:$E,4,0)="L",6,5),"")</f>
        <v/>
      </c>
      <c r="BO39" s="29" t="str">
        <f>IFERROR(IF(VLOOKUP(CONCATENATE($B39,BO$2),Database!$B:$E,4,0)="L",6,5),"")</f>
        <v/>
      </c>
      <c r="BP39" s="29" t="str">
        <f>IFERROR(IF(VLOOKUP(CONCATENATE($B39,BP$2),Database!$B:$E,4,0)="L",6,5),"")</f>
        <v/>
      </c>
      <c r="BQ39" s="29" t="str">
        <f>IFERROR(IF(VLOOKUP(CONCATENATE($B39,BQ$2),Database!$B:$E,4,0)="L",6,5),"")</f>
        <v/>
      </c>
      <c r="BR39" s="29" t="str">
        <f>IFERROR(IF(VLOOKUP(CONCATENATE($B39,BR$2),Database!$B:$E,4,0)="L",6,5),"")</f>
        <v/>
      </c>
      <c r="BS39" s="29" t="str">
        <f>IFERROR(IF(VLOOKUP(CONCATENATE($B39,BS$2),Database!$B:$E,4,0)="L",6,5),"")</f>
        <v/>
      </c>
      <c r="BT39" s="29" t="str">
        <f>IFERROR(IF(VLOOKUP(CONCATENATE($B39,BT$2),Database!$B:$E,4,0)="L",6,5),"")</f>
        <v/>
      </c>
      <c r="BU39" s="29" t="str">
        <f>IFERROR(IF(VLOOKUP(CONCATENATE($B39,BU$2),Database!$B:$E,4,0)="L",6,5),"")</f>
        <v/>
      </c>
      <c r="BV39" s="29" t="str">
        <f>IFERROR(IF(VLOOKUP(CONCATENATE($B39,BV$2),Database!$B:$E,4,0)="L",6,5),"")</f>
        <v/>
      </c>
      <c r="BW39" s="29" t="str">
        <f>IFERROR(IF(VLOOKUP(CONCATENATE($B39,BW$2),Database!$B:$E,4,0)="L",6,5),"")</f>
        <v/>
      </c>
      <c r="BX39" s="29" t="str">
        <f>IFERROR(IF(VLOOKUP(CONCATENATE($B39,BX$2),Database!$B:$E,4,0)="L",6,5),"")</f>
        <v/>
      </c>
      <c r="BY39" s="29" t="str">
        <f>IFERROR(IF(VLOOKUP(CONCATENATE($B39,BY$2),Database!$B:$E,4,0)="L",6,5),"")</f>
        <v/>
      </c>
      <c r="BZ39" s="29" t="str">
        <f>IFERROR(IF(VLOOKUP(CONCATENATE($B39,BZ$2),Database!$B:$E,4,0)="L",6,5),"")</f>
        <v/>
      </c>
    </row>
    <row r="40" spans="2:78" ht="14.3" x14ac:dyDescent="0.3">
      <c r="B40" s="19" t="s">
        <v>55</v>
      </c>
      <c r="C40" s="16">
        <f>COUNTIFS(Database!$D:$D,$B40,Database!$C:$C,"&gt;1/1/25")</f>
        <v>2</v>
      </c>
      <c r="D40" s="1">
        <f>COUNTIFS(Database!$D:$D,$B40,Database!$E:$E,"W",Database!$C:$C,"&gt;1/1/25")</f>
        <v>1</v>
      </c>
      <c r="E40" s="1">
        <f>COUNTIFS(Database!$D:$D,$B40,Database!$E:$E,"L",Database!$C:$C,"&gt;1/1/25")</f>
        <v>1</v>
      </c>
      <c r="F40" s="1">
        <f t="shared" si="9"/>
        <v>0</v>
      </c>
      <c r="G40" s="21">
        <f t="shared" si="10"/>
        <v>0.5</v>
      </c>
      <c r="H40" s="14">
        <f t="shared" si="11"/>
        <v>0.5</v>
      </c>
      <c r="J40" s="16">
        <f>COUNTIF(Database!$D:$D,$B40)</f>
        <v>19</v>
      </c>
      <c r="K40" s="1">
        <f>COUNTIFS(Database!$D:$D,$B40,Database!$E:$E,"W")</f>
        <v>7</v>
      </c>
      <c r="L40" s="1">
        <f>COUNTIFS(Database!$D:$D,$B40,Database!$E:$E,"L")</f>
        <v>12</v>
      </c>
      <c r="M40" s="1">
        <f t="shared" si="12"/>
        <v>-5</v>
      </c>
      <c r="N40" s="21">
        <f t="shared" si="13"/>
        <v>0.36842105263157893</v>
      </c>
      <c r="O40" s="14">
        <f t="shared" si="14"/>
        <v>0.63157894736842102</v>
      </c>
      <c r="Q40" s="28">
        <f>IFERROR(IF(VLOOKUP(CONCATENATE($B40,Q$2),Database!$B:$E,4,0)="L",6,5),"")</f>
        <v>6</v>
      </c>
      <c r="R40" s="23">
        <f>IFERROR(IF(VLOOKUP(CONCATENATE($B40,R$2),Database!$B:$E,4,0)="L",6,5),"")</f>
        <v>5</v>
      </c>
      <c r="S40" s="23">
        <f>IFERROR(IF(VLOOKUP(CONCATENATE($B40,S$2),Database!$B:$E,4,0)="L",6,5),"")</f>
        <v>5</v>
      </c>
      <c r="T40" s="23">
        <f>IFERROR(IF(VLOOKUP(CONCATENATE($B40,T$2),Database!$B:$E,4,0)="L",6,5),"")</f>
        <v>5</v>
      </c>
      <c r="U40" s="29">
        <f>IFERROR(IF(VLOOKUP(CONCATENATE($B40,U$2),Database!$B:$E,4,0)="L",6,5),"")</f>
        <v>6</v>
      </c>
      <c r="V40" s="55" t="s">
        <v>14</v>
      </c>
      <c r="W40" s="56"/>
      <c r="X40" s="62" t="s">
        <v>14</v>
      </c>
      <c r="Z40" s="63" t="str">
        <f t="shared" si="8"/>
        <v>Y</v>
      </c>
      <c r="AB40" s="29">
        <f>IFERROR(IF(VLOOKUP(CONCATENATE($B40,AB$2),Database!$B:$E,4,0)="L",6,5),"")</f>
        <v>6</v>
      </c>
      <c r="AC40" s="29">
        <f>IFERROR(IF(VLOOKUP(CONCATENATE($B40,AC$2),Database!$B:$E,4,0)="L",6,5),"")</f>
        <v>5</v>
      </c>
      <c r="AD40" s="29">
        <f>IFERROR(IF(VLOOKUP(CONCATENATE($B40,AD$2),Database!$B:$E,4,0)="L",6,5),"")</f>
        <v>5</v>
      </c>
      <c r="AE40" s="29">
        <f>IFERROR(IF(VLOOKUP(CONCATENATE($B40,AE$2),Database!$B:$E,4,0)="L",6,5),"")</f>
        <v>5</v>
      </c>
      <c r="AF40" s="29">
        <f>IFERROR(IF(VLOOKUP(CONCATENATE($B40,AF$2),Database!$B:$E,4,0)="L",6,5),"")</f>
        <v>6</v>
      </c>
      <c r="AG40" s="29">
        <f>IFERROR(IF(VLOOKUP(CONCATENATE($B40,AG$2),Database!$B:$E,4,0)="L",6,5),"")</f>
        <v>6</v>
      </c>
      <c r="AH40" s="29">
        <f>IFERROR(IF(VLOOKUP(CONCATENATE($B40,AH$2),Database!$B:$E,4,0)="L",6,5),"")</f>
        <v>5</v>
      </c>
      <c r="AI40" s="29">
        <f>IFERROR(IF(VLOOKUP(CONCATENATE($B40,AI$2),Database!$B:$E,4,0)="L",6,5),"")</f>
        <v>6</v>
      </c>
      <c r="AJ40" s="29">
        <f>IFERROR(IF(VLOOKUP(CONCATENATE($B40,AJ$2),Database!$B:$E,4,0)="L",6,5),"")</f>
        <v>6</v>
      </c>
      <c r="AK40" s="29">
        <f>IFERROR(IF(VLOOKUP(CONCATENATE($B40,AK$2),Database!$B:$E,4,0)="L",6,5),"")</f>
        <v>6</v>
      </c>
      <c r="AL40" s="29">
        <f>IFERROR(IF(VLOOKUP(CONCATENATE($B40,AL$2),Database!$B:$E,4,0)="L",6,5),"")</f>
        <v>6</v>
      </c>
      <c r="AM40" s="29">
        <f>IFERROR(IF(VLOOKUP(CONCATENATE($B40,AM$2),Database!$B:$E,4,0)="L",6,5),"")</f>
        <v>6</v>
      </c>
      <c r="AN40" s="29">
        <f>IFERROR(IF(VLOOKUP(CONCATENATE($B40,AN$2),Database!$B:$E,4,0)="L",6,5),"")</f>
        <v>6</v>
      </c>
      <c r="AO40" s="29">
        <f>IFERROR(IF(VLOOKUP(CONCATENATE($B40,AO$2),Database!$B:$E,4,0)="L",6,5),"")</f>
        <v>6</v>
      </c>
      <c r="AP40" s="29">
        <f>IFERROR(IF(VLOOKUP(CONCATENATE($B40,AP$2),Database!$B:$E,4,0)="L",6,5),"")</f>
        <v>6</v>
      </c>
      <c r="AQ40" s="29">
        <f>IFERROR(IF(VLOOKUP(CONCATENATE($B40,AQ$2),Database!$B:$E,4,0)="L",6,5),"")</f>
        <v>5</v>
      </c>
      <c r="AR40" s="29">
        <f>IFERROR(IF(VLOOKUP(CONCATENATE($B40,AR$2),Database!$B:$E,4,0)="L",6,5),"")</f>
        <v>6</v>
      </c>
      <c r="AS40" s="29">
        <f>IFERROR(IF(VLOOKUP(CONCATENATE($B40,AS$2),Database!$B:$E,4,0)="L",6,5),"")</f>
        <v>5</v>
      </c>
      <c r="AT40" s="29">
        <f>IFERROR(IF(VLOOKUP(CONCATENATE($B40,AT$2),Database!$B:$E,4,0)="L",6,5),"")</f>
        <v>5</v>
      </c>
      <c r="AU40" s="29" t="str">
        <f>IFERROR(IF(VLOOKUP(CONCATENATE($B40,AU$2),Database!$B:$E,4,0)="L",6,5),"")</f>
        <v/>
      </c>
      <c r="AV40" s="29" t="str">
        <f>IFERROR(IF(VLOOKUP(CONCATENATE($B40,AV$2),Database!$B:$E,4,0)="L",6,5),"")</f>
        <v/>
      </c>
      <c r="AW40" s="29" t="str">
        <f>IFERROR(IF(VLOOKUP(CONCATENATE($B40,AW$2),Database!$B:$E,4,0)="L",6,5),"")</f>
        <v/>
      </c>
      <c r="AX40" s="29" t="str">
        <f>IFERROR(IF(VLOOKUP(CONCATENATE($B40,AX$2),Database!$B:$E,4,0)="L",6,5),"")</f>
        <v/>
      </c>
      <c r="AY40" s="29" t="str">
        <f>IFERROR(IF(VLOOKUP(CONCATENATE($B40,AY$2),Database!$B:$E,4,0)="L",6,5),"")</f>
        <v/>
      </c>
      <c r="AZ40" s="29" t="str">
        <f>IFERROR(IF(VLOOKUP(CONCATENATE($B40,AZ$2),Database!$B:$E,4,0)="L",6,5),"")</f>
        <v/>
      </c>
      <c r="BA40" s="29" t="str">
        <f>IFERROR(IF(VLOOKUP(CONCATENATE($B40,BA$2),Database!$B:$E,4,0)="L",6,5),"")</f>
        <v/>
      </c>
      <c r="BB40" s="29" t="str">
        <f>IFERROR(IF(VLOOKUP(CONCATENATE($B40,BB$2),Database!$B:$E,4,0)="L",6,5),"")</f>
        <v/>
      </c>
      <c r="BC40" s="29" t="str">
        <f>IFERROR(IF(VLOOKUP(CONCATENATE($B40,BC$2),Database!$B:$E,4,0)="L",6,5),"")</f>
        <v/>
      </c>
      <c r="BD40" s="29" t="str">
        <f>IFERROR(IF(VLOOKUP(CONCATENATE($B40,BD$2),Database!$B:$E,4,0)="L",6,5),"")</f>
        <v/>
      </c>
      <c r="BE40" s="29" t="str">
        <f>IFERROR(IF(VLOOKUP(CONCATENATE($B40,BE$2),Database!$B:$E,4,0)="L",6,5),"")</f>
        <v/>
      </c>
      <c r="BF40" s="29" t="str">
        <f>IFERROR(IF(VLOOKUP(CONCATENATE($B40,BF$2),Database!$B:$E,4,0)="L",6,5),"")</f>
        <v/>
      </c>
      <c r="BG40" s="29" t="str">
        <f>IFERROR(IF(VLOOKUP(CONCATENATE($B40,BG$2),Database!$B:$E,4,0)="L",6,5),"")</f>
        <v/>
      </c>
      <c r="BH40" s="29" t="str">
        <f>IFERROR(IF(VLOOKUP(CONCATENATE($B40,BH$2),Database!$B:$E,4,0)="L",6,5),"")</f>
        <v/>
      </c>
      <c r="BI40" s="29" t="str">
        <f>IFERROR(IF(VLOOKUP(CONCATENATE($B40,BI$2),Database!$B:$E,4,0)="L",6,5),"")</f>
        <v/>
      </c>
      <c r="BJ40" s="29" t="str">
        <f>IFERROR(IF(VLOOKUP(CONCATENATE($B40,BJ$2),Database!$B:$E,4,0)="L",6,5),"")</f>
        <v/>
      </c>
      <c r="BK40" s="29" t="str">
        <f>IFERROR(IF(VLOOKUP(CONCATENATE($B40,BK$2),Database!$B:$E,4,0)="L",6,5),"")</f>
        <v/>
      </c>
      <c r="BL40" s="29" t="str">
        <f>IFERROR(IF(VLOOKUP(CONCATENATE($B40,BL$2),Database!$B:$E,4,0)="L",6,5),"")</f>
        <v/>
      </c>
      <c r="BM40" s="29" t="str">
        <f>IFERROR(IF(VLOOKUP(CONCATENATE($B40,BM$2),Database!$B:$E,4,0)="L",6,5),"")</f>
        <v/>
      </c>
      <c r="BN40" s="29" t="str">
        <f>IFERROR(IF(VLOOKUP(CONCATENATE($B40,BN$2),Database!$B:$E,4,0)="L",6,5),"")</f>
        <v/>
      </c>
      <c r="BO40" s="29" t="str">
        <f>IFERROR(IF(VLOOKUP(CONCATENATE($B40,BO$2),Database!$B:$E,4,0)="L",6,5),"")</f>
        <v/>
      </c>
      <c r="BP40" s="29" t="str">
        <f>IFERROR(IF(VLOOKUP(CONCATENATE($B40,BP$2),Database!$B:$E,4,0)="L",6,5),"")</f>
        <v/>
      </c>
      <c r="BQ40" s="29" t="str">
        <f>IFERROR(IF(VLOOKUP(CONCATENATE($B40,BQ$2),Database!$B:$E,4,0)="L",6,5),"")</f>
        <v/>
      </c>
      <c r="BR40" s="29" t="str">
        <f>IFERROR(IF(VLOOKUP(CONCATENATE($B40,BR$2),Database!$B:$E,4,0)="L",6,5),"")</f>
        <v/>
      </c>
      <c r="BS40" s="29" t="str">
        <f>IFERROR(IF(VLOOKUP(CONCATENATE($B40,BS$2),Database!$B:$E,4,0)="L",6,5),"")</f>
        <v/>
      </c>
      <c r="BT40" s="29" t="str">
        <f>IFERROR(IF(VLOOKUP(CONCATENATE($B40,BT$2),Database!$B:$E,4,0)="L",6,5),"")</f>
        <v/>
      </c>
      <c r="BU40" s="29" t="str">
        <f>IFERROR(IF(VLOOKUP(CONCATENATE($B40,BU$2),Database!$B:$E,4,0)="L",6,5),"")</f>
        <v/>
      </c>
      <c r="BV40" s="29" t="str">
        <f>IFERROR(IF(VLOOKUP(CONCATENATE($B40,BV$2),Database!$B:$E,4,0)="L",6,5),"")</f>
        <v/>
      </c>
      <c r="BW40" s="29" t="str">
        <f>IFERROR(IF(VLOOKUP(CONCATENATE($B40,BW$2),Database!$B:$E,4,0)="L",6,5),"")</f>
        <v/>
      </c>
      <c r="BX40" s="29" t="str">
        <f>IFERROR(IF(VLOOKUP(CONCATENATE($B40,BX$2),Database!$B:$E,4,0)="L",6,5),"")</f>
        <v/>
      </c>
      <c r="BY40" s="29" t="str">
        <f>IFERROR(IF(VLOOKUP(CONCATENATE($B40,BY$2),Database!$B:$E,4,0)="L",6,5),"")</f>
        <v/>
      </c>
      <c r="BZ40" s="29" t="str">
        <f>IFERROR(IF(VLOOKUP(CONCATENATE($B40,BZ$2),Database!$B:$E,4,0)="L",6,5),"")</f>
        <v/>
      </c>
    </row>
    <row r="41" spans="2:78" ht="14.3" x14ac:dyDescent="0.3">
      <c r="B41" s="19" t="s">
        <v>44</v>
      </c>
      <c r="C41" s="16">
        <f>COUNTIFS(Database!$D:$D,$B41,Database!$C:$C,"&gt;1/1/25")</f>
        <v>2</v>
      </c>
      <c r="D41" s="1">
        <f>COUNTIFS(Database!$D:$D,$B41,Database!$E:$E,"W",Database!$C:$C,"&gt;1/1/25")</f>
        <v>1</v>
      </c>
      <c r="E41" s="1">
        <f>COUNTIFS(Database!$D:$D,$B41,Database!$E:$E,"L",Database!$C:$C,"&gt;1/1/25")</f>
        <v>1</v>
      </c>
      <c r="F41" s="1">
        <f t="shared" si="9"/>
        <v>0</v>
      </c>
      <c r="G41" s="21">
        <f t="shared" si="10"/>
        <v>0.5</v>
      </c>
      <c r="H41" s="14">
        <f t="shared" si="11"/>
        <v>0.5</v>
      </c>
      <c r="J41" s="16">
        <f>COUNTIF(Database!$D:$D,$B41)</f>
        <v>33</v>
      </c>
      <c r="K41" s="1">
        <f>COUNTIFS(Database!$D:$D,$B41,Database!$E:$E,"W")</f>
        <v>16</v>
      </c>
      <c r="L41" s="1">
        <f>COUNTIFS(Database!$D:$D,$B41,Database!$E:$E,"L")</f>
        <v>17</v>
      </c>
      <c r="M41" s="1">
        <f t="shared" si="12"/>
        <v>-1</v>
      </c>
      <c r="N41" s="21">
        <f t="shared" si="13"/>
        <v>0.48484848484848486</v>
      </c>
      <c r="O41" s="14">
        <f t="shared" si="14"/>
        <v>0.51515151515151514</v>
      </c>
      <c r="Q41" s="28">
        <f>IFERROR(IF(VLOOKUP(CONCATENATE($B41,Q$2),Database!$B:$E,4,0)="L",6,5),"")</f>
        <v>5</v>
      </c>
      <c r="R41" s="23">
        <f>IFERROR(IF(VLOOKUP(CONCATENATE($B41,R$2),Database!$B:$E,4,0)="L",6,5),"")</f>
        <v>5</v>
      </c>
      <c r="S41" s="23">
        <f>IFERROR(IF(VLOOKUP(CONCATENATE($B41,S$2),Database!$B:$E,4,0)="L",6,5),"")</f>
        <v>6</v>
      </c>
      <c r="T41" s="23">
        <f>IFERROR(IF(VLOOKUP(CONCATENATE($B41,T$2),Database!$B:$E,4,0)="L",6,5),"")</f>
        <v>6</v>
      </c>
      <c r="U41" s="29">
        <f>IFERROR(IF(VLOOKUP(CONCATENATE($B41,U$2),Database!$B:$E,4,0)="L",6,5),"")</f>
        <v>5</v>
      </c>
      <c r="V41" s="55" t="s">
        <v>14</v>
      </c>
      <c r="W41" s="56"/>
      <c r="X41" s="86" t="s">
        <v>14</v>
      </c>
      <c r="Z41" s="63" t="str">
        <f t="shared" si="8"/>
        <v>Y</v>
      </c>
      <c r="AB41" s="29">
        <f>IFERROR(IF(VLOOKUP(CONCATENATE($B41,AB$2),Database!$B:$E,4,0)="L",6,5),"")</f>
        <v>5</v>
      </c>
      <c r="AC41" s="29">
        <f>IFERROR(IF(VLOOKUP(CONCATENATE($B41,AC$2),Database!$B:$E,4,0)="L",6,5),"")</f>
        <v>6</v>
      </c>
      <c r="AD41" s="29">
        <f>IFERROR(IF(VLOOKUP(CONCATENATE($B41,AD$2),Database!$B:$E,4,0)="L",6,5),"")</f>
        <v>6</v>
      </c>
      <c r="AE41" s="29">
        <f>IFERROR(IF(VLOOKUP(CONCATENATE($B41,AE$2),Database!$B:$E,4,0)="L",6,5),"")</f>
        <v>5</v>
      </c>
      <c r="AF41" s="29">
        <f>IFERROR(IF(VLOOKUP(CONCATENATE($B41,AF$2),Database!$B:$E,4,0)="L",6,5),"")</f>
        <v>5</v>
      </c>
      <c r="AG41" s="29">
        <f>IFERROR(IF(VLOOKUP(CONCATENATE($B41,AG$2),Database!$B:$E,4,0)="L",6,5),"")</f>
        <v>6</v>
      </c>
      <c r="AH41" s="29">
        <f>IFERROR(IF(VLOOKUP(CONCATENATE($B41,AH$2),Database!$B:$E,4,0)="L",6,5),"")</f>
        <v>5</v>
      </c>
      <c r="AI41" s="29">
        <f>IFERROR(IF(VLOOKUP(CONCATENATE($B41,AI$2),Database!$B:$E,4,0)="L",6,5),"")</f>
        <v>6</v>
      </c>
      <c r="AJ41" s="29">
        <f>IFERROR(IF(VLOOKUP(CONCATENATE($B41,AJ$2),Database!$B:$E,4,0)="L",6,5),"")</f>
        <v>5</v>
      </c>
      <c r="AK41" s="29">
        <f>IFERROR(IF(VLOOKUP(CONCATENATE($B41,AK$2),Database!$B:$E,4,0)="L",6,5),"")</f>
        <v>6</v>
      </c>
      <c r="AL41" s="29">
        <f>IFERROR(IF(VLOOKUP(CONCATENATE($B41,AL$2),Database!$B:$E,4,0)="L",6,5),"")</f>
        <v>5</v>
      </c>
      <c r="AM41" s="29">
        <f>IFERROR(IF(VLOOKUP(CONCATENATE($B41,AM$2),Database!$B:$E,4,0)="L",6,5),"")</f>
        <v>6</v>
      </c>
      <c r="AN41" s="29">
        <f>IFERROR(IF(VLOOKUP(CONCATENATE($B41,AN$2),Database!$B:$E,4,0)="L",6,5),"")</f>
        <v>5</v>
      </c>
      <c r="AO41" s="29">
        <f>IFERROR(IF(VLOOKUP(CONCATENATE($B41,AO$2),Database!$B:$E,4,0)="L",6,5),"")</f>
        <v>6</v>
      </c>
      <c r="AP41" s="29">
        <f>IFERROR(IF(VLOOKUP(CONCATENATE($B41,AP$2),Database!$B:$E,4,0)="L",6,5),"")</f>
        <v>5</v>
      </c>
      <c r="AQ41" s="29">
        <f>IFERROR(IF(VLOOKUP(CONCATENATE($B41,AQ$2),Database!$B:$E,4,0)="L",6,5),"")</f>
        <v>6</v>
      </c>
      <c r="AR41" s="29">
        <f>IFERROR(IF(VLOOKUP(CONCATENATE($B41,AR$2),Database!$B:$E,4,0)="L",6,5),"")</f>
        <v>6</v>
      </c>
      <c r="AS41" s="29">
        <f>IFERROR(IF(VLOOKUP(CONCATENATE($B41,AS$2),Database!$B:$E,4,0)="L",6,5),"")</f>
        <v>6</v>
      </c>
      <c r="AT41" s="29">
        <f>IFERROR(IF(VLOOKUP(CONCATENATE($B41,AT$2),Database!$B:$E,4,0)="L",6,5),"")</f>
        <v>6</v>
      </c>
      <c r="AU41" s="29">
        <f>IFERROR(IF(VLOOKUP(CONCATENATE($B41,AU$2),Database!$B:$E,4,0)="L",6,5),"")</f>
        <v>6</v>
      </c>
      <c r="AV41" s="29">
        <f>IFERROR(IF(VLOOKUP(CONCATENATE($B41,AV$2),Database!$B:$E,4,0)="L",6,5),"")</f>
        <v>6</v>
      </c>
      <c r="AW41" s="29">
        <f>IFERROR(IF(VLOOKUP(CONCATENATE($B41,AW$2),Database!$B:$E,4,0)="L",6,5),"")</f>
        <v>5</v>
      </c>
      <c r="AX41" s="29">
        <f>IFERROR(IF(VLOOKUP(CONCATENATE($B41,AX$2),Database!$B:$E,4,0)="L",6,5),"")</f>
        <v>5</v>
      </c>
      <c r="AY41" s="29">
        <f>IFERROR(IF(VLOOKUP(CONCATENATE($B41,AY$2),Database!$B:$E,4,0)="L",6,5),"")</f>
        <v>6</v>
      </c>
      <c r="AZ41" s="29">
        <f>IFERROR(IF(VLOOKUP(CONCATENATE($B41,AZ$2),Database!$B:$E,4,0)="L",6,5),"")</f>
        <v>5</v>
      </c>
      <c r="BA41" s="29">
        <f>IFERROR(IF(VLOOKUP(CONCATENATE($B41,BA$2),Database!$B:$E,4,0)="L",6,5),"")</f>
        <v>6</v>
      </c>
      <c r="BB41" s="29">
        <f>IFERROR(IF(VLOOKUP(CONCATENATE($B41,BB$2),Database!$B:$E,4,0)="L",6,5),"")</f>
        <v>5</v>
      </c>
      <c r="BC41" s="29">
        <f>IFERROR(IF(VLOOKUP(CONCATENATE($B41,BC$2),Database!$B:$E,4,0)="L",6,5),"")</f>
        <v>5</v>
      </c>
      <c r="BD41" s="29">
        <f>IFERROR(IF(VLOOKUP(CONCATENATE($B41,BD$2),Database!$B:$E,4,0)="L",6,5),"")</f>
        <v>5</v>
      </c>
      <c r="BE41" s="29">
        <f>IFERROR(IF(VLOOKUP(CONCATENATE($B41,BE$2),Database!$B:$E,4,0)="L",6,5),"")</f>
        <v>6</v>
      </c>
      <c r="BF41" s="29">
        <f>IFERROR(IF(VLOOKUP(CONCATENATE($B41,BF$2),Database!$B:$E,4,0)="L",6,5),"")</f>
        <v>6</v>
      </c>
      <c r="BG41" s="29">
        <f>IFERROR(IF(VLOOKUP(CONCATENATE($B41,BG$2),Database!$B:$E,4,0)="L",6,5),"")</f>
        <v>5</v>
      </c>
      <c r="BH41" s="29">
        <f>IFERROR(IF(VLOOKUP(CONCATENATE($B41,BH$2),Database!$B:$E,4,0)="L",6,5),"")</f>
        <v>5</v>
      </c>
      <c r="BI41" s="29" t="str">
        <f>IFERROR(IF(VLOOKUP(CONCATENATE($B41,BI$2),Database!$B:$E,4,0)="L",6,5),"")</f>
        <v/>
      </c>
      <c r="BJ41" s="29" t="str">
        <f>IFERROR(IF(VLOOKUP(CONCATENATE($B41,BJ$2),Database!$B:$E,4,0)="L",6,5),"")</f>
        <v/>
      </c>
      <c r="BK41" s="29" t="str">
        <f>IFERROR(IF(VLOOKUP(CONCATENATE($B41,BK$2),Database!$B:$E,4,0)="L",6,5),"")</f>
        <v/>
      </c>
      <c r="BL41" s="29" t="str">
        <f>IFERROR(IF(VLOOKUP(CONCATENATE($B41,BL$2),Database!$B:$E,4,0)="L",6,5),"")</f>
        <v/>
      </c>
      <c r="BM41" s="29" t="str">
        <f>IFERROR(IF(VLOOKUP(CONCATENATE($B41,BM$2),Database!$B:$E,4,0)="L",6,5),"")</f>
        <v/>
      </c>
      <c r="BN41" s="29" t="str">
        <f>IFERROR(IF(VLOOKUP(CONCATENATE($B41,BN$2),Database!$B:$E,4,0)="L",6,5),"")</f>
        <v/>
      </c>
      <c r="BO41" s="29" t="str">
        <f>IFERROR(IF(VLOOKUP(CONCATENATE($B41,BO$2),Database!$B:$E,4,0)="L",6,5),"")</f>
        <v/>
      </c>
      <c r="BP41" s="29" t="str">
        <f>IFERROR(IF(VLOOKUP(CONCATENATE($B41,BP$2),Database!$B:$E,4,0)="L",6,5),"")</f>
        <v/>
      </c>
      <c r="BQ41" s="29" t="str">
        <f>IFERROR(IF(VLOOKUP(CONCATENATE($B41,BQ$2),Database!$B:$E,4,0)="L",6,5),"")</f>
        <v/>
      </c>
      <c r="BR41" s="29" t="str">
        <f>IFERROR(IF(VLOOKUP(CONCATENATE($B41,BR$2),Database!$B:$E,4,0)="L",6,5),"")</f>
        <v/>
      </c>
      <c r="BS41" s="29" t="str">
        <f>IFERROR(IF(VLOOKUP(CONCATENATE($B41,BS$2),Database!$B:$E,4,0)="L",6,5),"")</f>
        <v/>
      </c>
      <c r="BT41" s="29" t="str">
        <f>IFERROR(IF(VLOOKUP(CONCATENATE($B41,BT$2),Database!$B:$E,4,0)="L",6,5),"")</f>
        <v/>
      </c>
      <c r="BU41" s="29" t="str">
        <f>IFERROR(IF(VLOOKUP(CONCATENATE($B41,BU$2),Database!$B:$E,4,0)="L",6,5),"")</f>
        <v/>
      </c>
      <c r="BV41" s="29" t="str">
        <f>IFERROR(IF(VLOOKUP(CONCATENATE($B41,BV$2),Database!$B:$E,4,0)="L",6,5),"")</f>
        <v/>
      </c>
      <c r="BW41" s="29" t="str">
        <f>IFERROR(IF(VLOOKUP(CONCATENATE($B41,BW$2),Database!$B:$E,4,0)="L",6,5),"")</f>
        <v/>
      </c>
      <c r="BX41" s="29" t="str">
        <f>IFERROR(IF(VLOOKUP(CONCATENATE($B41,BX$2),Database!$B:$E,4,0)="L",6,5),"")</f>
        <v/>
      </c>
      <c r="BY41" s="29" t="str">
        <f>IFERROR(IF(VLOOKUP(CONCATENATE($B41,BY$2),Database!$B:$E,4,0)="L",6,5),"")</f>
        <v/>
      </c>
      <c r="BZ41" s="29" t="str">
        <f>IFERROR(IF(VLOOKUP(CONCATENATE($B41,BZ$2),Database!$B:$E,4,0)="L",6,5),"")</f>
        <v/>
      </c>
    </row>
    <row r="42" spans="2:78" ht="14.3" x14ac:dyDescent="0.3">
      <c r="B42" s="19" t="s">
        <v>36</v>
      </c>
      <c r="C42" s="16">
        <f>COUNTIFS(Database!$D:$D,$B42,Database!$C:$C,"&gt;1/1/25")</f>
        <v>0</v>
      </c>
      <c r="D42" s="1">
        <f>COUNTIFS(Database!$D:$D,$B42,Database!$E:$E,"W",Database!$C:$C,"&gt;1/1/25")</f>
        <v>0</v>
      </c>
      <c r="E42" s="1">
        <f>COUNTIFS(Database!$D:$D,$B42,Database!$E:$E,"L",Database!$C:$C,"&gt;1/1/25")</f>
        <v>0</v>
      </c>
      <c r="F42" s="1">
        <f t="shared" si="9"/>
        <v>0</v>
      </c>
      <c r="G42" s="21" t="str">
        <f t="shared" si="10"/>
        <v>-</v>
      </c>
      <c r="H42" s="14" t="str">
        <f t="shared" si="11"/>
        <v>-</v>
      </c>
      <c r="J42" s="16">
        <f>COUNTIF(Database!$D:$D,$B42)</f>
        <v>27</v>
      </c>
      <c r="K42" s="1">
        <f>COUNTIFS(Database!$D:$D,$B42,Database!$E:$E,"W")</f>
        <v>14</v>
      </c>
      <c r="L42" s="1">
        <f>COUNTIFS(Database!$D:$D,$B42,Database!$E:$E,"L")</f>
        <v>13</v>
      </c>
      <c r="M42" s="1">
        <f t="shared" si="12"/>
        <v>1</v>
      </c>
      <c r="N42" s="21">
        <f t="shared" si="13"/>
        <v>0.51851851851851849</v>
      </c>
      <c r="O42" s="14">
        <f t="shared" si="14"/>
        <v>0.48148148148148145</v>
      </c>
      <c r="Q42" s="28">
        <f>IFERROR(IF(VLOOKUP(CONCATENATE($B42,Q$2),Database!$B:$E,4,0)="L",6,5),"")</f>
        <v>5</v>
      </c>
      <c r="R42" s="23">
        <f>IFERROR(IF(VLOOKUP(CONCATENATE($B42,R$2),Database!$B:$E,4,0)="L",6,5),"")</f>
        <v>6</v>
      </c>
      <c r="S42" s="23">
        <f>IFERROR(IF(VLOOKUP(CONCATENATE($B42,S$2),Database!$B:$E,4,0)="L",6,5),"")</f>
        <v>5</v>
      </c>
      <c r="T42" s="23">
        <f>IFERROR(IF(VLOOKUP(CONCATENATE($B42,T$2),Database!$B:$E,4,0)="L",6,5),"")</f>
        <v>5</v>
      </c>
      <c r="U42" s="29">
        <f>IFERROR(IF(VLOOKUP(CONCATENATE($B42,U$2),Database!$B:$E,4,0)="L",6,5),"")</f>
        <v>5</v>
      </c>
      <c r="V42" s="55"/>
      <c r="W42" s="56"/>
      <c r="X42" s="63"/>
      <c r="Z42" s="63" t="str">
        <f t="shared" si="8"/>
        <v>Y</v>
      </c>
      <c r="AB42" s="29">
        <f>IFERROR(IF(VLOOKUP(CONCATENATE($B42,AB$2),Database!$B:$E,4,0)="L",6,5),"")</f>
        <v>5</v>
      </c>
      <c r="AC42" s="29">
        <f>IFERROR(IF(VLOOKUP(CONCATENATE($B42,AC$2),Database!$B:$E,4,0)="L",6,5),"")</f>
        <v>5</v>
      </c>
      <c r="AD42" s="29">
        <f>IFERROR(IF(VLOOKUP(CONCATENATE($B42,AD$2),Database!$B:$E,4,0)="L",6,5),"")</f>
        <v>5</v>
      </c>
      <c r="AE42" s="29">
        <f>IFERROR(IF(VLOOKUP(CONCATENATE($B42,AE$2),Database!$B:$E,4,0)="L",6,5),"")</f>
        <v>6</v>
      </c>
      <c r="AF42" s="29">
        <f>IFERROR(IF(VLOOKUP(CONCATENATE($B42,AF$2),Database!$B:$E,4,0)="L",6,5),"")</f>
        <v>5</v>
      </c>
      <c r="AG42" s="29">
        <f>IFERROR(IF(VLOOKUP(CONCATENATE($B42,AG$2),Database!$B:$E,4,0)="L",6,5),"")</f>
        <v>5</v>
      </c>
      <c r="AH42" s="29">
        <f>IFERROR(IF(VLOOKUP(CONCATENATE($B42,AH$2),Database!$B:$E,4,0)="L",6,5),"")</f>
        <v>6</v>
      </c>
      <c r="AI42" s="29">
        <f>IFERROR(IF(VLOOKUP(CONCATENATE($B42,AI$2),Database!$B:$E,4,0)="L",6,5),"")</f>
        <v>6</v>
      </c>
      <c r="AJ42" s="29">
        <f>IFERROR(IF(VLOOKUP(CONCATENATE($B42,AJ$2),Database!$B:$E,4,0)="L",6,5),"")</f>
        <v>6</v>
      </c>
      <c r="AK42" s="29">
        <f>IFERROR(IF(VLOOKUP(CONCATENATE($B42,AK$2),Database!$B:$E,4,0)="L",6,5),"")</f>
        <v>5</v>
      </c>
      <c r="AL42" s="29">
        <f>IFERROR(IF(VLOOKUP(CONCATENATE($B42,AL$2),Database!$B:$E,4,0)="L",6,5),"")</f>
        <v>6</v>
      </c>
      <c r="AM42" s="29">
        <f>IFERROR(IF(VLOOKUP(CONCATENATE($B42,AM$2),Database!$B:$E,4,0)="L",6,5),"")</f>
        <v>6</v>
      </c>
      <c r="AN42" s="29">
        <f>IFERROR(IF(VLOOKUP(CONCATENATE($B42,AN$2),Database!$B:$E,4,0)="L",6,5),"")</f>
        <v>6</v>
      </c>
      <c r="AO42" s="29">
        <f>IFERROR(IF(VLOOKUP(CONCATENATE($B42,AO$2),Database!$B:$E,4,0)="L",6,5),"")</f>
        <v>6</v>
      </c>
      <c r="AP42" s="29">
        <f>IFERROR(IF(VLOOKUP(CONCATENATE($B42,AP$2),Database!$B:$E,4,0)="L",6,5),"")</f>
        <v>5</v>
      </c>
      <c r="AQ42" s="29">
        <f>IFERROR(IF(VLOOKUP(CONCATENATE($B42,AQ$2),Database!$B:$E,4,0)="L",6,5),"")</f>
        <v>5</v>
      </c>
      <c r="AR42" s="29">
        <f>IFERROR(IF(VLOOKUP(CONCATENATE($B42,AR$2),Database!$B:$E,4,0)="L",6,5),"")</f>
        <v>5</v>
      </c>
      <c r="AS42" s="29">
        <f>IFERROR(IF(VLOOKUP(CONCATENATE($B42,AS$2),Database!$B:$E,4,0)="L",6,5),"")</f>
        <v>5</v>
      </c>
      <c r="AT42" s="29">
        <f>IFERROR(IF(VLOOKUP(CONCATENATE($B42,AT$2),Database!$B:$E,4,0)="L",6,5),"")</f>
        <v>6</v>
      </c>
      <c r="AU42" s="29">
        <f>IFERROR(IF(VLOOKUP(CONCATENATE($B42,AU$2),Database!$B:$E,4,0)="L",6,5),"")</f>
        <v>5</v>
      </c>
      <c r="AV42" s="29">
        <f>IFERROR(IF(VLOOKUP(CONCATENATE($B42,AV$2),Database!$B:$E,4,0)="L",6,5),"")</f>
        <v>6</v>
      </c>
      <c r="AW42" s="29">
        <f>IFERROR(IF(VLOOKUP(CONCATENATE($B42,AW$2),Database!$B:$E,4,0)="L",6,5),"")</f>
        <v>6</v>
      </c>
      <c r="AX42" s="29">
        <f>IFERROR(IF(VLOOKUP(CONCATENATE($B42,AX$2),Database!$B:$E,4,0)="L",6,5),"")</f>
        <v>6</v>
      </c>
      <c r="AY42" s="29">
        <f>IFERROR(IF(VLOOKUP(CONCATENATE($B42,AY$2),Database!$B:$E,4,0)="L",6,5),"")</f>
        <v>6</v>
      </c>
      <c r="AZ42" s="29">
        <f>IFERROR(IF(VLOOKUP(CONCATENATE($B42,AZ$2),Database!$B:$E,4,0)="L",6,5),"")</f>
        <v>5</v>
      </c>
      <c r="BA42" s="29">
        <f>IFERROR(IF(VLOOKUP(CONCATENATE($B42,BA$2),Database!$B:$E,4,0)="L",6,5),"")</f>
        <v>5</v>
      </c>
      <c r="BB42" s="29">
        <f>IFERROR(IF(VLOOKUP(CONCATENATE($B42,BB$2),Database!$B:$E,4,0)="L",6,5),"")</f>
        <v>5</v>
      </c>
      <c r="BC42" s="29" t="str">
        <f>IFERROR(IF(VLOOKUP(CONCATENATE($B42,BC$2),Database!$B:$E,4,0)="L",6,5),"")</f>
        <v/>
      </c>
      <c r="BD42" s="29" t="str">
        <f>IFERROR(IF(VLOOKUP(CONCATENATE($B42,BD$2),Database!$B:$E,4,0)="L",6,5),"")</f>
        <v/>
      </c>
      <c r="BE42" s="29" t="str">
        <f>IFERROR(IF(VLOOKUP(CONCATENATE($B42,BE$2),Database!$B:$E,4,0)="L",6,5),"")</f>
        <v/>
      </c>
      <c r="BF42" s="29" t="str">
        <f>IFERROR(IF(VLOOKUP(CONCATENATE($B42,BF$2),Database!$B:$E,4,0)="L",6,5),"")</f>
        <v/>
      </c>
      <c r="BG42" s="29" t="str">
        <f>IFERROR(IF(VLOOKUP(CONCATENATE($B42,BG$2),Database!$B:$E,4,0)="L",6,5),"")</f>
        <v/>
      </c>
      <c r="BH42" s="29" t="str">
        <f>IFERROR(IF(VLOOKUP(CONCATENATE($B42,BH$2),Database!$B:$E,4,0)="L",6,5),"")</f>
        <v/>
      </c>
      <c r="BI42" s="29" t="str">
        <f>IFERROR(IF(VLOOKUP(CONCATENATE($B42,BI$2),Database!$B:$E,4,0)="L",6,5),"")</f>
        <v/>
      </c>
      <c r="BJ42" s="29" t="str">
        <f>IFERROR(IF(VLOOKUP(CONCATENATE($B42,BJ$2),Database!$B:$E,4,0)="L",6,5),"")</f>
        <v/>
      </c>
      <c r="BK42" s="29" t="str">
        <f>IFERROR(IF(VLOOKUP(CONCATENATE($B42,BK$2),Database!$B:$E,4,0)="L",6,5),"")</f>
        <v/>
      </c>
      <c r="BL42" s="29" t="str">
        <f>IFERROR(IF(VLOOKUP(CONCATENATE($B42,BL$2),Database!$B:$E,4,0)="L",6,5),"")</f>
        <v/>
      </c>
      <c r="BM42" s="29" t="str">
        <f>IFERROR(IF(VLOOKUP(CONCATENATE($B42,BM$2),Database!$B:$E,4,0)="L",6,5),"")</f>
        <v/>
      </c>
      <c r="BN42" s="29" t="str">
        <f>IFERROR(IF(VLOOKUP(CONCATENATE($B42,BN$2),Database!$B:$E,4,0)="L",6,5),"")</f>
        <v/>
      </c>
      <c r="BO42" s="29" t="str">
        <f>IFERROR(IF(VLOOKUP(CONCATENATE($B42,BO$2),Database!$B:$E,4,0)="L",6,5),"")</f>
        <v/>
      </c>
      <c r="BP42" s="29" t="str">
        <f>IFERROR(IF(VLOOKUP(CONCATENATE($B42,BP$2),Database!$B:$E,4,0)="L",6,5),"")</f>
        <v/>
      </c>
      <c r="BQ42" s="29" t="str">
        <f>IFERROR(IF(VLOOKUP(CONCATENATE($B42,BQ$2),Database!$B:$E,4,0)="L",6,5),"")</f>
        <v/>
      </c>
      <c r="BR42" s="29" t="str">
        <f>IFERROR(IF(VLOOKUP(CONCATENATE($B42,BR$2),Database!$B:$E,4,0)="L",6,5),"")</f>
        <v/>
      </c>
      <c r="BS42" s="29" t="str">
        <f>IFERROR(IF(VLOOKUP(CONCATENATE($B42,BS$2),Database!$B:$E,4,0)="L",6,5),"")</f>
        <v/>
      </c>
      <c r="BT42" s="29" t="str">
        <f>IFERROR(IF(VLOOKUP(CONCATENATE($B42,BT$2),Database!$B:$E,4,0)="L",6,5),"")</f>
        <v/>
      </c>
      <c r="BU42" s="29" t="str">
        <f>IFERROR(IF(VLOOKUP(CONCATENATE($B42,BU$2),Database!$B:$E,4,0)="L",6,5),"")</f>
        <v/>
      </c>
      <c r="BV42" s="29" t="str">
        <f>IFERROR(IF(VLOOKUP(CONCATENATE($B42,BV$2),Database!$B:$E,4,0)="L",6,5),"")</f>
        <v/>
      </c>
      <c r="BW42" s="29" t="str">
        <f>IFERROR(IF(VLOOKUP(CONCATENATE($B42,BW$2),Database!$B:$E,4,0)="L",6,5),"")</f>
        <v/>
      </c>
      <c r="BX42" s="29" t="str">
        <f>IFERROR(IF(VLOOKUP(CONCATENATE($B42,BX$2),Database!$B:$E,4,0)="L",6,5),"")</f>
        <v/>
      </c>
      <c r="BY42" s="29" t="str">
        <f>IFERROR(IF(VLOOKUP(CONCATENATE($B42,BY$2),Database!$B:$E,4,0)="L",6,5),"")</f>
        <v/>
      </c>
      <c r="BZ42" s="29" t="str">
        <f>IFERROR(IF(VLOOKUP(CONCATENATE($B42,BZ$2),Database!$B:$E,4,0)="L",6,5),"")</f>
        <v/>
      </c>
    </row>
    <row r="43" spans="2:78" ht="14.3" x14ac:dyDescent="0.3">
      <c r="B43" s="19" t="s">
        <v>43</v>
      </c>
      <c r="C43" s="16">
        <f>COUNTIFS(Database!$D:$D,$B43,Database!$C:$C,"&gt;1/1/25")</f>
        <v>0</v>
      </c>
      <c r="D43" s="1">
        <f>COUNTIFS(Database!$D:$D,$B43,Database!$E:$E,"W",Database!$C:$C,"&gt;1/1/25")</f>
        <v>0</v>
      </c>
      <c r="E43" s="1">
        <f>COUNTIFS(Database!$D:$D,$B43,Database!$E:$E,"L",Database!$C:$C,"&gt;1/1/25")</f>
        <v>0</v>
      </c>
      <c r="F43" s="1">
        <f t="shared" si="9"/>
        <v>0</v>
      </c>
      <c r="G43" s="21" t="str">
        <f t="shared" si="10"/>
        <v>-</v>
      </c>
      <c r="H43" s="14" t="str">
        <f t="shared" si="11"/>
        <v>-</v>
      </c>
      <c r="J43" s="16">
        <f>COUNTIF(Database!$D:$D,$B43)</f>
        <v>10</v>
      </c>
      <c r="K43" s="1">
        <f>COUNTIFS(Database!$D:$D,$B43,Database!$E:$E,"W")</f>
        <v>6</v>
      </c>
      <c r="L43" s="1">
        <f>COUNTIFS(Database!$D:$D,$B43,Database!$E:$E,"L")</f>
        <v>4</v>
      </c>
      <c r="M43" s="1">
        <f t="shared" si="12"/>
        <v>2</v>
      </c>
      <c r="N43" s="21">
        <f t="shared" si="13"/>
        <v>0.6</v>
      </c>
      <c r="O43" s="14">
        <f t="shared" si="14"/>
        <v>0.4</v>
      </c>
      <c r="Q43" s="28">
        <f>IFERROR(IF(VLOOKUP(CONCATENATE($B43,Q$2),Database!$B:$E,4,0)="L",6,5),"")</f>
        <v>5</v>
      </c>
      <c r="R43" s="23">
        <f>IFERROR(IF(VLOOKUP(CONCATENATE($B43,R$2),Database!$B:$E,4,0)="L",6,5),"")</f>
        <v>6</v>
      </c>
      <c r="S43" s="23">
        <f>IFERROR(IF(VLOOKUP(CONCATENATE($B43,S$2),Database!$B:$E,4,0)="L",6,5),"")</f>
        <v>5</v>
      </c>
      <c r="T43" s="23">
        <f>IFERROR(IF(VLOOKUP(CONCATENATE($B43,T$2),Database!$B:$E,4,0)="L",6,5),"")</f>
        <v>5</v>
      </c>
      <c r="U43" s="29">
        <f>IFERROR(IF(VLOOKUP(CONCATENATE($B43,U$2),Database!$B:$E,4,0)="L",6,5),"")</f>
        <v>5</v>
      </c>
      <c r="V43" s="55"/>
      <c r="W43" s="56"/>
      <c r="X43" s="63"/>
      <c r="Z43" s="63" t="str">
        <f t="shared" si="8"/>
        <v>Y</v>
      </c>
      <c r="AB43" s="29">
        <f>IFERROR(IF(VLOOKUP(CONCATENATE($B43,AB$2),Database!$B:$E,4,0)="L",6,5),"")</f>
        <v>5</v>
      </c>
      <c r="AC43" s="29">
        <f>IFERROR(IF(VLOOKUP(CONCATENATE($B43,AC$2),Database!$B:$E,4,0)="L",6,5),"")</f>
        <v>5</v>
      </c>
      <c r="AD43" s="29">
        <f>IFERROR(IF(VLOOKUP(CONCATENATE($B43,AD$2),Database!$B:$E,4,0)="L",6,5),"")</f>
        <v>5</v>
      </c>
      <c r="AE43" s="29">
        <f>IFERROR(IF(VLOOKUP(CONCATENATE($B43,AE$2),Database!$B:$E,4,0)="L",6,5),"")</f>
        <v>6</v>
      </c>
      <c r="AF43" s="29">
        <f>IFERROR(IF(VLOOKUP(CONCATENATE($B43,AF$2),Database!$B:$E,4,0)="L",6,5),"")</f>
        <v>5</v>
      </c>
      <c r="AG43" s="29">
        <f>IFERROR(IF(VLOOKUP(CONCATENATE($B43,AG$2),Database!$B:$E,4,0)="L",6,5),"")</f>
        <v>6</v>
      </c>
      <c r="AH43" s="29">
        <f>IFERROR(IF(VLOOKUP(CONCATENATE($B43,AH$2),Database!$B:$E,4,0)="L",6,5),"")</f>
        <v>5</v>
      </c>
      <c r="AI43" s="29">
        <f>IFERROR(IF(VLOOKUP(CONCATENATE($B43,AI$2),Database!$B:$E,4,0)="L",6,5),"")</f>
        <v>5</v>
      </c>
      <c r="AJ43" s="29">
        <f>IFERROR(IF(VLOOKUP(CONCATENATE($B43,AJ$2),Database!$B:$E,4,0)="L",6,5),"")</f>
        <v>6</v>
      </c>
      <c r="AK43" s="29">
        <f>IFERROR(IF(VLOOKUP(CONCATENATE($B43,AK$2),Database!$B:$E,4,0)="L",6,5),"")</f>
        <v>6</v>
      </c>
      <c r="AL43" s="29" t="str">
        <f>IFERROR(IF(VLOOKUP(CONCATENATE($B43,AL$2),Database!$B:$E,4,0)="L",6,5),"")</f>
        <v/>
      </c>
      <c r="AM43" s="29" t="str">
        <f>IFERROR(IF(VLOOKUP(CONCATENATE($B43,AM$2),Database!$B:$E,4,0)="L",6,5),"")</f>
        <v/>
      </c>
      <c r="AN43" s="29" t="str">
        <f>IFERROR(IF(VLOOKUP(CONCATENATE($B43,AN$2),Database!$B:$E,4,0)="L",6,5),"")</f>
        <v/>
      </c>
      <c r="AO43" s="29" t="str">
        <f>IFERROR(IF(VLOOKUP(CONCATENATE($B43,AO$2),Database!$B:$E,4,0)="L",6,5),"")</f>
        <v/>
      </c>
      <c r="AP43" s="29" t="str">
        <f>IFERROR(IF(VLOOKUP(CONCATENATE($B43,AP$2),Database!$B:$E,4,0)="L",6,5),"")</f>
        <v/>
      </c>
      <c r="AQ43" s="29" t="str">
        <f>IFERROR(IF(VLOOKUP(CONCATENATE($B43,AQ$2),Database!$B:$E,4,0)="L",6,5),"")</f>
        <v/>
      </c>
      <c r="AR43" s="29" t="str">
        <f>IFERROR(IF(VLOOKUP(CONCATENATE($B43,AR$2),Database!$B:$E,4,0)="L",6,5),"")</f>
        <v/>
      </c>
      <c r="AS43" s="29" t="str">
        <f>IFERROR(IF(VLOOKUP(CONCATENATE($B43,AS$2),Database!$B:$E,4,0)="L",6,5),"")</f>
        <v/>
      </c>
      <c r="AT43" s="29" t="str">
        <f>IFERROR(IF(VLOOKUP(CONCATENATE($B43,AT$2),Database!$B:$E,4,0)="L",6,5),"")</f>
        <v/>
      </c>
      <c r="AU43" s="29" t="str">
        <f>IFERROR(IF(VLOOKUP(CONCATENATE($B43,AU$2),Database!$B:$E,4,0)="L",6,5),"")</f>
        <v/>
      </c>
      <c r="AV43" s="29" t="str">
        <f>IFERROR(IF(VLOOKUP(CONCATENATE($B43,AV$2),Database!$B:$E,4,0)="L",6,5),"")</f>
        <v/>
      </c>
      <c r="AW43" s="29" t="str">
        <f>IFERROR(IF(VLOOKUP(CONCATENATE($B43,AW$2),Database!$B:$E,4,0)="L",6,5),"")</f>
        <v/>
      </c>
      <c r="AX43" s="29" t="str">
        <f>IFERROR(IF(VLOOKUP(CONCATENATE($B43,AX$2),Database!$B:$E,4,0)="L",6,5),"")</f>
        <v/>
      </c>
      <c r="AY43" s="29" t="str">
        <f>IFERROR(IF(VLOOKUP(CONCATENATE($B43,AY$2),Database!$B:$E,4,0)="L",6,5),"")</f>
        <v/>
      </c>
      <c r="AZ43" s="29" t="str">
        <f>IFERROR(IF(VLOOKUP(CONCATENATE($B43,AZ$2),Database!$B:$E,4,0)="L",6,5),"")</f>
        <v/>
      </c>
      <c r="BA43" s="29" t="str">
        <f>IFERROR(IF(VLOOKUP(CONCATENATE($B43,BA$2),Database!$B:$E,4,0)="L",6,5),"")</f>
        <v/>
      </c>
      <c r="BB43" s="29" t="str">
        <f>IFERROR(IF(VLOOKUP(CONCATENATE($B43,BB$2),Database!$B:$E,4,0)="L",6,5),"")</f>
        <v/>
      </c>
      <c r="BC43" s="29" t="str">
        <f>IFERROR(IF(VLOOKUP(CONCATENATE($B43,BC$2),Database!$B:$E,4,0)="L",6,5),"")</f>
        <v/>
      </c>
      <c r="BD43" s="29" t="str">
        <f>IFERROR(IF(VLOOKUP(CONCATENATE($B43,BD$2),Database!$B:$E,4,0)="L",6,5),"")</f>
        <v/>
      </c>
      <c r="BE43" s="29" t="str">
        <f>IFERROR(IF(VLOOKUP(CONCATENATE($B43,BE$2),Database!$B:$E,4,0)="L",6,5),"")</f>
        <v/>
      </c>
      <c r="BF43" s="29" t="str">
        <f>IFERROR(IF(VLOOKUP(CONCATENATE($B43,BF$2),Database!$B:$E,4,0)="L",6,5),"")</f>
        <v/>
      </c>
      <c r="BG43" s="29" t="str">
        <f>IFERROR(IF(VLOOKUP(CONCATENATE($B43,BG$2),Database!$B:$E,4,0)="L",6,5),"")</f>
        <v/>
      </c>
      <c r="BH43" s="29" t="str">
        <f>IFERROR(IF(VLOOKUP(CONCATENATE($B43,BH$2),Database!$B:$E,4,0)="L",6,5),"")</f>
        <v/>
      </c>
      <c r="BI43" s="29" t="str">
        <f>IFERROR(IF(VLOOKUP(CONCATENATE($B43,BI$2),Database!$B:$E,4,0)="L",6,5),"")</f>
        <v/>
      </c>
      <c r="BJ43" s="29" t="str">
        <f>IFERROR(IF(VLOOKUP(CONCATENATE($B43,BJ$2),Database!$B:$E,4,0)="L",6,5),"")</f>
        <v/>
      </c>
      <c r="BK43" s="29" t="str">
        <f>IFERROR(IF(VLOOKUP(CONCATENATE($B43,BK$2),Database!$B:$E,4,0)="L",6,5),"")</f>
        <v/>
      </c>
      <c r="BL43" s="29" t="str">
        <f>IFERROR(IF(VLOOKUP(CONCATENATE($B43,BL$2),Database!$B:$E,4,0)="L",6,5),"")</f>
        <v/>
      </c>
      <c r="BM43" s="29" t="str">
        <f>IFERROR(IF(VLOOKUP(CONCATENATE($B43,BM$2),Database!$B:$E,4,0)="L",6,5),"")</f>
        <v/>
      </c>
      <c r="BN43" s="29" t="str">
        <f>IFERROR(IF(VLOOKUP(CONCATENATE($B43,BN$2),Database!$B:$E,4,0)="L",6,5),"")</f>
        <v/>
      </c>
      <c r="BO43" s="29" t="str">
        <f>IFERROR(IF(VLOOKUP(CONCATENATE($B43,BO$2),Database!$B:$E,4,0)="L",6,5),"")</f>
        <v/>
      </c>
      <c r="BP43" s="29" t="str">
        <f>IFERROR(IF(VLOOKUP(CONCATENATE($B43,BP$2),Database!$B:$E,4,0)="L",6,5),"")</f>
        <v/>
      </c>
      <c r="BQ43" s="29" t="str">
        <f>IFERROR(IF(VLOOKUP(CONCATENATE($B43,BQ$2),Database!$B:$E,4,0)="L",6,5),"")</f>
        <v/>
      </c>
      <c r="BR43" s="29" t="str">
        <f>IFERROR(IF(VLOOKUP(CONCATENATE($B43,BR$2),Database!$B:$E,4,0)="L",6,5),"")</f>
        <v/>
      </c>
      <c r="BS43" s="29" t="str">
        <f>IFERROR(IF(VLOOKUP(CONCATENATE($B43,BS$2),Database!$B:$E,4,0)="L",6,5),"")</f>
        <v/>
      </c>
      <c r="BT43" s="29" t="str">
        <f>IFERROR(IF(VLOOKUP(CONCATENATE($B43,BT$2),Database!$B:$E,4,0)="L",6,5),"")</f>
        <v/>
      </c>
      <c r="BU43" s="29" t="str">
        <f>IFERROR(IF(VLOOKUP(CONCATENATE($B43,BU$2),Database!$B:$E,4,0)="L",6,5),"")</f>
        <v/>
      </c>
      <c r="BV43" s="29" t="str">
        <f>IFERROR(IF(VLOOKUP(CONCATENATE($B43,BV$2),Database!$B:$E,4,0)="L",6,5),"")</f>
        <v/>
      </c>
      <c r="BW43" s="29" t="str">
        <f>IFERROR(IF(VLOOKUP(CONCATENATE($B43,BW$2),Database!$B:$E,4,0)="L",6,5),"")</f>
        <v/>
      </c>
      <c r="BX43" s="29" t="str">
        <f>IFERROR(IF(VLOOKUP(CONCATENATE($B43,BX$2),Database!$B:$E,4,0)="L",6,5),"")</f>
        <v/>
      </c>
      <c r="BY43" s="29" t="str">
        <f>IFERROR(IF(VLOOKUP(CONCATENATE($B43,BY$2),Database!$B:$E,4,0)="L",6,5),"")</f>
        <v/>
      </c>
      <c r="BZ43" s="29" t="str">
        <f>IFERROR(IF(VLOOKUP(CONCATENATE($B43,BZ$2),Database!$B:$E,4,0)="L",6,5),"")</f>
        <v/>
      </c>
    </row>
    <row r="44" spans="2:78" ht="14.3" x14ac:dyDescent="0.3">
      <c r="B44" s="19" t="s">
        <v>33</v>
      </c>
      <c r="C44" s="16">
        <f>COUNTIFS(Database!$D:$D,$B44,Database!$C:$C,"&gt;1/1/25")</f>
        <v>0</v>
      </c>
      <c r="D44" s="1">
        <f>COUNTIFS(Database!$D:$D,$B44,Database!$E:$E,"W",Database!$C:$C,"&gt;1/1/25")</f>
        <v>0</v>
      </c>
      <c r="E44" s="1">
        <f>COUNTIFS(Database!$D:$D,$B44,Database!$E:$E,"L",Database!$C:$C,"&gt;1/1/25")</f>
        <v>0</v>
      </c>
      <c r="F44" s="1">
        <f t="shared" si="9"/>
        <v>0</v>
      </c>
      <c r="G44" s="21" t="str">
        <f t="shared" si="10"/>
        <v>-</v>
      </c>
      <c r="H44" s="14" t="str">
        <f t="shared" si="11"/>
        <v>-</v>
      </c>
      <c r="J44" s="16">
        <f>COUNTIF(Database!$D:$D,$B44)</f>
        <v>14</v>
      </c>
      <c r="K44" s="1">
        <f>COUNTIFS(Database!$D:$D,$B44,Database!$E:$E,"W")</f>
        <v>7</v>
      </c>
      <c r="L44" s="1">
        <f>COUNTIFS(Database!$D:$D,$B44,Database!$E:$E,"L")</f>
        <v>7</v>
      </c>
      <c r="M44" s="1">
        <f t="shared" si="12"/>
        <v>0</v>
      </c>
      <c r="N44" s="21">
        <f t="shared" si="13"/>
        <v>0.5</v>
      </c>
      <c r="O44" s="14">
        <f t="shared" si="14"/>
        <v>0.5</v>
      </c>
      <c r="Q44" s="28">
        <f>IFERROR(IF(VLOOKUP(CONCATENATE($B44,Q$2),Database!$B:$E,4,0)="L",6,5),"")</f>
        <v>6</v>
      </c>
      <c r="R44" s="23">
        <f>IFERROR(IF(VLOOKUP(CONCATENATE($B44,R$2),Database!$B:$E,4,0)="L",6,5),"")</f>
        <v>5</v>
      </c>
      <c r="S44" s="23">
        <f>IFERROR(IF(VLOOKUP(CONCATENATE($B44,S$2),Database!$B:$E,4,0)="L",6,5),"")</f>
        <v>5</v>
      </c>
      <c r="T44" s="23">
        <f>IFERROR(IF(VLOOKUP(CONCATENATE($B44,T$2),Database!$B:$E,4,0)="L",6,5),"")</f>
        <v>6</v>
      </c>
      <c r="U44" s="29">
        <f>IFERROR(IF(VLOOKUP(CONCATENATE($B44,U$2),Database!$B:$E,4,0)="L",6,5),"")</f>
        <v>6</v>
      </c>
      <c r="V44" s="55"/>
      <c r="W44" s="57"/>
      <c r="X44" s="63"/>
      <c r="Z44" s="63" t="str">
        <f t="shared" si="8"/>
        <v>Y</v>
      </c>
      <c r="AB44" s="29">
        <f>IFERROR(IF(VLOOKUP(CONCATENATE($B44,AB$2),Database!$B:$E,4,0)="L",6,5),"")</f>
        <v>6</v>
      </c>
      <c r="AC44" s="29">
        <f>IFERROR(IF(VLOOKUP(CONCATENATE($B44,AC$2),Database!$B:$E,4,0)="L",6,5),"")</f>
        <v>6</v>
      </c>
      <c r="AD44" s="29">
        <f>IFERROR(IF(VLOOKUP(CONCATENATE($B44,AD$2),Database!$B:$E,4,0)="L",6,5),"")</f>
        <v>5</v>
      </c>
      <c r="AE44" s="29">
        <f>IFERROR(IF(VLOOKUP(CONCATENATE($B44,AE$2),Database!$B:$E,4,0)="L",6,5),"")</f>
        <v>5</v>
      </c>
      <c r="AF44" s="29">
        <f>IFERROR(IF(VLOOKUP(CONCATENATE($B44,AF$2),Database!$B:$E,4,0)="L",6,5),"")</f>
        <v>6</v>
      </c>
      <c r="AG44" s="29">
        <f>IFERROR(IF(VLOOKUP(CONCATENATE($B44,AG$2),Database!$B:$E,4,0)="L",6,5),"")</f>
        <v>6</v>
      </c>
      <c r="AH44" s="29">
        <f>IFERROR(IF(VLOOKUP(CONCATENATE($B44,AH$2),Database!$B:$E,4,0)="L",6,5),"")</f>
        <v>6</v>
      </c>
      <c r="AI44" s="29">
        <f>IFERROR(IF(VLOOKUP(CONCATENATE($B44,AI$2),Database!$B:$E,4,0)="L",6,5),"")</f>
        <v>5</v>
      </c>
      <c r="AJ44" s="29">
        <f>IFERROR(IF(VLOOKUP(CONCATENATE($B44,AJ$2),Database!$B:$E,4,0)="L",6,5),"")</f>
        <v>5</v>
      </c>
      <c r="AK44" s="29">
        <f>IFERROR(IF(VLOOKUP(CONCATENATE($B44,AK$2),Database!$B:$E,4,0)="L",6,5),"")</f>
        <v>5</v>
      </c>
      <c r="AL44" s="29">
        <f>IFERROR(IF(VLOOKUP(CONCATENATE($B44,AL$2),Database!$B:$E,4,0)="L",6,5),"")</f>
        <v>5</v>
      </c>
      <c r="AM44" s="29">
        <f>IFERROR(IF(VLOOKUP(CONCATENATE($B44,AM$2),Database!$B:$E,4,0)="L",6,5),"")</f>
        <v>6</v>
      </c>
      <c r="AN44" s="29">
        <f>IFERROR(IF(VLOOKUP(CONCATENATE($B44,AN$2),Database!$B:$E,4,0)="L",6,5),"")</f>
        <v>6</v>
      </c>
      <c r="AO44" s="29">
        <f>IFERROR(IF(VLOOKUP(CONCATENATE($B44,AO$2),Database!$B:$E,4,0)="L",6,5),"")</f>
        <v>5</v>
      </c>
      <c r="AP44" s="29" t="str">
        <f>IFERROR(IF(VLOOKUP(CONCATENATE($B44,AP$2),Database!$B:$E,4,0)="L",6,5),"")</f>
        <v/>
      </c>
      <c r="AQ44" s="29" t="str">
        <f>IFERROR(IF(VLOOKUP(CONCATENATE($B44,AQ$2),Database!$B:$E,4,0)="L",6,5),"")</f>
        <v/>
      </c>
      <c r="AR44" s="29" t="str">
        <f>IFERROR(IF(VLOOKUP(CONCATENATE($B44,AR$2),Database!$B:$E,4,0)="L",6,5),"")</f>
        <v/>
      </c>
      <c r="AS44" s="29" t="str">
        <f>IFERROR(IF(VLOOKUP(CONCATENATE($B44,AS$2),Database!$B:$E,4,0)="L",6,5),"")</f>
        <v/>
      </c>
      <c r="AT44" s="29" t="str">
        <f>IFERROR(IF(VLOOKUP(CONCATENATE($B44,AT$2),Database!$B:$E,4,0)="L",6,5),"")</f>
        <v/>
      </c>
      <c r="AU44" s="29" t="str">
        <f>IFERROR(IF(VLOOKUP(CONCATENATE($B44,AU$2),Database!$B:$E,4,0)="L",6,5),"")</f>
        <v/>
      </c>
      <c r="AV44" s="29" t="str">
        <f>IFERROR(IF(VLOOKUP(CONCATENATE($B44,AV$2),Database!$B:$E,4,0)="L",6,5),"")</f>
        <v/>
      </c>
      <c r="AW44" s="29" t="str">
        <f>IFERROR(IF(VLOOKUP(CONCATENATE($B44,AW$2),Database!$B:$E,4,0)="L",6,5),"")</f>
        <v/>
      </c>
      <c r="AX44" s="29" t="str">
        <f>IFERROR(IF(VLOOKUP(CONCATENATE($B44,AX$2),Database!$B:$E,4,0)="L",6,5),"")</f>
        <v/>
      </c>
      <c r="AY44" s="29" t="str">
        <f>IFERROR(IF(VLOOKUP(CONCATENATE($B44,AY$2),Database!$B:$E,4,0)="L",6,5),"")</f>
        <v/>
      </c>
      <c r="AZ44" s="29" t="str">
        <f>IFERROR(IF(VLOOKUP(CONCATENATE($B44,AZ$2),Database!$B:$E,4,0)="L",6,5),"")</f>
        <v/>
      </c>
      <c r="BA44" s="29" t="str">
        <f>IFERROR(IF(VLOOKUP(CONCATENATE($B44,BA$2),Database!$B:$E,4,0)="L",6,5),"")</f>
        <v/>
      </c>
      <c r="BB44" s="29" t="str">
        <f>IFERROR(IF(VLOOKUP(CONCATENATE($B44,BB$2),Database!$B:$E,4,0)="L",6,5),"")</f>
        <v/>
      </c>
      <c r="BC44" s="29" t="str">
        <f>IFERROR(IF(VLOOKUP(CONCATENATE($B44,BC$2),Database!$B:$E,4,0)="L",6,5),"")</f>
        <v/>
      </c>
      <c r="BD44" s="29" t="str">
        <f>IFERROR(IF(VLOOKUP(CONCATENATE($B44,BD$2),Database!$B:$E,4,0)="L",6,5),"")</f>
        <v/>
      </c>
      <c r="BE44" s="29" t="str">
        <f>IFERROR(IF(VLOOKUP(CONCATENATE($B44,BE$2),Database!$B:$E,4,0)="L",6,5),"")</f>
        <v/>
      </c>
      <c r="BF44" s="29" t="str">
        <f>IFERROR(IF(VLOOKUP(CONCATENATE($B44,BF$2),Database!$B:$E,4,0)="L",6,5),"")</f>
        <v/>
      </c>
      <c r="BG44" s="29" t="str">
        <f>IFERROR(IF(VLOOKUP(CONCATENATE($B44,BG$2),Database!$B:$E,4,0)="L",6,5),"")</f>
        <v/>
      </c>
      <c r="BH44" s="29" t="str">
        <f>IFERROR(IF(VLOOKUP(CONCATENATE($B44,BH$2),Database!$B:$E,4,0)="L",6,5),"")</f>
        <v/>
      </c>
      <c r="BI44" s="29" t="str">
        <f>IFERROR(IF(VLOOKUP(CONCATENATE($B44,BI$2),Database!$B:$E,4,0)="L",6,5),"")</f>
        <v/>
      </c>
      <c r="BJ44" s="29" t="str">
        <f>IFERROR(IF(VLOOKUP(CONCATENATE($B44,BJ$2),Database!$B:$E,4,0)="L",6,5),"")</f>
        <v/>
      </c>
      <c r="BK44" s="29" t="str">
        <f>IFERROR(IF(VLOOKUP(CONCATENATE($B44,BK$2),Database!$B:$E,4,0)="L",6,5),"")</f>
        <v/>
      </c>
      <c r="BL44" s="29" t="str">
        <f>IFERROR(IF(VLOOKUP(CONCATENATE($B44,BL$2),Database!$B:$E,4,0)="L",6,5),"")</f>
        <v/>
      </c>
      <c r="BM44" s="29" t="str">
        <f>IFERROR(IF(VLOOKUP(CONCATENATE($B44,BM$2),Database!$B:$E,4,0)="L",6,5),"")</f>
        <v/>
      </c>
      <c r="BN44" s="29" t="str">
        <f>IFERROR(IF(VLOOKUP(CONCATENATE($B44,BN$2),Database!$B:$E,4,0)="L",6,5),"")</f>
        <v/>
      </c>
      <c r="BO44" s="29" t="str">
        <f>IFERROR(IF(VLOOKUP(CONCATENATE($B44,BO$2),Database!$B:$E,4,0)="L",6,5),"")</f>
        <v/>
      </c>
      <c r="BP44" s="29" t="str">
        <f>IFERROR(IF(VLOOKUP(CONCATENATE($B44,BP$2),Database!$B:$E,4,0)="L",6,5),"")</f>
        <v/>
      </c>
      <c r="BQ44" s="29" t="str">
        <f>IFERROR(IF(VLOOKUP(CONCATENATE($B44,BQ$2),Database!$B:$E,4,0)="L",6,5),"")</f>
        <v/>
      </c>
      <c r="BR44" s="29" t="str">
        <f>IFERROR(IF(VLOOKUP(CONCATENATE($B44,BR$2),Database!$B:$E,4,0)="L",6,5),"")</f>
        <v/>
      </c>
      <c r="BS44" s="29" t="str">
        <f>IFERROR(IF(VLOOKUP(CONCATENATE($B44,BS$2),Database!$B:$E,4,0)="L",6,5),"")</f>
        <v/>
      </c>
      <c r="BT44" s="29" t="str">
        <f>IFERROR(IF(VLOOKUP(CONCATENATE($B44,BT$2),Database!$B:$E,4,0)="L",6,5),"")</f>
        <v/>
      </c>
      <c r="BU44" s="29" t="str">
        <f>IFERROR(IF(VLOOKUP(CONCATENATE($B44,BU$2),Database!$B:$E,4,0)="L",6,5),"")</f>
        <v/>
      </c>
      <c r="BV44" s="29" t="str">
        <f>IFERROR(IF(VLOOKUP(CONCATENATE($B44,BV$2),Database!$B:$E,4,0)="L",6,5),"")</f>
        <v/>
      </c>
      <c r="BW44" s="29" t="str">
        <f>IFERROR(IF(VLOOKUP(CONCATENATE($B44,BW$2),Database!$B:$E,4,0)="L",6,5),"")</f>
        <v/>
      </c>
      <c r="BX44" s="29" t="str">
        <f>IFERROR(IF(VLOOKUP(CONCATENATE($B44,BX$2),Database!$B:$E,4,0)="L",6,5),"")</f>
        <v/>
      </c>
      <c r="BY44" s="29" t="str">
        <f>IFERROR(IF(VLOOKUP(CONCATENATE($B44,BY$2),Database!$B:$E,4,0)="L",6,5),"")</f>
        <v/>
      </c>
      <c r="BZ44" s="29" t="str">
        <f>IFERROR(IF(VLOOKUP(CONCATENATE($B44,BZ$2),Database!$B:$E,4,0)="L",6,5),"")</f>
        <v/>
      </c>
    </row>
    <row r="45" spans="2:78" ht="14.3" x14ac:dyDescent="0.3">
      <c r="B45" s="19" t="s">
        <v>58</v>
      </c>
      <c r="C45" s="16">
        <f>COUNTIFS(Database!$D:$D,$B45,Database!$C:$C,"&gt;1/1/25")</f>
        <v>0</v>
      </c>
      <c r="D45" s="1">
        <f>COUNTIFS(Database!$D:$D,$B45,Database!$E:$E,"W",Database!$C:$C,"&gt;1/1/25")</f>
        <v>0</v>
      </c>
      <c r="E45" s="1">
        <f>COUNTIFS(Database!$D:$D,$B45,Database!$E:$E,"L",Database!$C:$C,"&gt;1/1/25")</f>
        <v>0</v>
      </c>
      <c r="F45" s="1">
        <f t="shared" si="9"/>
        <v>0</v>
      </c>
      <c r="G45" s="21" t="str">
        <f t="shared" si="10"/>
        <v>-</v>
      </c>
      <c r="H45" s="14" t="str">
        <f t="shared" si="11"/>
        <v>-</v>
      </c>
      <c r="J45" s="16">
        <f>COUNTIF(Database!$D:$D,$B45)</f>
        <v>36</v>
      </c>
      <c r="K45" s="1">
        <f>COUNTIFS(Database!$D:$D,$B45,Database!$E:$E,"W")</f>
        <v>17</v>
      </c>
      <c r="L45" s="1">
        <f>COUNTIFS(Database!$D:$D,$B45,Database!$E:$E,"L")</f>
        <v>19</v>
      </c>
      <c r="M45" s="1">
        <f t="shared" si="12"/>
        <v>-2</v>
      </c>
      <c r="N45" s="21">
        <f t="shared" si="13"/>
        <v>0.47222222222222221</v>
      </c>
      <c r="O45" s="14">
        <f t="shared" si="14"/>
        <v>0.52777777777777779</v>
      </c>
      <c r="Q45" s="28">
        <f>IFERROR(IF(VLOOKUP(CONCATENATE($B45,Q$2),Database!$B:$E,4,0)="L",6,5),"")</f>
        <v>6</v>
      </c>
      <c r="R45" s="23">
        <f>IFERROR(IF(VLOOKUP(CONCATENATE($B45,R$2),Database!$B:$E,4,0)="L",6,5),"")</f>
        <v>6</v>
      </c>
      <c r="S45" s="23">
        <f>IFERROR(IF(VLOOKUP(CONCATENATE($B45,S$2),Database!$B:$E,4,0)="L",6,5),"")</f>
        <v>5</v>
      </c>
      <c r="T45" s="23">
        <f>IFERROR(IF(VLOOKUP(CONCATENATE($B45,T$2),Database!$B:$E,4,0)="L",6,5),"")</f>
        <v>5</v>
      </c>
      <c r="U45" s="29">
        <f>IFERROR(IF(VLOOKUP(CONCATENATE($B45,U$2),Database!$B:$E,4,0)="L",6,5),"")</f>
        <v>5</v>
      </c>
      <c r="V45" s="55"/>
      <c r="W45" s="62" t="s">
        <v>14</v>
      </c>
      <c r="X45" s="63"/>
      <c r="Z45" s="63" t="str">
        <f t="shared" si="8"/>
        <v>Y</v>
      </c>
      <c r="AB45" s="29">
        <f>IFERROR(IF(VLOOKUP(CONCATENATE($B45,AB$2),Database!$B:$E,4,0)="L",6,5),"")</f>
        <v>5</v>
      </c>
      <c r="AC45" s="29">
        <f>IFERROR(IF(VLOOKUP(CONCATENATE($B45,AC$2),Database!$B:$E,4,0)="L",6,5),"")</f>
        <v>5</v>
      </c>
      <c r="AD45" s="29">
        <f>IFERROR(IF(VLOOKUP(CONCATENATE($B45,AD$2),Database!$B:$E,4,0)="L",6,5),"")</f>
        <v>5</v>
      </c>
      <c r="AE45" s="29">
        <f>IFERROR(IF(VLOOKUP(CONCATENATE($B45,AE$2),Database!$B:$E,4,0)="L",6,5),"")</f>
        <v>6</v>
      </c>
      <c r="AF45" s="29">
        <f>IFERROR(IF(VLOOKUP(CONCATENATE($B45,AF$2),Database!$B:$E,4,0)="L",6,5),"")</f>
        <v>6</v>
      </c>
      <c r="AG45" s="29">
        <f>IFERROR(IF(VLOOKUP(CONCATENATE($B45,AG$2),Database!$B:$E,4,0)="L",6,5),"")</f>
        <v>5</v>
      </c>
      <c r="AH45" s="29">
        <f>IFERROR(IF(VLOOKUP(CONCATENATE($B45,AH$2),Database!$B:$E,4,0)="L",6,5),"")</f>
        <v>6</v>
      </c>
      <c r="AI45" s="29">
        <f>IFERROR(IF(VLOOKUP(CONCATENATE($B45,AI$2),Database!$B:$E,4,0)="L",6,5),"")</f>
        <v>6</v>
      </c>
      <c r="AJ45" s="29">
        <f>IFERROR(IF(VLOOKUP(CONCATENATE($B45,AJ$2),Database!$B:$E,4,0)="L",6,5),"")</f>
        <v>5</v>
      </c>
      <c r="AK45" s="29">
        <f>IFERROR(IF(VLOOKUP(CONCATENATE($B45,AK$2),Database!$B:$E,4,0)="L",6,5),"")</f>
        <v>6</v>
      </c>
      <c r="AL45" s="29">
        <f>IFERROR(IF(VLOOKUP(CONCATENATE($B45,AL$2),Database!$B:$E,4,0)="L",6,5),"")</f>
        <v>5</v>
      </c>
      <c r="AM45" s="29">
        <f>IFERROR(IF(VLOOKUP(CONCATENATE($B45,AM$2),Database!$B:$E,4,0)="L",6,5),"")</f>
        <v>5</v>
      </c>
      <c r="AN45" s="29">
        <f>IFERROR(IF(VLOOKUP(CONCATENATE($B45,AN$2),Database!$B:$E,4,0)="L",6,5),"")</f>
        <v>6</v>
      </c>
      <c r="AO45" s="29">
        <f>IFERROR(IF(VLOOKUP(CONCATENATE($B45,AO$2),Database!$B:$E,4,0)="L",6,5),"")</f>
        <v>6</v>
      </c>
      <c r="AP45" s="29">
        <f>IFERROR(IF(VLOOKUP(CONCATENATE($B45,AP$2),Database!$B:$E,4,0)="L",6,5),"")</f>
        <v>6</v>
      </c>
      <c r="AQ45" s="29">
        <f>IFERROR(IF(VLOOKUP(CONCATENATE($B45,AQ$2),Database!$B:$E,4,0)="L",6,5),"")</f>
        <v>6</v>
      </c>
      <c r="AR45" s="29">
        <f>IFERROR(IF(VLOOKUP(CONCATENATE($B45,AR$2),Database!$B:$E,4,0)="L",6,5),"")</f>
        <v>5</v>
      </c>
      <c r="AS45" s="29">
        <f>IFERROR(IF(VLOOKUP(CONCATENATE($B45,AS$2),Database!$B:$E,4,0)="L",6,5),"")</f>
        <v>5</v>
      </c>
      <c r="AT45" s="29">
        <f>IFERROR(IF(VLOOKUP(CONCATENATE($B45,AT$2),Database!$B:$E,4,0)="L",6,5),"")</f>
        <v>5</v>
      </c>
      <c r="AU45" s="29">
        <f>IFERROR(IF(VLOOKUP(CONCATENATE($B45,AU$2),Database!$B:$E,4,0)="L",6,5),"")</f>
        <v>5</v>
      </c>
      <c r="AV45" s="29">
        <f>IFERROR(IF(VLOOKUP(CONCATENATE($B45,AV$2),Database!$B:$E,4,0)="L",6,5),"")</f>
        <v>5</v>
      </c>
      <c r="AW45" s="29">
        <f>IFERROR(IF(VLOOKUP(CONCATENATE($B45,AW$2),Database!$B:$E,4,0)="L",6,5),"")</f>
        <v>6</v>
      </c>
      <c r="AX45" s="29">
        <f>IFERROR(IF(VLOOKUP(CONCATENATE($B45,AX$2),Database!$B:$E,4,0)="L",6,5),"")</f>
        <v>5</v>
      </c>
      <c r="AY45" s="29">
        <f>IFERROR(IF(VLOOKUP(CONCATENATE($B45,AY$2),Database!$B:$E,4,0)="L",6,5),"")</f>
        <v>5</v>
      </c>
      <c r="AZ45" s="29">
        <f>IFERROR(IF(VLOOKUP(CONCATENATE($B45,AZ$2),Database!$B:$E,4,0)="L",6,5),"")</f>
        <v>6</v>
      </c>
      <c r="BA45" s="29">
        <f>IFERROR(IF(VLOOKUP(CONCATENATE($B45,BA$2),Database!$B:$E,4,0)="L",6,5),"")</f>
        <v>6</v>
      </c>
      <c r="BB45" s="29">
        <f>IFERROR(IF(VLOOKUP(CONCATENATE($B45,BB$2),Database!$B:$E,4,0)="L",6,5),"")</f>
        <v>6</v>
      </c>
      <c r="BC45" s="29">
        <f>IFERROR(IF(VLOOKUP(CONCATENATE($B45,BC$2),Database!$B:$E,4,0)="L",6,5),"")</f>
        <v>6</v>
      </c>
      <c r="BD45" s="29">
        <f>IFERROR(IF(VLOOKUP(CONCATENATE($B45,BD$2),Database!$B:$E,4,0)="L",6,5),"")</f>
        <v>5</v>
      </c>
      <c r="BE45" s="29">
        <f>IFERROR(IF(VLOOKUP(CONCATENATE($B45,BE$2),Database!$B:$E,4,0)="L",6,5),"")</f>
        <v>6</v>
      </c>
      <c r="BF45" s="29">
        <f>IFERROR(IF(VLOOKUP(CONCATENATE($B45,BF$2),Database!$B:$E,4,0)="L",6,5),"")</f>
        <v>5</v>
      </c>
      <c r="BG45" s="29">
        <f>IFERROR(IF(VLOOKUP(CONCATENATE($B45,BG$2),Database!$B:$E,4,0)="L",6,5),"")</f>
        <v>6</v>
      </c>
      <c r="BH45" s="29">
        <f>IFERROR(IF(VLOOKUP(CONCATENATE($B45,BH$2),Database!$B:$E,4,0)="L",6,5),"")</f>
        <v>6</v>
      </c>
      <c r="BI45" s="29">
        <f>IFERROR(IF(VLOOKUP(CONCATENATE($B45,BI$2),Database!$B:$E,4,0)="L",6,5),"")</f>
        <v>6</v>
      </c>
      <c r="BJ45" s="29">
        <f>IFERROR(IF(VLOOKUP(CONCATENATE($B45,BJ$2),Database!$B:$E,4,0)="L",6,5),"")</f>
        <v>5</v>
      </c>
      <c r="BK45" s="29">
        <f>IFERROR(IF(VLOOKUP(CONCATENATE($B45,BK$2),Database!$B:$E,4,0)="L",6,5),"")</f>
        <v>6</v>
      </c>
      <c r="BL45" s="29" t="str">
        <f>IFERROR(IF(VLOOKUP(CONCATENATE($B45,BL$2),Database!$B:$E,4,0)="L",6,5),"")</f>
        <v/>
      </c>
      <c r="BM45" s="29" t="str">
        <f>IFERROR(IF(VLOOKUP(CONCATENATE($B45,BM$2),Database!$B:$E,4,0)="L",6,5),"")</f>
        <v/>
      </c>
      <c r="BN45" s="29" t="str">
        <f>IFERROR(IF(VLOOKUP(CONCATENATE($B45,BN$2),Database!$B:$E,4,0)="L",6,5),"")</f>
        <v/>
      </c>
      <c r="BO45" s="29" t="str">
        <f>IFERROR(IF(VLOOKUP(CONCATENATE($B45,BO$2),Database!$B:$E,4,0)="L",6,5),"")</f>
        <v/>
      </c>
      <c r="BP45" s="29" t="str">
        <f>IFERROR(IF(VLOOKUP(CONCATENATE($B45,BP$2),Database!$B:$E,4,0)="L",6,5),"")</f>
        <v/>
      </c>
      <c r="BQ45" s="29" t="str">
        <f>IFERROR(IF(VLOOKUP(CONCATENATE($B45,BQ$2),Database!$B:$E,4,0)="L",6,5),"")</f>
        <v/>
      </c>
      <c r="BR45" s="29" t="str">
        <f>IFERROR(IF(VLOOKUP(CONCATENATE($B45,BR$2),Database!$B:$E,4,0)="L",6,5),"")</f>
        <v/>
      </c>
      <c r="BS45" s="29" t="str">
        <f>IFERROR(IF(VLOOKUP(CONCATENATE($B45,BS$2),Database!$B:$E,4,0)="L",6,5),"")</f>
        <v/>
      </c>
      <c r="BT45" s="29" t="str">
        <f>IFERROR(IF(VLOOKUP(CONCATENATE($B45,BT$2),Database!$B:$E,4,0)="L",6,5),"")</f>
        <v/>
      </c>
      <c r="BU45" s="29" t="str">
        <f>IFERROR(IF(VLOOKUP(CONCATENATE($B45,BU$2),Database!$B:$E,4,0)="L",6,5),"")</f>
        <v/>
      </c>
      <c r="BV45" s="29" t="str">
        <f>IFERROR(IF(VLOOKUP(CONCATENATE($B45,BV$2),Database!$B:$E,4,0)="L",6,5),"")</f>
        <v/>
      </c>
      <c r="BW45" s="29" t="str">
        <f>IFERROR(IF(VLOOKUP(CONCATENATE($B45,BW$2),Database!$B:$E,4,0)="L",6,5),"")</f>
        <v/>
      </c>
      <c r="BX45" s="29" t="str">
        <f>IFERROR(IF(VLOOKUP(CONCATENATE($B45,BX$2),Database!$B:$E,4,0)="L",6,5),"")</f>
        <v/>
      </c>
      <c r="BY45" s="29" t="str">
        <f>IFERROR(IF(VLOOKUP(CONCATENATE($B45,BY$2),Database!$B:$E,4,0)="L",6,5),"")</f>
        <v/>
      </c>
      <c r="BZ45" s="29" t="str">
        <f>IFERROR(IF(VLOOKUP(CONCATENATE($B45,BZ$2),Database!$B:$E,4,0)="L",6,5),"")</f>
        <v/>
      </c>
    </row>
    <row r="46" spans="2:78" ht="14.3" x14ac:dyDescent="0.3">
      <c r="B46" s="19" t="s">
        <v>56</v>
      </c>
      <c r="C46" s="16">
        <f>COUNTIFS(Database!$D:$D,$B46,Database!$C:$C,"&gt;1/1/25")</f>
        <v>0</v>
      </c>
      <c r="D46" s="1">
        <f>COUNTIFS(Database!$D:$D,$B46,Database!$E:$E,"W",Database!$C:$C,"&gt;1/1/25")</f>
        <v>0</v>
      </c>
      <c r="E46" s="1">
        <f>COUNTIFS(Database!$D:$D,$B46,Database!$E:$E,"L",Database!$C:$C,"&gt;1/1/25")</f>
        <v>0</v>
      </c>
      <c r="F46" s="1">
        <f t="shared" si="9"/>
        <v>0</v>
      </c>
      <c r="G46" s="21" t="str">
        <f t="shared" si="10"/>
        <v>-</v>
      </c>
      <c r="H46" s="14" t="str">
        <f t="shared" si="11"/>
        <v>-</v>
      </c>
      <c r="J46" s="16">
        <f>COUNTIF(Database!$D:$D,$B46)</f>
        <v>5</v>
      </c>
      <c r="K46" s="1">
        <f>COUNTIFS(Database!$D:$D,$B46,Database!$E:$E,"W")</f>
        <v>1</v>
      </c>
      <c r="L46" s="1">
        <f>COUNTIFS(Database!$D:$D,$B46,Database!$E:$E,"L")</f>
        <v>4</v>
      </c>
      <c r="M46" s="1">
        <f t="shared" si="12"/>
        <v>-3</v>
      </c>
      <c r="N46" s="21">
        <f t="shared" si="13"/>
        <v>0.2</v>
      </c>
      <c r="O46" s="14">
        <f t="shared" si="14"/>
        <v>0.8</v>
      </c>
      <c r="Q46" s="28">
        <f>IFERROR(IF(VLOOKUP(CONCATENATE($B46,Q$2),Database!$B:$E,4,0)="L",6,5),"")</f>
        <v>6</v>
      </c>
      <c r="R46" s="23">
        <f>IFERROR(IF(VLOOKUP(CONCATENATE($B46,R$2),Database!$B:$E,4,0)="L",6,5),"")</f>
        <v>6</v>
      </c>
      <c r="S46" s="23">
        <f>IFERROR(IF(VLOOKUP(CONCATENATE($B46,S$2),Database!$B:$E,4,0)="L",6,5),"")</f>
        <v>5</v>
      </c>
      <c r="T46" s="23">
        <f>IFERROR(IF(VLOOKUP(CONCATENATE($B46,T$2),Database!$B:$E,4,0)="L",6,5),"")</f>
        <v>6</v>
      </c>
      <c r="U46" s="29">
        <f>IFERROR(IF(VLOOKUP(CONCATENATE($B46,U$2),Database!$B:$E,4,0)="L",6,5),"")</f>
        <v>6</v>
      </c>
      <c r="V46" s="55"/>
      <c r="W46" s="56"/>
      <c r="X46" s="63"/>
      <c r="Z46" s="63" t="str">
        <f t="shared" si="8"/>
        <v>Y</v>
      </c>
      <c r="AB46" s="29">
        <f>IFERROR(IF(VLOOKUP(CONCATENATE($B46,AB$2),Database!$B:$E,4,0)="L",6,5),"")</f>
        <v>6</v>
      </c>
      <c r="AC46" s="29">
        <f>IFERROR(IF(VLOOKUP(CONCATENATE($B46,AC$2),Database!$B:$E,4,0)="L",6,5),"")</f>
        <v>6</v>
      </c>
      <c r="AD46" s="29">
        <f>IFERROR(IF(VLOOKUP(CONCATENATE($B46,AD$2),Database!$B:$E,4,0)="L",6,5),"")</f>
        <v>5</v>
      </c>
      <c r="AE46" s="29">
        <f>IFERROR(IF(VLOOKUP(CONCATENATE($B46,AE$2),Database!$B:$E,4,0)="L",6,5),"")</f>
        <v>6</v>
      </c>
      <c r="AF46" s="29">
        <f>IFERROR(IF(VLOOKUP(CONCATENATE($B46,AF$2),Database!$B:$E,4,0)="L",6,5),"")</f>
        <v>6</v>
      </c>
      <c r="AG46" s="29" t="str">
        <f>IFERROR(IF(VLOOKUP(CONCATENATE($B46,AG$2),Database!$B:$E,4,0)="L",6,5),"")</f>
        <v/>
      </c>
      <c r="AH46" s="29" t="str">
        <f>IFERROR(IF(VLOOKUP(CONCATENATE($B46,AH$2),Database!$B:$E,4,0)="L",6,5),"")</f>
        <v/>
      </c>
      <c r="AI46" s="29" t="str">
        <f>IFERROR(IF(VLOOKUP(CONCATENATE($B46,AI$2),Database!$B:$E,4,0)="L",6,5),"")</f>
        <v/>
      </c>
      <c r="AJ46" s="29" t="str">
        <f>IFERROR(IF(VLOOKUP(CONCATENATE($B46,AJ$2),Database!$B:$E,4,0)="L",6,5),"")</f>
        <v/>
      </c>
      <c r="AK46" s="29" t="str">
        <f>IFERROR(IF(VLOOKUP(CONCATENATE($B46,AK$2),Database!$B:$E,4,0)="L",6,5),"")</f>
        <v/>
      </c>
      <c r="AL46" s="29" t="str">
        <f>IFERROR(IF(VLOOKUP(CONCATENATE($B46,AL$2),Database!$B:$E,4,0)="L",6,5),"")</f>
        <v/>
      </c>
      <c r="AM46" s="29" t="str">
        <f>IFERROR(IF(VLOOKUP(CONCATENATE($B46,AM$2),Database!$B:$E,4,0)="L",6,5),"")</f>
        <v/>
      </c>
      <c r="AN46" s="29" t="str">
        <f>IFERROR(IF(VLOOKUP(CONCATENATE($B46,AN$2),Database!$B:$E,4,0)="L",6,5),"")</f>
        <v/>
      </c>
      <c r="AO46" s="29" t="str">
        <f>IFERROR(IF(VLOOKUP(CONCATENATE($B46,AO$2),Database!$B:$E,4,0)="L",6,5),"")</f>
        <v/>
      </c>
      <c r="AP46" s="29" t="str">
        <f>IFERROR(IF(VLOOKUP(CONCATENATE($B46,AP$2),Database!$B:$E,4,0)="L",6,5),"")</f>
        <v/>
      </c>
      <c r="AQ46" s="29" t="str">
        <f>IFERROR(IF(VLOOKUP(CONCATENATE($B46,AQ$2),Database!$B:$E,4,0)="L",6,5),"")</f>
        <v/>
      </c>
      <c r="AR46" s="29" t="str">
        <f>IFERROR(IF(VLOOKUP(CONCATENATE($B46,AR$2),Database!$B:$E,4,0)="L",6,5),"")</f>
        <v/>
      </c>
      <c r="AS46" s="29" t="str">
        <f>IFERROR(IF(VLOOKUP(CONCATENATE($B46,AS$2),Database!$B:$E,4,0)="L",6,5),"")</f>
        <v/>
      </c>
      <c r="AT46" s="29" t="str">
        <f>IFERROR(IF(VLOOKUP(CONCATENATE($B46,AT$2),Database!$B:$E,4,0)="L",6,5),"")</f>
        <v/>
      </c>
      <c r="AU46" s="29" t="str">
        <f>IFERROR(IF(VLOOKUP(CONCATENATE($B46,AU$2),Database!$B:$E,4,0)="L",6,5),"")</f>
        <v/>
      </c>
      <c r="AV46" s="29" t="str">
        <f>IFERROR(IF(VLOOKUP(CONCATENATE($B46,AV$2),Database!$B:$E,4,0)="L",6,5),"")</f>
        <v/>
      </c>
      <c r="AW46" s="29" t="str">
        <f>IFERROR(IF(VLOOKUP(CONCATENATE($B46,AW$2),Database!$B:$E,4,0)="L",6,5),"")</f>
        <v/>
      </c>
      <c r="AX46" s="29" t="str">
        <f>IFERROR(IF(VLOOKUP(CONCATENATE($B46,AX$2),Database!$B:$E,4,0)="L",6,5),"")</f>
        <v/>
      </c>
      <c r="AY46" s="29" t="str">
        <f>IFERROR(IF(VLOOKUP(CONCATENATE($B46,AY$2),Database!$B:$E,4,0)="L",6,5),"")</f>
        <v/>
      </c>
      <c r="AZ46" s="29" t="str">
        <f>IFERROR(IF(VLOOKUP(CONCATENATE($B46,AZ$2),Database!$B:$E,4,0)="L",6,5),"")</f>
        <v/>
      </c>
      <c r="BA46" s="29" t="str">
        <f>IFERROR(IF(VLOOKUP(CONCATENATE($B46,BA$2),Database!$B:$E,4,0)="L",6,5),"")</f>
        <v/>
      </c>
      <c r="BB46" s="29" t="str">
        <f>IFERROR(IF(VLOOKUP(CONCATENATE($B46,BB$2),Database!$B:$E,4,0)="L",6,5),"")</f>
        <v/>
      </c>
      <c r="BC46" s="29" t="str">
        <f>IFERROR(IF(VLOOKUP(CONCATENATE($B46,BC$2),Database!$B:$E,4,0)="L",6,5),"")</f>
        <v/>
      </c>
      <c r="BD46" s="29" t="str">
        <f>IFERROR(IF(VLOOKUP(CONCATENATE($B46,BD$2),Database!$B:$E,4,0)="L",6,5),"")</f>
        <v/>
      </c>
      <c r="BE46" s="29" t="str">
        <f>IFERROR(IF(VLOOKUP(CONCATENATE($B46,BE$2),Database!$B:$E,4,0)="L",6,5),"")</f>
        <v/>
      </c>
      <c r="BF46" s="29" t="str">
        <f>IFERROR(IF(VLOOKUP(CONCATENATE($B46,BF$2),Database!$B:$E,4,0)="L",6,5),"")</f>
        <v/>
      </c>
      <c r="BG46" s="29" t="str">
        <f>IFERROR(IF(VLOOKUP(CONCATENATE($B46,BG$2),Database!$B:$E,4,0)="L",6,5),"")</f>
        <v/>
      </c>
      <c r="BH46" s="29" t="str">
        <f>IFERROR(IF(VLOOKUP(CONCATENATE($B46,BH$2),Database!$B:$E,4,0)="L",6,5),"")</f>
        <v/>
      </c>
      <c r="BI46" s="29" t="str">
        <f>IFERROR(IF(VLOOKUP(CONCATENATE($B46,BI$2),Database!$B:$E,4,0)="L",6,5),"")</f>
        <v/>
      </c>
      <c r="BJ46" s="29" t="str">
        <f>IFERROR(IF(VLOOKUP(CONCATENATE($B46,BJ$2),Database!$B:$E,4,0)="L",6,5),"")</f>
        <v/>
      </c>
      <c r="BK46" s="29" t="str">
        <f>IFERROR(IF(VLOOKUP(CONCATENATE($B46,BK$2),Database!$B:$E,4,0)="L",6,5),"")</f>
        <v/>
      </c>
      <c r="BL46" s="29" t="str">
        <f>IFERROR(IF(VLOOKUP(CONCATENATE($B46,BL$2),Database!$B:$E,4,0)="L",6,5),"")</f>
        <v/>
      </c>
      <c r="BM46" s="29" t="str">
        <f>IFERROR(IF(VLOOKUP(CONCATENATE($B46,BM$2),Database!$B:$E,4,0)="L",6,5),"")</f>
        <v/>
      </c>
      <c r="BN46" s="29" t="str">
        <f>IFERROR(IF(VLOOKUP(CONCATENATE($B46,BN$2),Database!$B:$E,4,0)="L",6,5),"")</f>
        <v/>
      </c>
      <c r="BO46" s="29" t="str">
        <f>IFERROR(IF(VLOOKUP(CONCATENATE($B46,BO$2),Database!$B:$E,4,0)="L",6,5),"")</f>
        <v/>
      </c>
      <c r="BP46" s="29" t="str">
        <f>IFERROR(IF(VLOOKUP(CONCATENATE($B46,BP$2),Database!$B:$E,4,0)="L",6,5),"")</f>
        <v/>
      </c>
      <c r="BQ46" s="29" t="str">
        <f>IFERROR(IF(VLOOKUP(CONCATENATE($B46,BQ$2),Database!$B:$E,4,0)="L",6,5),"")</f>
        <v/>
      </c>
      <c r="BR46" s="29" t="str">
        <f>IFERROR(IF(VLOOKUP(CONCATENATE($B46,BR$2),Database!$B:$E,4,0)="L",6,5),"")</f>
        <v/>
      </c>
      <c r="BS46" s="29" t="str">
        <f>IFERROR(IF(VLOOKUP(CONCATENATE($B46,BS$2),Database!$B:$E,4,0)="L",6,5),"")</f>
        <v/>
      </c>
      <c r="BT46" s="29" t="str">
        <f>IFERROR(IF(VLOOKUP(CONCATENATE($B46,BT$2),Database!$B:$E,4,0)="L",6,5),"")</f>
        <v/>
      </c>
      <c r="BU46" s="29" t="str">
        <f>IFERROR(IF(VLOOKUP(CONCATENATE($B46,BU$2),Database!$B:$E,4,0)="L",6,5),"")</f>
        <v/>
      </c>
      <c r="BV46" s="29" t="str">
        <f>IFERROR(IF(VLOOKUP(CONCATENATE($B46,BV$2),Database!$B:$E,4,0)="L",6,5),"")</f>
        <v/>
      </c>
      <c r="BW46" s="29" t="str">
        <f>IFERROR(IF(VLOOKUP(CONCATENATE($B46,BW$2),Database!$B:$E,4,0)="L",6,5),"")</f>
        <v/>
      </c>
      <c r="BX46" s="29" t="str">
        <f>IFERROR(IF(VLOOKUP(CONCATENATE($B46,BX$2),Database!$B:$E,4,0)="L",6,5),"")</f>
        <v/>
      </c>
      <c r="BY46" s="29" t="str">
        <f>IFERROR(IF(VLOOKUP(CONCATENATE($B46,BY$2),Database!$B:$E,4,0)="L",6,5),"")</f>
        <v/>
      </c>
      <c r="BZ46" s="29" t="str">
        <f>IFERROR(IF(VLOOKUP(CONCATENATE($B46,BZ$2),Database!$B:$E,4,0)="L",6,5),"")</f>
        <v/>
      </c>
    </row>
    <row r="47" spans="2:78" ht="14.3" x14ac:dyDescent="0.3">
      <c r="B47" s="19" t="s">
        <v>45</v>
      </c>
      <c r="C47" s="16">
        <f>COUNTIFS(Database!$D:$D,$B47,Database!$C:$C,"&gt;1/1/25")</f>
        <v>0</v>
      </c>
      <c r="D47" s="1">
        <f>COUNTIFS(Database!$D:$D,$B47,Database!$E:$E,"W",Database!$C:$C,"&gt;1/1/25")</f>
        <v>0</v>
      </c>
      <c r="E47" s="1">
        <f>COUNTIFS(Database!$D:$D,$B47,Database!$E:$E,"L",Database!$C:$C,"&gt;1/1/25")</f>
        <v>0</v>
      </c>
      <c r="F47" s="1">
        <f t="shared" si="9"/>
        <v>0</v>
      </c>
      <c r="G47" s="21" t="str">
        <f t="shared" si="10"/>
        <v>-</v>
      </c>
      <c r="H47" s="14" t="str">
        <f t="shared" si="11"/>
        <v>-</v>
      </c>
      <c r="J47" s="16">
        <f>COUNTIF(Database!$D:$D,$B47)</f>
        <v>38</v>
      </c>
      <c r="K47" s="1">
        <f>COUNTIFS(Database!$D:$D,$B47,Database!$E:$E,"W")</f>
        <v>17</v>
      </c>
      <c r="L47" s="1">
        <f>COUNTIFS(Database!$D:$D,$B47,Database!$E:$E,"L")</f>
        <v>21</v>
      </c>
      <c r="M47" s="1">
        <f t="shared" si="12"/>
        <v>-4</v>
      </c>
      <c r="N47" s="21">
        <f t="shared" si="13"/>
        <v>0.44736842105263158</v>
      </c>
      <c r="O47" s="14">
        <f t="shared" si="14"/>
        <v>0.55263157894736847</v>
      </c>
      <c r="Q47" s="28">
        <f>IFERROR(IF(VLOOKUP(CONCATENATE($B47,Q$2),Database!$B:$E,4,0)="L",6,5),"")</f>
        <v>5</v>
      </c>
      <c r="R47" s="23">
        <f>IFERROR(IF(VLOOKUP(CONCATENATE($B47,R$2),Database!$B:$E,4,0)="L",6,5),"")</f>
        <v>6</v>
      </c>
      <c r="S47" s="23">
        <f>IFERROR(IF(VLOOKUP(CONCATENATE($B47,S$2),Database!$B:$E,4,0)="L",6,5),"")</f>
        <v>5</v>
      </c>
      <c r="T47" s="23">
        <f>IFERROR(IF(VLOOKUP(CONCATENATE($B47,T$2),Database!$B:$E,4,0)="L",6,5),"")</f>
        <v>6</v>
      </c>
      <c r="U47" s="29">
        <f>IFERROR(IF(VLOOKUP(CONCATENATE($B47,U$2),Database!$B:$E,4,0)="L",6,5),"")</f>
        <v>6</v>
      </c>
      <c r="V47" s="54"/>
      <c r="W47" s="62"/>
      <c r="X47" s="63"/>
      <c r="Z47" s="63" t="str">
        <f t="shared" si="8"/>
        <v>Y</v>
      </c>
      <c r="AB47" s="29">
        <f>IFERROR(IF(VLOOKUP(CONCATENATE($B47,AB$2),Database!$B:$E,4,0)="L",6,5),"")</f>
        <v>6</v>
      </c>
      <c r="AC47" s="29">
        <f>IFERROR(IF(VLOOKUP(CONCATENATE($B47,AC$2),Database!$B:$E,4,0)="L",6,5),"")</f>
        <v>6</v>
      </c>
      <c r="AD47" s="29">
        <f>IFERROR(IF(VLOOKUP(CONCATENATE($B47,AD$2),Database!$B:$E,4,0)="L",6,5),"")</f>
        <v>5</v>
      </c>
      <c r="AE47" s="29">
        <f>IFERROR(IF(VLOOKUP(CONCATENATE($B47,AE$2),Database!$B:$E,4,0)="L",6,5),"")</f>
        <v>6</v>
      </c>
      <c r="AF47" s="29">
        <f>IFERROR(IF(VLOOKUP(CONCATENATE($B47,AF$2),Database!$B:$E,4,0)="L",6,5),"")</f>
        <v>5</v>
      </c>
      <c r="AG47" s="29">
        <f>IFERROR(IF(VLOOKUP(CONCATENATE($B47,AG$2),Database!$B:$E,4,0)="L",6,5),"")</f>
        <v>5</v>
      </c>
      <c r="AH47" s="29">
        <f>IFERROR(IF(VLOOKUP(CONCATENATE($B47,AH$2),Database!$B:$E,4,0)="L",6,5),"")</f>
        <v>6</v>
      </c>
      <c r="AI47" s="29">
        <f>IFERROR(IF(VLOOKUP(CONCATENATE($B47,AI$2),Database!$B:$E,4,0)="L",6,5),"")</f>
        <v>6</v>
      </c>
      <c r="AJ47" s="29">
        <f>IFERROR(IF(VLOOKUP(CONCATENATE($B47,AJ$2),Database!$B:$E,4,0)="L",6,5),"")</f>
        <v>6</v>
      </c>
      <c r="AK47" s="29">
        <f>IFERROR(IF(VLOOKUP(CONCATENATE($B47,AK$2),Database!$B:$E,4,0)="L",6,5),"")</f>
        <v>5</v>
      </c>
      <c r="AL47" s="29">
        <f>IFERROR(IF(VLOOKUP(CONCATENATE($B47,AL$2),Database!$B:$E,4,0)="L",6,5),"")</f>
        <v>5</v>
      </c>
      <c r="AM47" s="29">
        <f>IFERROR(IF(VLOOKUP(CONCATENATE($B47,AM$2),Database!$B:$E,4,0)="L",6,5),"")</f>
        <v>5</v>
      </c>
      <c r="AN47" s="29">
        <f>IFERROR(IF(VLOOKUP(CONCATENATE($B47,AN$2),Database!$B:$E,4,0)="L",6,5),"")</f>
        <v>5</v>
      </c>
      <c r="AO47" s="29">
        <f>IFERROR(IF(VLOOKUP(CONCATENATE($B47,AO$2),Database!$B:$E,4,0)="L",6,5),"")</f>
        <v>6</v>
      </c>
      <c r="AP47" s="29">
        <f>IFERROR(IF(VLOOKUP(CONCATENATE($B47,AP$2),Database!$B:$E,4,0)="L",6,5),"")</f>
        <v>6</v>
      </c>
      <c r="AQ47" s="29">
        <f>IFERROR(IF(VLOOKUP(CONCATENATE($B47,AQ$2),Database!$B:$E,4,0)="L",6,5),"")</f>
        <v>6</v>
      </c>
      <c r="AR47" s="29">
        <f>IFERROR(IF(VLOOKUP(CONCATENATE($B47,AR$2),Database!$B:$E,4,0)="L",6,5),"")</f>
        <v>6</v>
      </c>
      <c r="AS47" s="29">
        <f>IFERROR(IF(VLOOKUP(CONCATENATE($B47,AS$2),Database!$B:$E,4,0)="L",6,5),"")</f>
        <v>5</v>
      </c>
      <c r="AT47" s="29">
        <f>IFERROR(IF(VLOOKUP(CONCATENATE($B47,AT$2),Database!$B:$E,4,0)="L",6,5),"")</f>
        <v>6</v>
      </c>
      <c r="AU47" s="29">
        <f>IFERROR(IF(VLOOKUP(CONCATENATE($B47,AU$2),Database!$B:$E,4,0)="L",6,5),"")</f>
        <v>6</v>
      </c>
      <c r="AV47" s="29">
        <f>IFERROR(IF(VLOOKUP(CONCATENATE($B47,AV$2),Database!$B:$E,4,0)="L",6,5),"")</f>
        <v>5</v>
      </c>
      <c r="AW47" s="29">
        <f>IFERROR(IF(VLOOKUP(CONCATENATE($B47,AW$2),Database!$B:$E,4,0)="L",6,5),"")</f>
        <v>5</v>
      </c>
      <c r="AX47" s="29">
        <f>IFERROR(IF(VLOOKUP(CONCATENATE($B47,AX$2),Database!$B:$E,4,0)="L",6,5),"")</f>
        <v>5</v>
      </c>
      <c r="AY47" s="29">
        <f>IFERROR(IF(VLOOKUP(CONCATENATE($B47,AY$2),Database!$B:$E,4,0)="L",6,5),"")</f>
        <v>5</v>
      </c>
      <c r="AZ47" s="29">
        <f>IFERROR(IF(VLOOKUP(CONCATENATE($B47,AZ$2),Database!$B:$E,4,0)="L",6,5),"")</f>
        <v>6</v>
      </c>
      <c r="BA47" s="29">
        <f>IFERROR(IF(VLOOKUP(CONCATENATE($B47,BA$2),Database!$B:$E,4,0)="L",6,5),"")</f>
        <v>6</v>
      </c>
      <c r="BB47" s="29">
        <f>IFERROR(IF(VLOOKUP(CONCATENATE($B47,BB$2),Database!$B:$E,4,0)="L",6,5),"")</f>
        <v>6</v>
      </c>
      <c r="BC47" s="29">
        <f>IFERROR(IF(VLOOKUP(CONCATENATE($B47,BC$2),Database!$B:$E,4,0)="L",6,5),"")</f>
        <v>5</v>
      </c>
      <c r="BD47" s="29">
        <f>IFERROR(IF(VLOOKUP(CONCATENATE($B47,BD$2),Database!$B:$E,4,0)="L",6,5),"")</f>
        <v>6</v>
      </c>
      <c r="BE47" s="29">
        <f>IFERROR(IF(VLOOKUP(CONCATENATE($B47,BE$2),Database!$B:$E,4,0)="L",6,5),"")</f>
        <v>6</v>
      </c>
      <c r="BF47" s="29">
        <f>IFERROR(IF(VLOOKUP(CONCATENATE($B47,BF$2),Database!$B:$E,4,0)="L",6,5),"")</f>
        <v>5</v>
      </c>
      <c r="BG47" s="29">
        <f>IFERROR(IF(VLOOKUP(CONCATENATE($B47,BG$2),Database!$B:$E,4,0)="L",6,5),"")</f>
        <v>5</v>
      </c>
      <c r="BH47" s="29">
        <f>IFERROR(IF(VLOOKUP(CONCATENATE($B47,BH$2),Database!$B:$E,4,0)="L",6,5),"")</f>
        <v>6</v>
      </c>
      <c r="BI47" s="29">
        <f>IFERROR(IF(VLOOKUP(CONCATENATE($B47,BI$2),Database!$B:$E,4,0)="L",6,5),"")</f>
        <v>5</v>
      </c>
      <c r="BJ47" s="29">
        <f>IFERROR(IF(VLOOKUP(CONCATENATE($B47,BJ$2),Database!$B:$E,4,0)="L",6,5),"")</f>
        <v>6</v>
      </c>
      <c r="BK47" s="29">
        <f>IFERROR(IF(VLOOKUP(CONCATENATE($B47,BK$2),Database!$B:$E,4,0)="L",6,5),"")</f>
        <v>6</v>
      </c>
      <c r="BL47" s="29">
        <f>IFERROR(IF(VLOOKUP(CONCATENATE($B47,BL$2),Database!$B:$E,4,0)="L",6,5),"")</f>
        <v>5</v>
      </c>
      <c r="BM47" s="29">
        <f>IFERROR(IF(VLOOKUP(CONCATENATE($B47,BM$2),Database!$B:$E,4,0)="L",6,5),"")</f>
        <v>6</v>
      </c>
      <c r="BN47" s="29" t="str">
        <f>IFERROR(IF(VLOOKUP(CONCATENATE($B47,BN$2),Database!$B:$E,4,0)="L",6,5),"")</f>
        <v/>
      </c>
      <c r="BO47" s="29" t="str">
        <f>IFERROR(IF(VLOOKUP(CONCATENATE($B47,BO$2),Database!$B:$E,4,0)="L",6,5),"")</f>
        <v/>
      </c>
      <c r="BP47" s="29" t="str">
        <f>IFERROR(IF(VLOOKUP(CONCATENATE($B47,BP$2),Database!$B:$E,4,0)="L",6,5),"")</f>
        <v/>
      </c>
      <c r="BQ47" s="29" t="str">
        <f>IFERROR(IF(VLOOKUP(CONCATENATE($B47,BQ$2),Database!$B:$E,4,0)="L",6,5),"")</f>
        <v/>
      </c>
      <c r="BR47" s="29" t="str">
        <f>IFERROR(IF(VLOOKUP(CONCATENATE($B47,BR$2),Database!$B:$E,4,0)="L",6,5),"")</f>
        <v/>
      </c>
      <c r="BS47" s="29" t="str">
        <f>IFERROR(IF(VLOOKUP(CONCATENATE($B47,BS$2),Database!$B:$E,4,0)="L",6,5),"")</f>
        <v/>
      </c>
      <c r="BT47" s="29" t="str">
        <f>IFERROR(IF(VLOOKUP(CONCATENATE($B47,BT$2),Database!$B:$E,4,0)="L",6,5),"")</f>
        <v/>
      </c>
      <c r="BU47" s="29" t="str">
        <f>IFERROR(IF(VLOOKUP(CONCATENATE($B47,BU$2),Database!$B:$E,4,0)="L",6,5),"")</f>
        <v/>
      </c>
      <c r="BV47" s="29" t="str">
        <f>IFERROR(IF(VLOOKUP(CONCATENATE($B47,BV$2),Database!$B:$E,4,0)="L",6,5),"")</f>
        <v/>
      </c>
      <c r="BW47" s="29" t="str">
        <f>IFERROR(IF(VLOOKUP(CONCATENATE($B47,BW$2),Database!$B:$E,4,0)="L",6,5),"")</f>
        <v/>
      </c>
      <c r="BX47" s="29" t="str">
        <f>IFERROR(IF(VLOOKUP(CONCATENATE($B47,BX$2),Database!$B:$E,4,0)="L",6,5),"")</f>
        <v/>
      </c>
      <c r="BY47" s="29" t="str">
        <f>IFERROR(IF(VLOOKUP(CONCATENATE($B47,BY$2),Database!$B:$E,4,0)="L",6,5),"")</f>
        <v/>
      </c>
      <c r="BZ47" s="29" t="str">
        <f>IFERROR(IF(VLOOKUP(CONCATENATE($B47,BZ$2),Database!$B:$E,4,0)="L",6,5),"")</f>
        <v/>
      </c>
    </row>
    <row r="48" spans="2:78" ht="14.3" x14ac:dyDescent="0.3">
      <c r="B48" s="19" t="s">
        <v>57</v>
      </c>
      <c r="C48" s="16">
        <f>COUNTIFS(Database!$D:$D,$B48,Database!$C:$C,"&gt;1/1/25")</f>
        <v>0</v>
      </c>
      <c r="D48" s="1">
        <f>COUNTIFS(Database!$D:$D,$B48,Database!$E:$E,"W",Database!$C:$C,"&gt;1/1/25")</f>
        <v>0</v>
      </c>
      <c r="E48" s="1">
        <f>COUNTIFS(Database!$D:$D,$B48,Database!$E:$E,"L",Database!$C:$C,"&gt;1/1/25")</f>
        <v>0</v>
      </c>
      <c r="F48" s="1">
        <f t="shared" si="9"/>
        <v>0</v>
      </c>
      <c r="G48" s="21" t="str">
        <f t="shared" si="10"/>
        <v>-</v>
      </c>
      <c r="H48" s="14" t="str">
        <f t="shared" si="11"/>
        <v>-</v>
      </c>
      <c r="J48" s="16">
        <f>COUNTIF(Database!$D:$D,$B48)</f>
        <v>12</v>
      </c>
      <c r="K48" s="1">
        <f>COUNTIFS(Database!$D:$D,$B48,Database!$E:$E,"W")</f>
        <v>3</v>
      </c>
      <c r="L48" s="1">
        <f>COUNTIFS(Database!$D:$D,$B48,Database!$E:$E,"L")</f>
        <v>9</v>
      </c>
      <c r="M48" s="1">
        <f t="shared" si="12"/>
        <v>-6</v>
      </c>
      <c r="N48" s="21">
        <f t="shared" si="13"/>
        <v>0.25</v>
      </c>
      <c r="O48" s="14">
        <f t="shared" si="14"/>
        <v>0.75</v>
      </c>
      <c r="Q48" s="28">
        <f>IFERROR(IF(VLOOKUP(CONCATENATE($B48,Q$2),Database!$B:$E,4,0)="L",6,5),"")</f>
        <v>5</v>
      </c>
      <c r="R48" s="23">
        <f>IFERROR(IF(VLOOKUP(CONCATENATE($B48,R$2),Database!$B:$E,4,0)="L",6,5),"")</f>
        <v>6</v>
      </c>
      <c r="S48" s="23">
        <f>IFERROR(IF(VLOOKUP(CONCATENATE($B48,S$2),Database!$B:$E,4,0)="L",6,5),"")</f>
        <v>5</v>
      </c>
      <c r="T48" s="23">
        <f>IFERROR(IF(VLOOKUP(CONCATENATE($B48,T$2),Database!$B:$E,4,0)="L",6,5),"")</f>
        <v>6</v>
      </c>
      <c r="U48" s="29">
        <f>IFERROR(IF(VLOOKUP(CONCATENATE($B48,U$2),Database!$B:$E,4,0)="L",6,5),"")</f>
        <v>6</v>
      </c>
      <c r="V48" s="55" t="s">
        <v>14</v>
      </c>
      <c r="W48" s="57"/>
      <c r="X48" s="63"/>
      <c r="Z48" s="63" t="str">
        <f t="shared" si="8"/>
        <v>Y</v>
      </c>
      <c r="AB48" s="29">
        <f>IFERROR(IF(VLOOKUP(CONCATENATE($B48,AB$2),Database!$B:$E,4,0)="L",6,5),"")</f>
        <v>6</v>
      </c>
      <c r="AC48" s="29">
        <f>IFERROR(IF(VLOOKUP(CONCATENATE($B48,AC$2),Database!$B:$E,4,0)="L",6,5),"")</f>
        <v>6</v>
      </c>
      <c r="AD48" s="29">
        <f>IFERROR(IF(VLOOKUP(CONCATENATE($B48,AD$2),Database!$B:$E,4,0)="L",6,5),"")</f>
        <v>5</v>
      </c>
      <c r="AE48" s="29">
        <f>IFERROR(IF(VLOOKUP(CONCATENATE($B48,AE$2),Database!$B:$E,4,0)="L",6,5),"")</f>
        <v>6</v>
      </c>
      <c r="AF48" s="29">
        <f>IFERROR(IF(VLOOKUP(CONCATENATE($B48,AF$2),Database!$B:$E,4,0)="L",6,5),"")</f>
        <v>5</v>
      </c>
      <c r="AG48" s="29">
        <f>IFERROR(IF(VLOOKUP(CONCATENATE($B48,AG$2),Database!$B:$E,4,0)="L",6,5),"")</f>
        <v>5</v>
      </c>
      <c r="AH48" s="29">
        <f>IFERROR(IF(VLOOKUP(CONCATENATE($B48,AH$2),Database!$B:$E,4,0)="L",6,5),"")</f>
        <v>6</v>
      </c>
      <c r="AI48" s="29">
        <f>IFERROR(IF(VLOOKUP(CONCATENATE($B48,AI$2),Database!$B:$E,4,0)="L",6,5),"")</f>
        <v>6</v>
      </c>
      <c r="AJ48" s="29">
        <f>IFERROR(IF(VLOOKUP(CONCATENATE($B48,AJ$2),Database!$B:$E,4,0)="L",6,5),"")</f>
        <v>6</v>
      </c>
      <c r="AK48" s="29">
        <f>IFERROR(IF(VLOOKUP(CONCATENATE($B48,AK$2),Database!$B:$E,4,0)="L",6,5),"")</f>
        <v>6</v>
      </c>
      <c r="AL48" s="29">
        <f>IFERROR(IF(VLOOKUP(CONCATENATE($B48,AL$2),Database!$B:$E,4,0)="L",6,5),"")</f>
        <v>6</v>
      </c>
      <c r="AM48" s="29">
        <f>IFERROR(IF(VLOOKUP(CONCATENATE($B48,AM$2),Database!$B:$E,4,0)="L",6,5),"")</f>
        <v>6</v>
      </c>
      <c r="AN48" s="29" t="str">
        <f>IFERROR(IF(VLOOKUP(CONCATENATE($B48,AN$2),Database!$B:$E,4,0)="L",6,5),"")</f>
        <v/>
      </c>
      <c r="AO48" s="29" t="str">
        <f>IFERROR(IF(VLOOKUP(CONCATENATE($B48,AO$2),Database!$B:$E,4,0)="L",6,5),"")</f>
        <v/>
      </c>
      <c r="AP48" s="29" t="str">
        <f>IFERROR(IF(VLOOKUP(CONCATENATE($B48,AP$2),Database!$B:$E,4,0)="L",6,5),"")</f>
        <v/>
      </c>
      <c r="AQ48" s="29" t="str">
        <f>IFERROR(IF(VLOOKUP(CONCATENATE($B48,AQ$2),Database!$B:$E,4,0)="L",6,5),"")</f>
        <v/>
      </c>
      <c r="AR48" s="29" t="str">
        <f>IFERROR(IF(VLOOKUP(CONCATENATE($B48,AR$2),Database!$B:$E,4,0)="L",6,5),"")</f>
        <v/>
      </c>
      <c r="AS48" s="29" t="str">
        <f>IFERROR(IF(VLOOKUP(CONCATENATE($B48,AS$2),Database!$B:$E,4,0)="L",6,5),"")</f>
        <v/>
      </c>
      <c r="AT48" s="29" t="str">
        <f>IFERROR(IF(VLOOKUP(CONCATENATE($B48,AT$2),Database!$B:$E,4,0)="L",6,5),"")</f>
        <v/>
      </c>
      <c r="AU48" s="29" t="str">
        <f>IFERROR(IF(VLOOKUP(CONCATENATE($B48,AU$2),Database!$B:$E,4,0)="L",6,5),"")</f>
        <v/>
      </c>
      <c r="AV48" s="29" t="str">
        <f>IFERROR(IF(VLOOKUP(CONCATENATE($B48,AV$2),Database!$B:$E,4,0)="L",6,5),"")</f>
        <v/>
      </c>
      <c r="AW48" s="29" t="str">
        <f>IFERROR(IF(VLOOKUP(CONCATENATE($B48,AW$2),Database!$B:$E,4,0)="L",6,5),"")</f>
        <v/>
      </c>
      <c r="AX48" s="29" t="str">
        <f>IFERROR(IF(VLOOKUP(CONCATENATE($B48,AX$2),Database!$B:$E,4,0)="L",6,5),"")</f>
        <v/>
      </c>
      <c r="AY48" s="29" t="str">
        <f>IFERROR(IF(VLOOKUP(CONCATENATE($B48,AY$2),Database!$B:$E,4,0)="L",6,5),"")</f>
        <v/>
      </c>
      <c r="AZ48" s="29" t="str">
        <f>IFERROR(IF(VLOOKUP(CONCATENATE($B48,AZ$2),Database!$B:$E,4,0)="L",6,5),"")</f>
        <v/>
      </c>
      <c r="BA48" s="29" t="str">
        <f>IFERROR(IF(VLOOKUP(CONCATENATE($B48,BA$2),Database!$B:$E,4,0)="L",6,5),"")</f>
        <v/>
      </c>
      <c r="BB48" s="29" t="str">
        <f>IFERROR(IF(VLOOKUP(CONCATENATE($B48,BB$2),Database!$B:$E,4,0)="L",6,5),"")</f>
        <v/>
      </c>
      <c r="BC48" s="29" t="str">
        <f>IFERROR(IF(VLOOKUP(CONCATENATE($B48,BC$2),Database!$B:$E,4,0)="L",6,5),"")</f>
        <v/>
      </c>
      <c r="BD48" s="29" t="str">
        <f>IFERROR(IF(VLOOKUP(CONCATENATE($B48,BD$2),Database!$B:$E,4,0)="L",6,5),"")</f>
        <v/>
      </c>
      <c r="BE48" s="29" t="str">
        <f>IFERROR(IF(VLOOKUP(CONCATENATE($B48,BE$2),Database!$B:$E,4,0)="L",6,5),"")</f>
        <v/>
      </c>
      <c r="BF48" s="29" t="str">
        <f>IFERROR(IF(VLOOKUP(CONCATENATE($B48,BF$2),Database!$B:$E,4,0)="L",6,5),"")</f>
        <v/>
      </c>
      <c r="BG48" s="29" t="str">
        <f>IFERROR(IF(VLOOKUP(CONCATENATE($B48,BG$2),Database!$B:$E,4,0)="L",6,5),"")</f>
        <v/>
      </c>
      <c r="BH48" s="29" t="str">
        <f>IFERROR(IF(VLOOKUP(CONCATENATE($B48,BH$2),Database!$B:$E,4,0)="L",6,5),"")</f>
        <v/>
      </c>
      <c r="BI48" s="29" t="str">
        <f>IFERROR(IF(VLOOKUP(CONCATENATE($B48,BI$2),Database!$B:$E,4,0)="L",6,5),"")</f>
        <v/>
      </c>
      <c r="BJ48" s="29" t="str">
        <f>IFERROR(IF(VLOOKUP(CONCATENATE($B48,BJ$2),Database!$B:$E,4,0)="L",6,5),"")</f>
        <v/>
      </c>
      <c r="BK48" s="29" t="str">
        <f>IFERROR(IF(VLOOKUP(CONCATENATE($B48,BK$2),Database!$B:$E,4,0)="L",6,5),"")</f>
        <v/>
      </c>
      <c r="BL48" s="29" t="str">
        <f>IFERROR(IF(VLOOKUP(CONCATENATE($B48,BL$2),Database!$B:$E,4,0)="L",6,5),"")</f>
        <v/>
      </c>
      <c r="BM48" s="29" t="str">
        <f>IFERROR(IF(VLOOKUP(CONCATENATE($B48,BM$2),Database!$B:$E,4,0)="L",6,5),"")</f>
        <v/>
      </c>
      <c r="BN48" s="29" t="str">
        <f>IFERROR(IF(VLOOKUP(CONCATENATE($B48,BN$2),Database!$B:$E,4,0)="L",6,5),"")</f>
        <v/>
      </c>
      <c r="BO48" s="29" t="str">
        <f>IFERROR(IF(VLOOKUP(CONCATENATE($B48,BO$2),Database!$B:$E,4,0)="L",6,5),"")</f>
        <v/>
      </c>
      <c r="BP48" s="29" t="str">
        <f>IFERROR(IF(VLOOKUP(CONCATENATE($B48,BP$2),Database!$B:$E,4,0)="L",6,5),"")</f>
        <v/>
      </c>
      <c r="BQ48" s="29" t="str">
        <f>IFERROR(IF(VLOOKUP(CONCATENATE($B48,BQ$2),Database!$B:$E,4,0)="L",6,5),"")</f>
        <v/>
      </c>
      <c r="BR48" s="29" t="str">
        <f>IFERROR(IF(VLOOKUP(CONCATENATE($B48,BR$2),Database!$B:$E,4,0)="L",6,5),"")</f>
        <v/>
      </c>
      <c r="BS48" s="29" t="str">
        <f>IFERROR(IF(VLOOKUP(CONCATENATE($B48,BS$2),Database!$B:$E,4,0)="L",6,5),"")</f>
        <v/>
      </c>
      <c r="BT48" s="29" t="str">
        <f>IFERROR(IF(VLOOKUP(CONCATENATE($B48,BT$2),Database!$B:$E,4,0)="L",6,5),"")</f>
        <v/>
      </c>
      <c r="BU48" s="29" t="str">
        <f>IFERROR(IF(VLOOKUP(CONCATENATE($B48,BU$2),Database!$B:$E,4,0)="L",6,5),"")</f>
        <v/>
      </c>
      <c r="BV48" s="29" t="str">
        <f>IFERROR(IF(VLOOKUP(CONCATENATE($B48,BV$2),Database!$B:$E,4,0)="L",6,5),"")</f>
        <v/>
      </c>
      <c r="BW48" s="29" t="str">
        <f>IFERROR(IF(VLOOKUP(CONCATENATE($B48,BW$2),Database!$B:$E,4,0)="L",6,5),"")</f>
        <v/>
      </c>
      <c r="BX48" s="29" t="str">
        <f>IFERROR(IF(VLOOKUP(CONCATENATE($B48,BX$2),Database!$B:$E,4,0)="L",6,5),"")</f>
        <v/>
      </c>
      <c r="BY48" s="29" t="str">
        <f>IFERROR(IF(VLOOKUP(CONCATENATE($B48,BY$2),Database!$B:$E,4,0)="L",6,5),"")</f>
        <v/>
      </c>
      <c r="BZ48" s="29" t="str">
        <f>IFERROR(IF(VLOOKUP(CONCATENATE($B48,BZ$2),Database!$B:$E,4,0)="L",6,5),"")</f>
        <v/>
      </c>
    </row>
    <row r="49" spans="2:78" ht="14.3" x14ac:dyDescent="0.3">
      <c r="B49" s="108" t="s">
        <v>34</v>
      </c>
      <c r="C49" s="16">
        <f>COUNTIFS(Database!$D:$D,$B49,Database!$C:$C,"&gt;1/1/25")</f>
        <v>0</v>
      </c>
      <c r="D49" s="1">
        <f>COUNTIFS(Database!$D:$D,$B49,Database!$E:$E,"W",Database!$C:$C,"&gt;1/1/25")</f>
        <v>0</v>
      </c>
      <c r="E49" s="1">
        <f>COUNTIFS(Database!$D:$D,$B49,Database!$E:$E,"L",Database!$C:$C,"&gt;1/1/25")</f>
        <v>0</v>
      </c>
      <c r="F49" s="1">
        <f t="shared" si="9"/>
        <v>0</v>
      </c>
      <c r="G49" s="21" t="str">
        <f t="shared" si="10"/>
        <v>-</v>
      </c>
      <c r="H49" s="14" t="str">
        <f t="shared" si="11"/>
        <v>-</v>
      </c>
      <c r="J49" s="16">
        <f>COUNTIF(Database!$D:$D,$B49)</f>
        <v>6</v>
      </c>
      <c r="K49" s="1">
        <f>COUNTIFS(Database!$D:$D,$B49,Database!$E:$E,"W")</f>
        <v>4</v>
      </c>
      <c r="L49" s="1">
        <f>COUNTIFS(Database!$D:$D,$B49,Database!$E:$E,"L")</f>
        <v>2</v>
      </c>
      <c r="M49" s="1">
        <f t="shared" si="12"/>
        <v>2</v>
      </c>
      <c r="N49" s="21">
        <f t="shared" si="13"/>
        <v>0.66666666666666663</v>
      </c>
      <c r="O49" s="14">
        <f t="shared" si="14"/>
        <v>0.33333333333333331</v>
      </c>
      <c r="Q49" s="28">
        <f>IFERROR(IF(VLOOKUP(CONCATENATE($B49,Q$2),Database!$B:$E,4,0)="L",6,5),"")</f>
        <v>5</v>
      </c>
      <c r="R49" s="23">
        <f>IFERROR(IF(VLOOKUP(CONCATENATE($B49,R$2),Database!$B:$E,4,0)="L",6,5),"")</f>
        <v>5</v>
      </c>
      <c r="S49" s="23">
        <f>IFERROR(IF(VLOOKUP(CONCATENATE($B49,S$2),Database!$B:$E,4,0)="L",6,5),"")</f>
        <v>6</v>
      </c>
      <c r="T49" s="23">
        <f>IFERROR(IF(VLOOKUP(CONCATENATE($B49,T$2),Database!$B:$E,4,0)="L",6,5),"")</f>
        <v>6</v>
      </c>
      <c r="U49" s="29">
        <f>IFERROR(IF(VLOOKUP(CONCATENATE($B49,U$2),Database!$B:$E,4,0)="L",6,5),"")</f>
        <v>5</v>
      </c>
      <c r="V49" s="54"/>
      <c r="W49" s="57"/>
      <c r="X49" s="63"/>
      <c r="Z49" s="63" t="str">
        <f t="shared" si="8"/>
        <v>Y</v>
      </c>
      <c r="AB49" s="29">
        <f>IFERROR(IF(VLOOKUP(CONCATENATE($B49,AB$2),Database!$B:$E,4,0)="L",6,5),"")</f>
        <v>5</v>
      </c>
      <c r="AC49" s="29">
        <f>IFERROR(IF(VLOOKUP(CONCATENATE($B49,AC$2),Database!$B:$E,4,0)="L",6,5),"")</f>
        <v>6</v>
      </c>
      <c r="AD49" s="29">
        <f>IFERROR(IF(VLOOKUP(CONCATENATE($B49,AD$2),Database!$B:$E,4,0)="L",6,5),"")</f>
        <v>6</v>
      </c>
      <c r="AE49" s="29">
        <f>IFERROR(IF(VLOOKUP(CONCATENATE($B49,AE$2),Database!$B:$E,4,0)="L",6,5),"")</f>
        <v>5</v>
      </c>
      <c r="AF49" s="29">
        <f>IFERROR(IF(VLOOKUP(CONCATENATE($B49,AF$2),Database!$B:$E,4,0)="L",6,5),"")</f>
        <v>5</v>
      </c>
      <c r="AG49" s="29">
        <f>IFERROR(IF(VLOOKUP(CONCATENATE($B49,AG$2),Database!$B:$E,4,0)="L",6,5),"")</f>
        <v>5</v>
      </c>
      <c r="AH49" s="29" t="str">
        <f>IFERROR(IF(VLOOKUP(CONCATENATE($B49,AH$2),Database!$B:$E,4,0)="L",6,5),"")</f>
        <v/>
      </c>
      <c r="AI49" s="29" t="str">
        <f>IFERROR(IF(VLOOKUP(CONCATENATE($B49,AI$2),Database!$B:$E,4,0)="L",6,5),"")</f>
        <v/>
      </c>
      <c r="AJ49" s="29" t="str">
        <f>IFERROR(IF(VLOOKUP(CONCATENATE($B49,AJ$2),Database!$B:$E,4,0)="L",6,5),"")</f>
        <v/>
      </c>
      <c r="AK49" s="29" t="str">
        <f>IFERROR(IF(VLOOKUP(CONCATENATE($B49,AK$2),Database!$B:$E,4,0)="L",6,5),"")</f>
        <v/>
      </c>
      <c r="AL49" s="29" t="str">
        <f>IFERROR(IF(VLOOKUP(CONCATENATE($B49,AL$2),Database!$B:$E,4,0)="L",6,5),"")</f>
        <v/>
      </c>
      <c r="AM49" s="29" t="str">
        <f>IFERROR(IF(VLOOKUP(CONCATENATE($B49,AM$2),Database!$B:$E,4,0)="L",6,5),"")</f>
        <v/>
      </c>
      <c r="AN49" s="29" t="str">
        <f>IFERROR(IF(VLOOKUP(CONCATENATE($B49,AN$2),Database!$B:$E,4,0)="L",6,5),"")</f>
        <v/>
      </c>
      <c r="AO49" s="29" t="str">
        <f>IFERROR(IF(VLOOKUP(CONCATENATE($B49,AO$2),Database!$B:$E,4,0)="L",6,5),"")</f>
        <v/>
      </c>
      <c r="AP49" s="29" t="str">
        <f>IFERROR(IF(VLOOKUP(CONCATENATE($B49,AP$2),Database!$B:$E,4,0)="L",6,5),"")</f>
        <v/>
      </c>
      <c r="AQ49" s="29" t="str">
        <f>IFERROR(IF(VLOOKUP(CONCATENATE($B49,AQ$2),Database!$B:$E,4,0)="L",6,5),"")</f>
        <v/>
      </c>
      <c r="AR49" s="29" t="str">
        <f>IFERROR(IF(VLOOKUP(CONCATENATE($B49,AR$2),Database!$B:$E,4,0)="L",6,5),"")</f>
        <v/>
      </c>
      <c r="AS49" s="29" t="str">
        <f>IFERROR(IF(VLOOKUP(CONCATENATE($B49,AS$2),Database!$B:$E,4,0)="L",6,5),"")</f>
        <v/>
      </c>
      <c r="AT49" s="29" t="str">
        <f>IFERROR(IF(VLOOKUP(CONCATENATE($B49,AT$2),Database!$B:$E,4,0)="L",6,5),"")</f>
        <v/>
      </c>
      <c r="AU49" s="29" t="str">
        <f>IFERROR(IF(VLOOKUP(CONCATENATE($B49,AU$2),Database!$B:$E,4,0)="L",6,5),"")</f>
        <v/>
      </c>
      <c r="AV49" s="29" t="str">
        <f>IFERROR(IF(VLOOKUP(CONCATENATE($B49,AV$2),Database!$B:$E,4,0)="L",6,5),"")</f>
        <v/>
      </c>
      <c r="AW49" s="29" t="str">
        <f>IFERROR(IF(VLOOKUP(CONCATENATE($B49,AW$2),Database!$B:$E,4,0)="L",6,5),"")</f>
        <v/>
      </c>
      <c r="AX49" s="29" t="str">
        <f>IFERROR(IF(VLOOKUP(CONCATENATE($B49,AX$2),Database!$B:$E,4,0)="L",6,5),"")</f>
        <v/>
      </c>
      <c r="AY49" s="29" t="str">
        <f>IFERROR(IF(VLOOKUP(CONCATENATE($B49,AY$2),Database!$B:$E,4,0)="L",6,5),"")</f>
        <v/>
      </c>
      <c r="AZ49" s="29" t="str">
        <f>IFERROR(IF(VLOOKUP(CONCATENATE($B49,AZ$2),Database!$B:$E,4,0)="L",6,5),"")</f>
        <v/>
      </c>
      <c r="BA49" s="29" t="str">
        <f>IFERROR(IF(VLOOKUP(CONCATENATE($B49,BA$2),Database!$B:$E,4,0)="L",6,5),"")</f>
        <v/>
      </c>
      <c r="BB49" s="29" t="str">
        <f>IFERROR(IF(VLOOKUP(CONCATENATE($B49,BB$2),Database!$B:$E,4,0)="L",6,5),"")</f>
        <v/>
      </c>
      <c r="BC49" s="29" t="str">
        <f>IFERROR(IF(VLOOKUP(CONCATENATE($B49,BC$2),Database!$B:$E,4,0)="L",6,5),"")</f>
        <v/>
      </c>
      <c r="BD49" s="29" t="str">
        <f>IFERROR(IF(VLOOKUP(CONCATENATE($B49,BD$2),Database!$B:$E,4,0)="L",6,5),"")</f>
        <v/>
      </c>
      <c r="BE49" s="29" t="str">
        <f>IFERROR(IF(VLOOKUP(CONCATENATE($B49,BE$2),Database!$B:$E,4,0)="L",6,5),"")</f>
        <v/>
      </c>
      <c r="BF49" s="29" t="str">
        <f>IFERROR(IF(VLOOKUP(CONCATENATE($B49,BF$2),Database!$B:$E,4,0)="L",6,5),"")</f>
        <v/>
      </c>
      <c r="BG49" s="29" t="str">
        <f>IFERROR(IF(VLOOKUP(CONCATENATE($B49,BG$2),Database!$B:$E,4,0)="L",6,5),"")</f>
        <v/>
      </c>
      <c r="BH49" s="29" t="str">
        <f>IFERROR(IF(VLOOKUP(CONCATENATE($B49,BH$2),Database!$B:$E,4,0)="L",6,5),"")</f>
        <v/>
      </c>
      <c r="BI49" s="29" t="str">
        <f>IFERROR(IF(VLOOKUP(CONCATENATE($B49,BI$2),Database!$B:$E,4,0)="L",6,5),"")</f>
        <v/>
      </c>
      <c r="BJ49" s="29" t="str">
        <f>IFERROR(IF(VLOOKUP(CONCATENATE($B49,BJ$2),Database!$B:$E,4,0)="L",6,5),"")</f>
        <v/>
      </c>
      <c r="BK49" s="29" t="str">
        <f>IFERROR(IF(VLOOKUP(CONCATENATE($B49,BK$2),Database!$B:$E,4,0)="L",6,5),"")</f>
        <v/>
      </c>
      <c r="BL49" s="29" t="str">
        <f>IFERROR(IF(VLOOKUP(CONCATENATE($B49,BL$2),Database!$B:$E,4,0)="L",6,5),"")</f>
        <v/>
      </c>
      <c r="BM49" s="29" t="str">
        <f>IFERROR(IF(VLOOKUP(CONCATENATE($B49,BM$2),Database!$B:$E,4,0)="L",6,5),"")</f>
        <v/>
      </c>
      <c r="BN49" s="29" t="str">
        <f>IFERROR(IF(VLOOKUP(CONCATENATE($B49,BN$2),Database!$B:$E,4,0)="L",6,5),"")</f>
        <v/>
      </c>
      <c r="BO49" s="29" t="str">
        <f>IFERROR(IF(VLOOKUP(CONCATENATE($B49,BO$2),Database!$B:$E,4,0)="L",6,5),"")</f>
        <v/>
      </c>
      <c r="BP49" s="29" t="str">
        <f>IFERROR(IF(VLOOKUP(CONCATENATE($B49,BP$2),Database!$B:$E,4,0)="L",6,5),"")</f>
        <v/>
      </c>
      <c r="BQ49" s="29" t="str">
        <f>IFERROR(IF(VLOOKUP(CONCATENATE($B49,BQ$2),Database!$B:$E,4,0)="L",6,5),"")</f>
        <v/>
      </c>
      <c r="BR49" s="29" t="str">
        <f>IFERROR(IF(VLOOKUP(CONCATENATE($B49,BR$2),Database!$B:$E,4,0)="L",6,5),"")</f>
        <v/>
      </c>
      <c r="BS49" s="29" t="str">
        <f>IFERROR(IF(VLOOKUP(CONCATENATE($B49,BS$2),Database!$B:$E,4,0)="L",6,5),"")</f>
        <v/>
      </c>
      <c r="BT49" s="29" t="str">
        <f>IFERROR(IF(VLOOKUP(CONCATENATE($B49,BT$2),Database!$B:$E,4,0)="L",6,5),"")</f>
        <v/>
      </c>
      <c r="BU49" s="29" t="str">
        <f>IFERROR(IF(VLOOKUP(CONCATENATE($B49,BU$2),Database!$B:$E,4,0)="L",6,5),"")</f>
        <v/>
      </c>
      <c r="BV49" s="29" t="str">
        <f>IFERROR(IF(VLOOKUP(CONCATENATE($B49,BV$2),Database!$B:$E,4,0)="L",6,5),"")</f>
        <v/>
      </c>
      <c r="BW49" s="29" t="str">
        <f>IFERROR(IF(VLOOKUP(CONCATENATE($B49,BW$2),Database!$B:$E,4,0)="L",6,5),"")</f>
        <v/>
      </c>
      <c r="BX49" s="29" t="str">
        <f>IFERROR(IF(VLOOKUP(CONCATENATE($B49,BX$2),Database!$B:$E,4,0)="L",6,5),"")</f>
        <v/>
      </c>
      <c r="BY49" s="29" t="str">
        <f>IFERROR(IF(VLOOKUP(CONCATENATE($B49,BY$2),Database!$B:$E,4,0)="L",6,5),"")</f>
        <v/>
      </c>
      <c r="BZ49" s="29" t="str">
        <f>IFERROR(IF(VLOOKUP(CONCATENATE($B49,BZ$2),Database!$B:$E,4,0)="L",6,5),"")</f>
        <v/>
      </c>
    </row>
    <row r="50" spans="2:78" ht="14.3" x14ac:dyDescent="0.3">
      <c r="B50" s="108" t="s">
        <v>48</v>
      </c>
      <c r="C50" s="16">
        <f>COUNTIFS(Database!$D:$D,$B50,Database!$C:$C,"&gt;1/1/25")</f>
        <v>0</v>
      </c>
      <c r="D50" s="1">
        <f>COUNTIFS(Database!$D:$D,$B50,Database!$E:$E,"W",Database!$C:$C,"&gt;1/1/25")</f>
        <v>0</v>
      </c>
      <c r="E50" s="1">
        <f>COUNTIFS(Database!$D:$D,$B50,Database!$E:$E,"L",Database!$C:$C,"&gt;1/1/25")</f>
        <v>0</v>
      </c>
      <c r="F50" s="1">
        <f t="shared" si="9"/>
        <v>0</v>
      </c>
      <c r="G50" s="21" t="str">
        <f t="shared" si="10"/>
        <v>-</v>
      </c>
      <c r="H50" s="14" t="str">
        <f t="shared" si="11"/>
        <v>-</v>
      </c>
      <c r="J50" s="16">
        <f>COUNTIF(Database!$D:$D,$B50)</f>
        <v>11</v>
      </c>
      <c r="K50" s="1">
        <f>COUNTIFS(Database!$D:$D,$B50,Database!$E:$E,"W")</f>
        <v>5</v>
      </c>
      <c r="L50" s="1">
        <f>COUNTIFS(Database!$D:$D,$B50,Database!$E:$E,"L")</f>
        <v>6</v>
      </c>
      <c r="M50" s="1">
        <f t="shared" si="12"/>
        <v>-1</v>
      </c>
      <c r="N50" s="21">
        <f t="shared" si="13"/>
        <v>0.45454545454545453</v>
      </c>
      <c r="O50" s="14">
        <f t="shared" si="14"/>
        <v>0.54545454545454541</v>
      </c>
      <c r="Q50" s="28">
        <f>IFERROR(IF(VLOOKUP(CONCATENATE($B50,Q$2),Database!$B:$E,4,0)="L",6,5),"")</f>
        <v>5</v>
      </c>
      <c r="R50" s="23">
        <f>IFERROR(IF(VLOOKUP(CONCATENATE($B50,R$2),Database!$B:$E,4,0)="L",6,5),"")</f>
        <v>6</v>
      </c>
      <c r="S50" s="23">
        <f>IFERROR(IF(VLOOKUP(CONCATENATE($B50,S$2),Database!$B:$E,4,0)="L",6,5),"")</f>
        <v>6</v>
      </c>
      <c r="T50" s="23">
        <f>IFERROR(IF(VLOOKUP(CONCATENATE($B50,T$2),Database!$B:$E,4,0)="L",6,5),"")</f>
        <v>5</v>
      </c>
      <c r="U50" s="29">
        <f>IFERROR(IF(VLOOKUP(CONCATENATE($B50,U$2),Database!$B:$E,4,0)="L",6,5),"")</f>
        <v>5</v>
      </c>
      <c r="V50" s="54"/>
      <c r="W50" s="62"/>
      <c r="X50" s="130"/>
      <c r="Z50" s="63" t="str">
        <f t="shared" si="8"/>
        <v>Y</v>
      </c>
      <c r="AB50" s="29">
        <f>IFERROR(IF(VLOOKUP(CONCATENATE($B50,AB$2),Database!$B:$E,4,0)="L",6,5),"")</f>
        <v>5</v>
      </c>
      <c r="AC50" s="29">
        <f>IFERROR(IF(VLOOKUP(CONCATENATE($B50,AC$2),Database!$B:$E,4,0)="L",6,5),"")</f>
        <v>5</v>
      </c>
      <c r="AD50" s="29">
        <f>IFERROR(IF(VLOOKUP(CONCATENATE($B50,AD$2),Database!$B:$E,4,0)="L",6,5),"")</f>
        <v>6</v>
      </c>
      <c r="AE50" s="29">
        <f>IFERROR(IF(VLOOKUP(CONCATENATE($B50,AE$2),Database!$B:$E,4,0)="L",6,5),"")</f>
        <v>6</v>
      </c>
      <c r="AF50" s="29">
        <f>IFERROR(IF(VLOOKUP(CONCATENATE($B50,AF$2),Database!$B:$E,4,0)="L",6,5),"")</f>
        <v>5</v>
      </c>
      <c r="AG50" s="29">
        <f>IFERROR(IF(VLOOKUP(CONCATENATE($B50,AG$2),Database!$B:$E,4,0)="L",6,5),"")</f>
        <v>6</v>
      </c>
      <c r="AH50" s="29">
        <f>IFERROR(IF(VLOOKUP(CONCATENATE($B50,AH$2),Database!$B:$E,4,0)="L",6,5),"")</f>
        <v>5</v>
      </c>
      <c r="AI50" s="29">
        <f>IFERROR(IF(VLOOKUP(CONCATENATE($B50,AI$2),Database!$B:$E,4,0)="L",6,5),"")</f>
        <v>6</v>
      </c>
      <c r="AJ50" s="29">
        <f>IFERROR(IF(VLOOKUP(CONCATENATE($B50,AJ$2),Database!$B:$E,4,0)="L",6,5),"")</f>
        <v>6</v>
      </c>
      <c r="AK50" s="29">
        <f>IFERROR(IF(VLOOKUP(CONCATENATE($B50,AK$2),Database!$B:$E,4,0)="L",6,5),"")</f>
        <v>6</v>
      </c>
      <c r="AL50" s="29">
        <f>IFERROR(IF(VLOOKUP(CONCATENATE($B50,AL$2),Database!$B:$E,4,0)="L",6,5),"")</f>
        <v>5</v>
      </c>
      <c r="AM50" s="29" t="str">
        <f>IFERROR(IF(VLOOKUP(CONCATENATE($B50,AM$2),Database!$B:$E,4,0)="L",6,5),"")</f>
        <v/>
      </c>
      <c r="AN50" s="29" t="str">
        <f>IFERROR(IF(VLOOKUP(CONCATENATE($B50,AN$2),Database!$B:$E,4,0)="L",6,5),"")</f>
        <v/>
      </c>
      <c r="AO50" s="29" t="str">
        <f>IFERROR(IF(VLOOKUP(CONCATENATE($B50,AO$2),Database!$B:$E,4,0)="L",6,5),"")</f>
        <v/>
      </c>
      <c r="AP50" s="29" t="str">
        <f>IFERROR(IF(VLOOKUP(CONCATENATE($B50,AP$2),Database!$B:$E,4,0)="L",6,5),"")</f>
        <v/>
      </c>
      <c r="AQ50" s="29" t="str">
        <f>IFERROR(IF(VLOOKUP(CONCATENATE($B50,AQ$2),Database!$B:$E,4,0)="L",6,5),"")</f>
        <v/>
      </c>
      <c r="AR50" s="29" t="str">
        <f>IFERROR(IF(VLOOKUP(CONCATENATE($B50,AR$2),Database!$B:$E,4,0)="L",6,5),"")</f>
        <v/>
      </c>
      <c r="AS50" s="29" t="str">
        <f>IFERROR(IF(VLOOKUP(CONCATENATE($B50,AS$2),Database!$B:$E,4,0)="L",6,5),"")</f>
        <v/>
      </c>
      <c r="AT50" s="29" t="str">
        <f>IFERROR(IF(VLOOKUP(CONCATENATE($B50,AT$2),Database!$B:$E,4,0)="L",6,5),"")</f>
        <v/>
      </c>
      <c r="AU50" s="29" t="str">
        <f>IFERROR(IF(VLOOKUP(CONCATENATE($B50,AU$2),Database!$B:$E,4,0)="L",6,5),"")</f>
        <v/>
      </c>
      <c r="AV50" s="29" t="str">
        <f>IFERROR(IF(VLOOKUP(CONCATENATE($B50,AV$2),Database!$B:$E,4,0)="L",6,5),"")</f>
        <v/>
      </c>
      <c r="AW50" s="29" t="str">
        <f>IFERROR(IF(VLOOKUP(CONCATENATE($B50,AW$2),Database!$B:$E,4,0)="L",6,5),"")</f>
        <v/>
      </c>
      <c r="AX50" s="29" t="str">
        <f>IFERROR(IF(VLOOKUP(CONCATENATE($B50,AX$2),Database!$B:$E,4,0)="L",6,5),"")</f>
        <v/>
      </c>
      <c r="AY50" s="29" t="str">
        <f>IFERROR(IF(VLOOKUP(CONCATENATE($B50,AY$2),Database!$B:$E,4,0)="L",6,5),"")</f>
        <v/>
      </c>
      <c r="AZ50" s="29" t="str">
        <f>IFERROR(IF(VLOOKUP(CONCATENATE($B50,AZ$2),Database!$B:$E,4,0)="L",6,5),"")</f>
        <v/>
      </c>
      <c r="BA50" s="29" t="str">
        <f>IFERROR(IF(VLOOKUP(CONCATENATE($B50,BA$2),Database!$B:$E,4,0)="L",6,5),"")</f>
        <v/>
      </c>
      <c r="BB50" s="29" t="str">
        <f>IFERROR(IF(VLOOKUP(CONCATENATE($B50,BB$2),Database!$B:$E,4,0)="L",6,5),"")</f>
        <v/>
      </c>
      <c r="BC50" s="29" t="str">
        <f>IFERROR(IF(VLOOKUP(CONCATENATE($B50,BC$2),Database!$B:$E,4,0)="L",6,5),"")</f>
        <v/>
      </c>
      <c r="BD50" s="29" t="str">
        <f>IFERROR(IF(VLOOKUP(CONCATENATE($B50,BD$2),Database!$B:$E,4,0)="L",6,5),"")</f>
        <v/>
      </c>
      <c r="BE50" s="29" t="str">
        <f>IFERROR(IF(VLOOKUP(CONCATENATE($B50,BE$2),Database!$B:$E,4,0)="L",6,5),"")</f>
        <v/>
      </c>
      <c r="BF50" s="29" t="str">
        <f>IFERROR(IF(VLOOKUP(CONCATENATE($B50,BF$2),Database!$B:$E,4,0)="L",6,5),"")</f>
        <v/>
      </c>
      <c r="BG50" s="29" t="str">
        <f>IFERROR(IF(VLOOKUP(CONCATENATE($B50,BG$2),Database!$B:$E,4,0)="L",6,5),"")</f>
        <v/>
      </c>
      <c r="BH50" s="29" t="str">
        <f>IFERROR(IF(VLOOKUP(CONCATENATE($B50,BH$2),Database!$B:$E,4,0)="L",6,5),"")</f>
        <v/>
      </c>
      <c r="BI50" s="29" t="str">
        <f>IFERROR(IF(VLOOKUP(CONCATENATE($B50,BI$2),Database!$B:$E,4,0)="L",6,5),"")</f>
        <v/>
      </c>
      <c r="BJ50" s="29" t="str">
        <f>IFERROR(IF(VLOOKUP(CONCATENATE($B50,BJ$2),Database!$B:$E,4,0)="L",6,5),"")</f>
        <v/>
      </c>
      <c r="BK50" s="29" t="str">
        <f>IFERROR(IF(VLOOKUP(CONCATENATE($B50,BK$2),Database!$B:$E,4,0)="L",6,5),"")</f>
        <v/>
      </c>
      <c r="BL50" s="29" t="str">
        <f>IFERROR(IF(VLOOKUP(CONCATENATE($B50,BL$2),Database!$B:$E,4,0)="L",6,5),"")</f>
        <v/>
      </c>
      <c r="BM50" s="29" t="str">
        <f>IFERROR(IF(VLOOKUP(CONCATENATE($B50,BM$2),Database!$B:$E,4,0)="L",6,5),"")</f>
        <v/>
      </c>
      <c r="BN50" s="29" t="str">
        <f>IFERROR(IF(VLOOKUP(CONCATENATE($B50,BN$2),Database!$B:$E,4,0)="L",6,5),"")</f>
        <v/>
      </c>
      <c r="BO50" s="29" t="str">
        <f>IFERROR(IF(VLOOKUP(CONCATENATE($B50,BO$2),Database!$B:$E,4,0)="L",6,5),"")</f>
        <v/>
      </c>
      <c r="BP50" s="29" t="str">
        <f>IFERROR(IF(VLOOKUP(CONCATENATE($B50,BP$2),Database!$B:$E,4,0)="L",6,5),"")</f>
        <v/>
      </c>
      <c r="BQ50" s="29" t="str">
        <f>IFERROR(IF(VLOOKUP(CONCATENATE($B50,BQ$2),Database!$B:$E,4,0)="L",6,5),"")</f>
        <v/>
      </c>
      <c r="BR50" s="29" t="str">
        <f>IFERROR(IF(VLOOKUP(CONCATENATE($B50,BR$2),Database!$B:$E,4,0)="L",6,5),"")</f>
        <v/>
      </c>
      <c r="BS50" s="29" t="str">
        <f>IFERROR(IF(VLOOKUP(CONCATENATE($B50,BS$2),Database!$B:$E,4,0)="L",6,5),"")</f>
        <v/>
      </c>
      <c r="BT50" s="29" t="str">
        <f>IFERROR(IF(VLOOKUP(CONCATENATE($B50,BT$2),Database!$B:$E,4,0)="L",6,5),"")</f>
        <v/>
      </c>
      <c r="BU50" s="29" t="str">
        <f>IFERROR(IF(VLOOKUP(CONCATENATE($B50,BU$2),Database!$B:$E,4,0)="L",6,5),"")</f>
        <v/>
      </c>
      <c r="BV50" s="29" t="str">
        <f>IFERROR(IF(VLOOKUP(CONCATENATE($B50,BV$2),Database!$B:$E,4,0)="L",6,5),"")</f>
        <v/>
      </c>
      <c r="BW50" s="29" t="str">
        <f>IFERROR(IF(VLOOKUP(CONCATENATE($B50,BW$2),Database!$B:$E,4,0)="L",6,5),"")</f>
        <v/>
      </c>
      <c r="BX50" s="29" t="str">
        <f>IFERROR(IF(VLOOKUP(CONCATENATE($B50,BX$2),Database!$B:$E,4,0)="L",6,5),"")</f>
        <v/>
      </c>
      <c r="BY50" s="29" t="str">
        <f>IFERROR(IF(VLOOKUP(CONCATENATE($B50,BY$2),Database!$B:$E,4,0)="L",6,5),"")</f>
        <v/>
      </c>
      <c r="BZ50" s="29" t="str">
        <f>IFERROR(IF(VLOOKUP(CONCATENATE($B50,BZ$2),Database!$B:$E,4,0)="L",6,5),"")</f>
        <v/>
      </c>
    </row>
    <row r="51" spans="2:78" ht="14.3" x14ac:dyDescent="0.3">
      <c r="B51" s="108" t="s">
        <v>18</v>
      </c>
      <c r="C51" s="16">
        <f>COUNTIFS(Database!$D:$D,$B51,Database!$C:$C,"&gt;1/1/25")</f>
        <v>0</v>
      </c>
      <c r="D51" s="1">
        <f>COUNTIFS(Database!$D:$D,$B51,Database!$E:$E,"W",Database!$C:$C,"&gt;1/1/25")</f>
        <v>0</v>
      </c>
      <c r="E51" s="1">
        <f>COUNTIFS(Database!$D:$D,$B51,Database!$E:$E,"L",Database!$C:$C,"&gt;1/1/25")</f>
        <v>0</v>
      </c>
      <c r="F51" s="1">
        <f t="shared" si="9"/>
        <v>0</v>
      </c>
      <c r="G51" s="21" t="str">
        <f t="shared" si="10"/>
        <v>-</v>
      </c>
      <c r="H51" s="14" t="str">
        <f t="shared" si="11"/>
        <v>-</v>
      </c>
      <c r="J51" s="16">
        <f>COUNTIF(Database!$D:$D,$B51)</f>
        <v>5</v>
      </c>
      <c r="K51" s="1">
        <f>COUNTIFS(Database!$D:$D,$B51,Database!$E:$E,"W")</f>
        <v>2</v>
      </c>
      <c r="L51" s="1">
        <f>COUNTIFS(Database!$D:$D,$B51,Database!$E:$E,"L")</f>
        <v>3</v>
      </c>
      <c r="M51" s="1">
        <f t="shared" si="12"/>
        <v>-1</v>
      </c>
      <c r="N51" s="21">
        <f t="shared" si="13"/>
        <v>0.4</v>
      </c>
      <c r="O51" s="14">
        <f t="shared" si="14"/>
        <v>0.6</v>
      </c>
      <c r="Q51" s="28">
        <f>IFERROR(IF(VLOOKUP(CONCATENATE($B51,Q$2),Database!$B:$E,4,0)="L",6,5),"")</f>
        <v>5</v>
      </c>
      <c r="R51" s="23">
        <f>IFERROR(IF(VLOOKUP(CONCATENATE($B51,R$2),Database!$B:$E,4,0)="L",6,5),"")</f>
        <v>6</v>
      </c>
      <c r="S51" s="23">
        <f>IFERROR(IF(VLOOKUP(CONCATENATE($B51,S$2),Database!$B:$E,4,0)="L",6,5),"")</f>
        <v>6</v>
      </c>
      <c r="T51" s="23">
        <f>IFERROR(IF(VLOOKUP(CONCATENATE($B51,T$2),Database!$B:$E,4,0)="L",6,5),"")</f>
        <v>6</v>
      </c>
      <c r="U51" s="29">
        <f>IFERROR(IF(VLOOKUP(CONCATENATE($B51,U$2),Database!$B:$E,4,0)="L",6,5),"")</f>
        <v>5</v>
      </c>
      <c r="V51" s="54"/>
      <c r="W51" s="56"/>
      <c r="X51" s="86"/>
      <c r="Z51" s="63" t="str">
        <f t="shared" si="8"/>
        <v>Y</v>
      </c>
      <c r="AB51" s="29">
        <f>IFERROR(IF(VLOOKUP(CONCATENATE($B51,AB$2),Database!$B:$E,4,0)="L",6,5),"")</f>
        <v>5</v>
      </c>
      <c r="AC51" s="29">
        <f>IFERROR(IF(VLOOKUP(CONCATENATE($B51,AC$2),Database!$B:$E,4,0)="L",6,5),"")</f>
        <v>6</v>
      </c>
      <c r="AD51" s="29">
        <f>IFERROR(IF(VLOOKUP(CONCATENATE($B51,AD$2),Database!$B:$E,4,0)="L",6,5),"")</f>
        <v>6</v>
      </c>
      <c r="AE51" s="29">
        <f>IFERROR(IF(VLOOKUP(CONCATENATE($B51,AE$2),Database!$B:$E,4,0)="L",6,5),"")</f>
        <v>6</v>
      </c>
      <c r="AF51" s="29">
        <f>IFERROR(IF(VLOOKUP(CONCATENATE($B51,AF$2),Database!$B:$E,4,0)="L",6,5),"")</f>
        <v>5</v>
      </c>
      <c r="AG51" s="29" t="str">
        <f>IFERROR(IF(VLOOKUP(CONCATENATE($B51,AG$2),Database!$B:$E,4,0)="L",6,5),"")</f>
        <v/>
      </c>
      <c r="AH51" s="29" t="str">
        <f>IFERROR(IF(VLOOKUP(CONCATENATE($B51,AH$2),Database!$B:$E,4,0)="L",6,5),"")</f>
        <v/>
      </c>
      <c r="AI51" s="29" t="str">
        <f>IFERROR(IF(VLOOKUP(CONCATENATE($B51,AI$2),Database!$B:$E,4,0)="L",6,5),"")</f>
        <v/>
      </c>
      <c r="AJ51" s="29" t="str">
        <f>IFERROR(IF(VLOOKUP(CONCATENATE($B51,AJ$2),Database!$B:$E,4,0)="L",6,5),"")</f>
        <v/>
      </c>
      <c r="AK51" s="29" t="str">
        <f>IFERROR(IF(VLOOKUP(CONCATENATE($B51,AK$2),Database!$B:$E,4,0)="L",6,5),"")</f>
        <v/>
      </c>
      <c r="AL51" s="29" t="str">
        <f>IFERROR(IF(VLOOKUP(CONCATENATE($B51,AL$2),Database!$B:$E,4,0)="L",6,5),"")</f>
        <v/>
      </c>
      <c r="AM51" s="29" t="str">
        <f>IFERROR(IF(VLOOKUP(CONCATENATE($B51,AM$2),Database!$B:$E,4,0)="L",6,5),"")</f>
        <v/>
      </c>
      <c r="AN51" s="29" t="str">
        <f>IFERROR(IF(VLOOKUP(CONCATENATE($B51,AN$2),Database!$B:$E,4,0)="L",6,5),"")</f>
        <v/>
      </c>
      <c r="AO51" s="29" t="str">
        <f>IFERROR(IF(VLOOKUP(CONCATENATE($B51,AO$2),Database!$B:$E,4,0)="L",6,5),"")</f>
        <v/>
      </c>
      <c r="AP51" s="29" t="str">
        <f>IFERROR(IF(VLOOKUP(CONCATENATE($B51,AP$2),Database!$B:$E,4,0)="L",6,5),"")</f>
        <v/>
      </c>
      <c r="AQ51" s="29" t="str">
        <f>IFERROR(IF(VLOOKUP(CONCATENATE($B51,AQ$2),Database!$B:$E,4,0)="L",6,5),"")</f>
        <v/>
      </c>
      <c r="AR51" s="29" t="str">
        <f>IFERROR(IF(VLOOKUP(CONCATENATE($B51,AR$2),Database!$B:$E,4,0)="L",6,5),"")</f>
        <v/>
      </c>
      <c r="AS51" s="29" t="str">
        <f>IFERROR(IF(VLOOKUP(CONCATENATE($B51,AS$2),Database!$B:$E,4,0)="L",6,5),"")</f>
        <v/>
      </c>
      <c r="AT51" s="29" t="str">
        <f>IFERROR(IF(VLOOKUP(CONCATENATE($B51,AT$2),Database!$B:$E,4,0)="L",6,5),"")</f>
        <v/>
      </c>
      <c r="AU51" s="29" t="str">
        <f>IFERROR(IF(VLOOKUP(CONCATENATE($B51,AU$2),Database!$B:$E,4,0)="L",6,5),"")</f>
        <v/>
      </c>
      <c r="AV51" s="29" t="str">
        <f>IFERROR(IF(VLOOKUP(CONCATENATE($B51,AV$2),Database!$B:$E,4,0)="L",6,5),"")</f>
        <v/>
      </c>
      <c r="AW51" s="29" t="str">
        <f>IFERROR(IF(VLOOKUP(CONCATENATE($B51,AW$2),Database!$B:$E,4,0)="L",6,5),"")</f>
        <v/>
      </c>
      <c r="AX51" s="29" t="str">
        <f>IFERROR(IF(VLOOKUP(CONCATENATE($B51,AX$2),Database!$B:$E,4,0)="L",6,5),"")</f>
        <v/>
      </c>
      <c r="AY51" s="29" t="str">
        <f>IFERROR(IF(VLOOKUP(CONCATENATE($B51,AY$2),Database!$B:$E,4,0)="L",6,5),"")</f>
        <v/>
      </c>
      <c r="AZ51" s="29" t="str">
        <f>IFERROR(IF(VLOOKUP(CONCATENATE($B51,AZ$2),Database!$B:$E,4,0)="L",6,5),"")</f>
        <v/>
      </c>
      <c r="BA51" s="29" t="str">
        <f>IFERROR(IF(VLOOKUP(CONCATENATE($B51,BA$2),Database!$B:$E,4,0)="L",6,5),"")</f>
        <v/>
      </c>
      <c r="BB51" s="29" t="str">
        <f>IFERROR(IF(VLOOKUP(CONCATENATE($B51,BB$2),Database!$B:$E,4,0)="L",6,5),"")</f>
        <v/>
      </c>
      <c r="BC51" s="29" t="str">
        <f>IFERROR(IF(VLOOKUP(CONCATENATE($B51,BC$2),Database!$B:$E,4,0)="L",6,5),"")</f>
        <v/>
      </c>
      <c r="BD51" s="29" t="str">
        <f>IFERROR(IF(VLOOKUP(CONCATENATE($B51,BD$2),Database!$B:$E,4,0)="L",6,5),"")</f>
        <v/>
      </c>
      <c r="BE51" s="29" t="str">
        <f>IFERROR(IF(VLOOKUP(CONCATENATE($B51,BE$2),Database!$B:$E,4,0)="L",6,5),"")</f>
        <v/>
      </c>
      <c r="BF51" s="29" t="str">
        <f>IFERROR(IF(VLOOKUP(CONCATENATE($B51,BF$2),Database!$B:$E,4,0)="L",6,5),"")</f>
        <v/>
      </c>
      <c r="BG51" s="29" t="str">
        <f>IFERROR(IF(VLOOKUP(CONCATENATE($B51,BG$2),Database!$B:$E,4,0)="L",6,5),"")</f>
        <v/>
      </c>
      <c r="BH51" s="29" t="str">
        <f>IFERROR(IF(VLOOKUP(CONCATENATE($B51,BH$2),Database!$B:$E,4,0)="L",6,5),"")</f>
        <v/>
      </c>
      <c r="BI51" s="29" t="str">
        <f>IFERROR(IF(VLOOKUP(CONCATENATE($B51,BI$2),Database!$B:$E,4,0)="L",6,5),"")</f>
        <v/>
      </c>
      <c r="BJ51" s="29" t="str">
        <f>IFERROR(IF(VLOOKUP(CONCATENATE($B51,BJ$2),Database!$B:$E,4,0)="L",6,5),"")</f>
        <v/>
      </c>
      <c r="BK51" s="29" t="str">
        <f>IFERROR(IF(VLOOKUP(CONCATENATE($B51,BK$2),Database!$B:$E,4,0)="L",6,5),"")</f>
        <v/>
      </c>
      <c r="BL51" s="29" t="str">
        <f>IFERROR(IF(VLOOKUP(CONCATENATE($B51,BL$2),Database!$B:$E,4,0)="L",6,5),"")</f>
        <v/>
      </c>
      <c r="BM51" s="29" t="str">
        <f>IFERROR(IF(VLOOKUP(CONCATENATE($B51,BM$2),Database!$B:$E,4,0)="L",6,5),"")</f>
        <v/>
      </c>
      <c r="BN51" s="29" t="str">
        <f>IFERROR(IF(VLOOKUP(CONCATENATE($B51,BN$2),Database!$B:$E,4,0)="L",6,5),"")</f>
        <v/>
      </c>
      <c r="BO51" s="29" t="str">
        <f>IFERROR(IF(VLOOKUP(CONCATENATE($B51,BO$2),Database!$B:$E,4,0)="L",6,5),"")</f>
        <v/>
      </c>
      <c r="BP51" s="29" t="str">
        <f>IFERROR(IF(VLOOKUP(CONCATENATE($B51,BP$2),Database!$B:$E,4,0)="L",6,5),"")</f>
        <v/>
      </c>
      <c r="BQ51" s="29" t="str">
        <f>IFERROR(IF(VLOOKUP(CONCATENATE($B51,BQ$2),Database!$B:$E,4,0)="L",6,5),"")</f>
        <v/>
      </c>
      <c r="BR51" s="29" t="str">
        <f>IFERROR(IF(VLOOKUP(CONCATENATE($B51,BR$2),Database!$B:$E,4,0)="L",6,5),"")</f>
        <v/>
      </c>
      <c r="BS51" s="29" t="str">
        <f>IFERROR(IF(VLOOKUP(CONCATENATE($B51,BS$2),Database!$B:$E,4,0)="L",6,5),"")</f>
        <v/>
      </c>
      <c r="BT51" s="29" t="str">
        <f>IFERROR(IF(VLOOKUP(CONCATENATE($B51,BT$2),Database!$B:$E,4,0)="L",6,5),"")</f>
        <v/>
      </c>
      <c r="BU51" s="29" t="str">
        <f>IFERROR(IF(VLOOKUP(CONCATENATE($B51,BU$2),Database!$B:$E,4,0)="L",6,5),"")</f>
        <v/>
      </c>
      <c r="BV51" s="29" t="str">
        <f>IFERROR(IF(VLOOKUP(CONCATENATE($B51,BV$2),Database!$B:$E,4,0)="L",6,5),"")</f>
        <v/>
      </c>
      <c r="BW51" s="29" t="str">
        <f>IFERROR(IF(VLOOKUP(CONCATENATE($B51,BW$2),Database!$B:$E,4,0)="L",6,5),"")</f>
        <v/>
      </c>
      <c r="BX51" s="29" t="str">
        <f>IFERROR(IF(VLOOKUP(CONCATENATE($B51,BX$2),Database!$B:$E,4,0)="L",6,5),"")</f>
        <v/>
      </c>
      <c r="BY51" s="29" t="str">
        <f>IFERROR(IF(VLOOKUP(CONCATENATE($B51,BY$2),Database!$B:$E,4,0)="L",6,5),"")</f>
        <v/>
      </c>
      <c r="BZ51" s="29" t="str">
        <f>IFERROR(IF(VLOOKUP(CONCATENATE($B51,BZ$2),Database!$B:$E,4,0)="L",6,5),"")</f>
        <v/>
      </c>
    </row>
    <row r="52" spans="2:78" ht="14.3" x14ac:dyDescent="0.3">
      <c r="B52" s="108" t="s">
        <v>27</v>
      </c>
      <c r="C52" s="16">
        <f>COUNTIFS(Database!$D:$D,$B52,Database!$C:$C,"&gt;1/1/25")</f>
        <v>0</v>
      </c>
      <c r="D52" s="1">
        <f>COUNTIFS(Database!$D:$D,$B52,Database!$E:$E,"W",Database!$C:$C,"&gt;1/1/25")</f>
        <v>0</v>
      </c>
      <c r="E52" s="1">
        <f>COUNTIFS(Database!$D:$D,$B52,Database!$E:$E,"L",Database!$C:$C,"&gt;1/1/25")</f>
        <v>0</v>
      </c>
      <c r="F52" s="1">
        <f t="shared" si="9"/>
        <v>0</v>
      </c>
      <c r="G52" s="21" t="str">
        <f t="shared" si="10"/>
        <v>-</v>
      </c>
      <c r="H52" s="14" t="str">
        <f t="shared" si="11"/>
        <v>-</v>
      </c>
      <c r="J52" s="16">
        <f>COUNTIF(Database!$D:$D,$B52)</f>
        <v>5</v>
      </c>
      <c r="K52" s="1">
        <f>COUNTIFS(Database!$D:$D,$B52,Database!$E:$E,"W")</f>
        <v>2</v>
      </c>
      <c r="L52" s="1">
        <f>COUNTIFS(Database!$D:$D,$B52,Database!$E:$E,"L")</f>
        <v>3</v>
      </c>
      <c r="M52" s="1">
        <f t="shared" si="12"/>
        <v>-1</v>
      </c>
      <c r="N52" s="21">
        <f t="shared" si="13"/>
        <v>0.4</v>
      </c>
      <c r="O52" s="14">
        <f t="shared" si="14"/>
        <v>0.6</v>
      </c>
      <c r="Q52" s="28">
        <f>IFERROR(IF(VLOOKUP(CONCATENATE($B52,Q$2),Database!$B:$E,4,0)="L",6,5),"")</f>
        <v>6</v>
      </c>
      <c r="R52" s="23">
        <f>IFERROR(IF(VLOOKUP(CONCATENATE($B52,R$2),Database!$B:$E,4,0)="L",6,5),"")</f>
        <v>6</v>
      </c>
      <c r="S52" s="23">
        <f>IFERROR(IF(VLOOKUP(CONCATENATE($B52,S$2),Database!$B:$E,4,0)="L",6,5),"")</f>
        <v>6</v>
      </c>
      <c r="T52" s="23">
        <f>IFERROR(IF(VLOOKUP(CONCATENATE($B52,T$2),Database!$B:$E,4,0)="L",6,5),"")</f>
        <v>5</v>
      </c>
      <c r="U52" s="29">
        <f>IFERROR(IF(VLOOKUP(CONCATENATE($B52,U$2),Database!$B:$E,4,0)="L",6,5),"")</f>
        <v>5</v>
      </c>
      <c r="V52" s="54"/>
      <c r="W52" s="62"/>
      <c r="X52" s="86"/>
      <c r="Z52" s="63" t="str">
        <f t="shared" si="8"/>
        <v>Y</v>
      </c>
      <c r="AB52" s="29">
        <f>IFERROR(IF(VLOOKUP(CONCATENATE($B52,AB$2),Database!$B:$E,4,0)="L",6,5),"")</f>
        <v>5</v>
      </c>
      <c r="AC52" s="29">
        <f>IFERROR(IF(VLOOKUP(CONCATENATE($B52,AC$2),Database!$B:$E,4,0)="L",6,5),"")</f>
        <v>5</v>
      </c>
      <c r="AD52" s="29">
        <f>IFERROR(IF(VLOOKUP(CONCATENATE($B52,AD$2),Database!$B:$E,4,0)="L",6,5),"")</f>
        <v>6</v>
      </c>
      <c r="AE52" s="29">
        <f>IFERROR(IF(VLOOKUP(CONCATENATE($B52,AE$2),Database!$B:$E,4,0)="L",6,5),"")</f>
        <v>6</v>
      </c>
      <c r="AF52" s="29">
        <f>IFERROR(IF(VLOOKUP(CONCATENATE($B52,AF$2),Database!$B:$E,4,0)="L",6,5),"")</f>
        <v>6</v>
      </c>
      <c r="AG52" s="29" t="str">
        <f>IFERROR(IF(VLOOKUP(CONCATENATE($B52,AG$2),Database!$B:$E,4,0)="L",6,5),"")</f>
        <v/>
      </c>
      <c r="AH52" s="29" t="str">
        <f>IFERROR(IF(VLOOKUP(CONCATENATE($B52,AH$2),Database!$B:$E,4,0)="L",6,5),"")</f>
        <v/>
      </c>
      <c r="AI52" s="29" t="str">
        <f>IFERROR(IF(VLOOKUP(CONCATENATE($B52,AI$2),Database!$B:$E,4,0)="L",6,5),"")</f>
        <v/>
      </c>
      <c r="AJ52" s="29" t="str">
        <f>IFERROR(IF(VLOOKUP(CONCATENATE($B52,AJ$2),Database!$B:$E,4,0)="L",6,5),"")</f>
        <v/>
      </c>
      <c r="AK52" s="29" t="str">
        <f>IFERROR(IF(VLOOKUP(CONCATENATE($B52,AK$2),Database!$B:$E,4,0)="L",6,5),"")</f>
        <v/>
      </c>
      <c r="AL52" s="29" t="str">
        <f>IFERROR(IF(VLOOKUP(CONCATENATE($B52,AL$2),Database!$B:$E,4,0)="L",6,5),"")</f>
        <v/>
      </c>
      <c r="AM52" s="29" t="str">
        <f>IFERROR(IF(VLOOKUP(CONCATENATE($B52,AM$2),Database!$B:$E,4,0)="L",6,5),"")</f>
        <v/>
      </c>
      <c r="AN52" s="29" t="str">
        <f>IFERROR(IF(VLOOKUP(CONCATENATE($B52,AN$2),Database!$B:$E,4,0)="L",6,5),"")</f>
        <v/>
      </c>
      <c r="AO52" s="29" t="str">
        <f>IFERROR(IF(VLOOKUP(CONCATENATE($B52,AO$2),Database!$B:$E,4,0)="L",6,5),"")</f>
        <v/>
      </c>
      <c r="AP52" s="29" t="str">
        <f>IFERROR(IF(VLOOKUP(CONCATENATE($B52,AP$2),Database!$B:$E,4,0)="L",6,5),"")</f>
        <v/>
      </c>
      <c r="AQ52" s="29" t="str">
        <f>IFERROR(IF(VLOOKUP(CONCATENATE($B52,AQ$2),Database!$B:$E,4,0)="L",6,5),"")</f>
        <v/>
      </c>
      <c r="AR52" s="29" t="str">
        <f>IFERROR(IF(VLOOKUP(CONCATENATE($B52,AR$2),Database!$B:$E,4,0)="L",6,5),"")</f>
        <v/>
      </c>
      <c r="AS52" s="29" t="str">
        <f>IFERROR(IF(VLOOKUP(CONCATENATE($B52,AS$2),Database!$B:$E,4,0)="L",6,5),"")</f>
        <v/>
      </c>
      <c r="AT52" s="29" t="str">
        <f>IFERROR(IF(VLOOKUP(CONCATENATE($B52,AT$2),Database!$B:$E,4,0)="L",6,5),"")</f>
        <v/>
      </c>
      <c r="AU52" s="29" t="str">
        <f>IFERROR(IF(VLOOKUP(CONCATENATE($B52,AU$2),Database!$B:$E,4,0)="L",6,5),"")</f>
        <v/>
      </c>
      <c r="AV52" s="29" t="str">
        <f>IFERROR(IF(VLOOKUP(CONCATENATE($B52,AV$2),Database!$B:$E,4,0)="L",6,5),"")</f>
        <v/>
      </c>
      <c r="AW52" s="29" t="str">
        <f>IFERROR(IF(VLOOKUP(CONCATENATE($B52,AW$2),Database!$B:$E,4,0)="L",6,5),"")</f>
        <v/>
      </c>
      <c r="AX52" s="29" t="str">
        <f>IFERROR(IF(VLOOKUP(CONCATENATE($B52,AX$2),Database!$B:$E,4,0)="L",6,5),"")</f>
        <v/>
      </c>
      <c r="AY52" s="29" t="str">
        <f>IFERROR(IF(VLOOKUP(CONCATENATE($B52,AY$2),Database!$B:$E,4,0)="L",6,5),"")</f>
        <v/>
      </c>
      <c r="AZ52" s="29" t="str">
        <f>IFERROR(IF(VLOOKUP(CONCATENATE($B52,AZ$2),Database!$B:$E,4,0)="L",6,5),"")</f>
        <v/>
      </c>
      <c r="BA52" s="29" t="str">
        <f>IFERROR(IF(VLOOKUP(CONCATENATE($B52,BA$2),Database!$B:$E,4,0)="L",6,5),"")</f>
        <v/>
      </c>
      <c r="BB52" s="29" t="str">
        <f>IFERROR(IF(VLOOKUP(CONCATENATE($B52,BB$2),Database!$B:$E,4,0)="L",6,5),"")</f>
        <v/>
      </c>
      <c r="BC52" s="29" t="str">
        <f>IFERROR(IF(VLOOKUP(CONCATENATE($B52,BC$2),Database!$B:$E,4,0)="L",6,5),"")</f>
        <v/>
      </c>
      <c r="BD52" s="29" t="str">
        <f>IFERROR(IF(VLOOKUP(CONCATENATE($B52,BD$2),Database!$B:$E,4,0)="L",6,5),"")</f>
        <v/>
      </c>
      <c r="BE52" s="29" t="str">
        <f>IFERROR(IF(VLOOKUP(CONCATENATE($B52,BE$2),Database!$B:$E,4,0)="L",6,5),"")</f>
        <v/>
      </c>
      <c r="BF52" s="29" t="str">
        <f>IFERROR(IF(VLOOKUP(CONCATENATE($B52,BF$2),Database!$B:$E,4,0)="L",6,5),"")</f>
        <v/>
      </c>
      <c r="BG52" s="29" t="str">
        <f>IFERROR(IF(VLOOKUP(CONCATENATE($B52,BG$2),Database!$B:$E,4,0)="L",6,5),"")</f>
        <v/>
      </c>
      <c r="BH52" s="29" t="str">
        <f>IFERROR(IF(VLOOKUP(CONCATENATE($B52,BH$2),Database!$B:$E,4,0)="L",6,5),"")</f>
        <v/>
      </c>
      <c r="BI52" s="29" t="str">
        <f>IFERROR(IF(VLOOKUP(CONCATENATE($B52,BI$2),Database!$B:$E,4,0)="L",6,5),"")</f>
        <v/>
      </c>
      <c r="BJ52" s="29" t="str">
        <f>IFERROR(IF(VLOOKUP(CONCATENATE($B52,BJ$2),Database!$B:$E,4,0)="L",6,5),"")</f>
        <v/>
      </c>
      <c r="BK52" s="29" t="str">
        <f>IFERROR(IF(VLOOKUP(CONCATENATE($B52,BK$2),Database!$B:$E,4,0)="L",6,5),"")</f>
        <v/>
      </c>
      <c r="BL52" s="29" t="str">
        <f>IFERROR(IF(VLOOKUP(CONCATENATE($B52,BL$2),Database!$B:$E,4,0)="L",6,5),"")</f>
        <v/>
      </c>
      <c r="BM52" s="29" t="str">
        <f>IFERROR(IF(VLOOKUP(CONCATENATE($B52,BM$2),Database!$B:$E,4,0)="L",6,5),"")</f>
        <v/>
      </c>
      <c r="BN52" s="29" t="str">
        <f>IFERROR(IF(VLOOKUP(CONCATENATE($B52,BN$2),Database!$B:$E,4,0)="L",6,5),"")</f>
        <v/>
      </c>
      <c r="BO52" s="29" t="str">
        <f>IFERROR(IF(VLOOKUP(CONCATENATE($B52,BO$2),Database!$B:$E,4,0)="L",6,5),"")</f>
        <v/>
      </c>
      <c r="BP52" s="29" t="str">
        <f>IFERROR(IF(VLOOKUP(CONCATENATE($B52,BP$2),Database!$B:$E,4,0)="L",6,5),"")</f>
        <v/>
      </c>
      <c r="BQ52" s="29" t="str">
        <f>IFERROR(IF(VLOOKUP(CONCATENATE($B52,BQ$2),Database!$B:$E,4,0)="L",6,5),"")</f>
        <v/>
      </c>
      <c r="BR52" s="29" t="str">
        <f>IFERROR(IF(VLOOKUP(CONCATENATE($B52,BR$2),Database!$B:$E,4,0)="L",6,5),"")</f>
        <v/>
      </c>
      <c r="BS52" s="29" t="str">
        <f>IFERROR(IF(VLOOKUP(CONCATENATE($B52,BS$2),Database!$B:$E,4,0)="L",6,5),"")</f>
        <v/>
      </c>
      <c r="BT52" s="29" t="str">
        <f>IFERROR(IF(VLOOKUP(CONCATENATE($B52,BT$2),Database!$B:$E,4,0)="L",6,5),"")</f>
        <v/>
      </c>
      <c r="BU52" s="29" t="str">
        <f>IFERROR(IF(VLOOKUP(CONCATENATE($B52,BU$2),Database!$B:$E,4,0)="L",6,5),"")</f>
        <v/>
      </c>
      <c r="BV52" s="29" t="str">
        <f>IFERROR(IF(VLOOKUP(CONCATENATE($B52,BV$2),Database!$B:$E,4,0)="L",6,5),"")</f>
        <v/>
      </c>
      <c r="BW52" s="29" t="str">
        <f>IFERROR(IF(VLOOKUP(CONCATENATE($B52,BW$2),Database!$B:$E,4,0)="L",6,5),"")</f>
        <v/>
      </c>
      <c r="BX52" s="29" t="str">
        <f>IFERROR(IF(VLOOKUP(CONCATENATE($B52,BX$2),Database!$B:$E,4,0)="L",6,5),"")</f>
        <v/>
      </c>
      <c r="BY52" s="29" t="str">
        <f>IFERROR(IF(VLOOKUP(CONCATENATE($B52,BY$2),Database!$B:$E,4,0)="L",6,5),"")</f>
        <v/>
      </c>
      <c r="BZ52" s="29" t="str">
        <f>IFERROR(IF(VLOOKUP(CONCATENATE($B52,BZ$2),Database!$B:$E,4,0)="L",6,5),"")</f>
        <v/>
      </c>
    </row>
    <row r="53" spans="2:78" ht="14.3" x14ac:dyDescent="0.3">
      <c r="B53" s="19" t="s">
        <v>24</v>
      </c>
      <c r="C53" s="16">
        <f>COUNTIFS(Database!$D:$D,$B53,Database!$C:$C,"&gt;1/1/25")</f>
        <v>0</v>
      </c>
      <c r="D53" s="1">
        <f>COUNTIFS(Database!$D:$D,$B53,Database!$E:$E,"W",Database!$C:$C,"&gt;1/1/25")</f>
        <v>0</v>
      </c>
      <c r="E53" s="1">
        <f>COUNTIFS(Database!$D:$D,$B53,Database!$E:$E,"L",Database!$C:$C,"&gt;1/1/25")</f>
        <v>0</v>
      </c>
      <c r="F53" s="1">
        <f t="shared" si="9"/>
        <v>0</v>
      </c>
      <c r="G53" s="21" t="str">
        <f t="shared" si="10"/>
        <v>-</v>
      </c>
      <c r="H53" s="14" t="str">
        <f t="shared" si="11"/>
        <v>-</v>
      </c>
      <c r="J53" s="16">
        <f>COUNTIF(Database!$D:$D,$B53)</f>
        <v>10</v>
      </c>
      <c r="K53" s="1">
        <f>COUNTIFS(Database!$D:$D,$B53,Database!$E:$E,"W")</f>
        <v>4</v>
      </c>
      <c r="L53" s="1">
        <f>COUNTIFS(Database!$D:$D,$B53,Database!$E:$E,"L")</f>
        <v>6</v>
      </c>
      <c r="M53" s="1">
        <f t="shared" si="12"/>
        <v>-2</v>
      </c>
      <c r="N53" s="21">
        <f t="shared" si="13"/>
        <v>0.4</v>
      </c>
      <c r="O53" s="14">
        <f t="shared" si="14"/>
        <v>0.6</v>
      </c>
      <c r="Q53" s="28">
        <f>IFERROR(IF(VLOOKUP(CONCATENATE($B53,Q$2),Database!$B:$E,4,0)="L",6,5),"")</f>
        <v>5</v>
      </c>
      <c r="R53" s="23">
        <f>IFERROR(IF(VLOOKUP(CONCATENATE($B53,R$2),Database!$B:$E,4,0)="L",6,5),"")</f>
        <v>6</v>
      </c>
      <c r="S53" s="23">
        <f>IFERROR(IF(VLOOKUP(CONCATENATE($B53,S$2),Database!$B:$E,4,0)="L",6,5),"")</f>
        <v>6</v>
      </c>
      <c r="T53" s="23">
        <f>IFERROR(IF(VLOOKUP(CONCATENATE($B53,T$2),Database!$B:$E,4,0)="L",6,5),"")</f>
        <v>5</v>
      </c>
      <c r="U53" s="29">
        <f>IFERROR(IF(VLOOKUP(CONCATENATE($B53,U$2),Database!$B:$E,4,0)="L",6,5),"")</f>
        <v>6</v>
      </c>
      <c r="V53" s="55"/>
      <c r="W53" s="56"/>
      <c r="X53" s="86"/>
      <c r="Z53" s="63" t="str">
        <f t="shared" si="8"/>
        <v>Y</v>
      </c>
      <c r="AB53" s="29">
        <f>IFERROR(IF(VLOOKUP(CONCATENATE($B53,AB$2),Database!$B:$E,4,0)="L",6,5),"")</f>
        <v>6</v>
      </c>
      <c r="AC53" s="29">
        <f>IFERROR(IF(VLOOKUP(CONCATENATE($B53,AC$2),Database!$B:$E,4,0)="L",6,5),"")</f>
        <v>5</v>
      </c>
      <c r="AD53" s="29">
        <f>IFERROR(IF(VLOOKUP(CONCATENATE($B53,AD$2),Database!$B:$E,4,0)="L",6,5),"")</f>
        <v>6</v>
      </c>
      <c r="AE53" s="29">
        <f>IFERROR(IF(VLOOKUP(CONCATENATE($B53,AE$2),Database!$B:$E,4,0)="L",6,5),"")</f>
        <v>6</v>
      </c>
      <c r="AF53" s="29">
        <f>IFERROR(IF(VLOOKUP(CONCATENATE($B53,AF$2),Database!$B:$E,4,0)="L",6,5),"")</f>
        <v>5</v>
      </c>
      <c r="AG53" s="29">
        <f>IFERROR(IF(VLOOKUP(CONCATENATE($B53,AG$2),Database!$B:$E,4,0)="L",6,5),"")</f>
        <v>6</v>
      </c>
      <c r="AH53" s="29">
        <f>IFERROR(IF(VLOOKUP(CONCATENATE($B53,AH$2),Database!$B:$E,4,0)="L",6,5),"")</f>
        <v>6</v>
      </c>
      <c r="AI53" s="29">
        <f>IFERROR(IF(VLOOKUP(CONCATENATE($B53,AI$2),Database!$B:$E,4,0)="L",6,5),"")</f>
        <v>5</v>
      </c>
      <c r="AJ53" s="29">
        <f>IFERROR(IF(VLOOKUP(CONCATENATE($B53,AJ$2),Database!$B:$E,4,0)="L",6,5),"")</f>
        <v>5</v>
      </c>
      <c r="AK53" s="29">
        <f>IFERROR(IF(VLOOKUP(CONCATENATE($B53,AK$2),Database!$B:$E,4,0)="L",6,5),"")</f>
        <v>6</v>
      </c>
      <c r="AL53" s="29" t="str">
        <f>IFERROR(IF(VLOOKUP(CONCATENATE($B53,AL$2),Database!$B:$E,4,0)="L",6,5),"")</f>
        <v/>
      </c>
      <c r="AM53" s="29" t="str">
        <f>IFERROR(IF(VLOOKUP(CONCATENATE($B53,AM$2),Database!$B:$E,4,0)="L",6,5),"")</f>
        <v/>
      </c>
      <c r="AN53" s="29" t="str">
        <f>IFERROR(IF(VLOOKUP(CONCATENATE($B53,AN$2),Database!$B:$E,4,0)="L",6,5),"")</f>
        <v/>
      </c>
      <c r="AO53" s="29" t="str">
        <f>IFERROR(IF(VLOOKUP(CONCATENATE($B53,AO$2),Database!$B:$E,4,0)="L",6,5),"")</f>
        <v/>
      </c>
      <c r="AP53" s="29" t="str">
        <f>IFERROR(IF(VLOOKUP(CONCATENATE($B53,AP$2),Database!$B:$E,4,0)="L",6,5),"")</f>
        <v/>
      </c>
      <c r="AQ53" s="29" t="str">
        <f>IFERROR(IF(VLOOKUP(CONCATENATE($B53,AQ$2),Database!$B:$E,4,0)="L",6,5),"")</f>
        <v/>
      </c>
      <c r="AR53" s="29" t="str">
        <f>IFERROR(IF(VLOOKUP(CONCATENATE($B53,AR$2),Database!$B:$E,4,0)="L",6,5),"")</f>
        <v/>
      </c>
      <c r="AS53" s="29" t="str">
        <f>IFERROR(IF(VLOOKUP(CONCATENATE($B53,AS$2),Database!$B:$E,4,0)="L",6,5),"")</f>
        <v/>
      </c>
      <c r="AT53" s="29" t="str">
        <f>IFERROR(IF(VLOOKUP(CONCATENATE($B53,AT$2),Database!$B:$E,4,0)="L",6,5),"")</f>
        <v/>
      </c>
      <c r="AU53" s="29" t="str">
        <f>IFERROR(IF(VLOOKUP(CONCATENATE($B53,AU$2),Database!$B:$E,4,0)="L",6,5),"")</f>
        <v/>
      </c>
      <c r="AV53" s="29" t="str">
        <f>IFERROR(IF(VLOOKUP(CONCATENATE($B53,AV$2),Database!$B:$E,4,0)="L",6,5),"")</f>
        <v/>
      </c>
      <c r="AW53" s="29" t="str">
        <f>IFERROR(IF(VLOOKUP(CONCATENATE($B53,AW$2),Database!$B:$E,4,0)="L",6,5),"")</f>
        <v/>
      </c>
      <c r="AX53" s="29" t="str">
        <f>IFERROR(IF(VLOOKUP(CONCATENATE($B53,AX$2),Database!$B:$E,4,0)="L",6,5),"")</f>
        <v/>
      </c>
      <c r="AY53" s="29" t="str">
        <f>IFERROR(IF(VLOOKUP(CONCATENATE($B53,AY$2),Database!$B:$E,4,0)="L",6,5),"")</f>
        <v/>
      </c>
      <c r="AZ53" s="29" t="str">
        <f>IFERROR(IF(VLOOKUP(CONCATENATE($B53,AZ$2),Database!$B:$E,4,0)="L",6,5),"")</f>
        <v/>
      </c>
      <c r="BA53" s="29" t="str">
        <f>IFERROR(IF(VLOOKUP(CONCATENATE($B53,BA$2),Database!$B:$E,4,0)="L",6,5),"")</f>
        <v/>
      </c>
      <c r="BB53" s="29" t="str">
        <f>IFERROR(IF(VLOOKUP(CONCATENATE($B53,BB$2),Database!$B:$E,4,0)="L",6,5),"")</f>
        <v/>
      </c>
      <c r="BC53" s="29" t="str">
        <f>IFERROR(IF(VLOOKUP(CONCATENATE($B53,BC$2),Database!$B:$E,4,0)="L",6,5),"")</f>
        <v/>
      </c>
      <c r="BD53" s="29" t="str">
        <f>IFERROR(IF(VLOOKUP(CONCATENATE($B53,BD$2),Database!$B:$E,4,0)="L",6,5),"")</f>
        <v/>
      </c>
      <c r="BE53" s="29" t="str">
        <f>IFERROR(IF(VLOOKUP(CONCATENATE($B53,BE$2),Database!$B:$E,4,0)="L",6,5),"")</f>
        <v/>
      </c>
      <c r="BF53" s="29" t="str">
        <f>IFERROR(IF(VLOOKUP(CONCATENATE($B53,BF$2),Database!$B:$E,4,0)="L",6,5),"")</f>
        <v/>
      </c>
      <c r="BG53" s="29" t="str">
        <f>IFERROR(IF(VLOOKUP(CONCATENATE($B53,BG$2),Database!$B:$E,4,0)="L",6,5),"")</f>
        <v/>
      </c>
      <c r="BH53" s="29" t="str">
        <f>IFERROR(IF(VLOOKUP(CONCATENATE($B53,BH$2),Database!$B:$E,4,0)="L",6,5),"")</f>
        <v/>
      </c>
      <c r="BI53" s="29" t="str">
        <f>IFERROR(IF(VLOOKUP(CONCATENATE($B53,BI$2),Database!$B:$E,4,0)="L",6,5),"")</f>
        <v/>
      </c>
      <c r="BJ53" s="29" t="str">
        <f>IFERROR(IF(VLOOKUP(CONCATENATE($B53,BJ$2),Database!$B:$E,4,0)="L",6,5),"")</f>
        <v/>
      </c>
      <c r="BK53" s="29" t="str">
        <f>IFERROR(IF(VLOOKUP(CONCATENATE($B53,BK$2),Database!$B:$E,4,0)="L",6,5),"")</f>
        <v/>
      </c>
      <c r="BL53" s="29" t="str">
        <f>IFERROR(IF(VLOOKUP(CONCATENATE($B53,BL$2),Database!$B:$E,4,0)="L",6,5),"")</f>
        <v/>
      </c>
      <c r="BM53" s="29" t="str">
        <f>IFERROR(IF(VLOOKUP(CONCATENATE($B53,BM$2),Database!$B:$E,4,0)="L",6,5),"")</f>
        <v/>
      </c>
      <c r="BN53" s="29" t="str">
        <f>IFERROR(IF(VLOOKUP(CONCATENATE($B53,BN$2),Database!$B:$E,4,0)="L",6,5),"")</f>
        <v/>
      </c>
      <c r="BO53" s="29" t="str">
        <f>IFERROR(IF(VLOOKUP(CONCATENATE($B53,BO$2),Database!$B:$E,4,0)="L",6,5),"")</f>
        <v/>
      </c>
      <c r="BP53" s="29" t="str">
        <f>IFERROR(IF(VLOOKUP(CONCATENATE($B53,BP$2),Database!$B:$E,4,0)="L",6,5),"")</f>
        <v/>
      </c>
      <c r="BQ53" s="29" t="str">
        <f>IFERROR(IF(VLOOKUP(CONCATENATE($B53,BQ$2),Database!$B:$E,4,0)="L",6,5),"")</f>
        <v/>
      </c>
      <c r="BR53" s="29" t="str">
        <f>IFERROR(IF(VLOOKUP(CONCATENATE($B53,BR$2),Database!$B:$E,4,0)="L",6,5),"")</f>
        <v/>
      </c>
      <c r="BS53" s="29" t="str">
        <f>IFERROR(IF(VLOOKUP(CONCATENATE($B53,BS$2),Database!$B:$E,4,0)="L",6,5),"")</f>
        <v/>
      </c>
      <c r="BT53" s="29" t="str">
        <f>IFERROR(IF(VLOOKUP(CONCATENATE($B53,BT$2),Database!$B:$E,4,0)="L",6,5),"")</f>
        <v/>
      </c>
      <c r="BU53" s="29" t="str">
        <f>IFERROR(IF(VLOOKUP(CONCATENATE($B53,BU$2),Database!$B:$E,4,0)="L",6,5),"")</f>
        <v/>
      </c>
      <c r="BV53" s="29" t="str">
        <f>IFERROR(IF(VLOOKUP(CONCATENATE($B53,BV$2),Database!$B:$E,4,0)="L",6,5),"")</f>
        <v/>
      </c>
      <c r="BW53" s="29" t="str">
        <f>IFERROR(IF(VLOOKUP(CONCATENATE($B53,BW$2),Database!$B:$E,4,0)="L",6,5),"")</f>
        <v/>
      </c>
      <c r="BX53" s="29" t="str">
        <f>IFERROR(IF(VLOOKUP(CONCATENATE($B53,BX$2),Database!$B:$E,4,0)="L",6,5),"")</f>
        <v/>
      </c>
      <c r="BY53" s="29" t="str">
        <f>IFERROR(IF(VLOOKUP(CONCATENATE($B53,BY$2),Database!$B:$E,4,0)="L",6,5),"")</f>
        <v/>
      </c>
      <c r="BZ53" s="29" t="str">
        <f>IFERROR(IF(VLOOKUP(CONCATENATE($B53,BZ$2),Database!$B:$E,4,0)="L",6,5),"")</f>
        <v/>
      </c>
    </row>
    <row r="54" spans="2:78" ht="14.3" x14ac:dyDescent="0.3">
      <c r="B54" s="19" t="s">
        <v>59</v>
      </c>
      <c r="C54" s="16">
        <f>COUNTIFS(Database!$D:$D,$B54,Database!$C:$C,"&gt;1/1/25")</f>
        <v>0</v>
      </c>
      <c r="D54" s="1">
        <f>COUNTIFS(Database!$D:$D,$B54,Database!$E:$E,"W",Database!$C:$C,"&gt;1/1/25")</f>
        <v>0</v>
      </c>
      <c r="E54" s="1">
        <f>COUNTIFS(Database!$D:$D,$B54,Database!$E:$E,"L",Database!$C:$C,"&gt;1/1/25")</f>
        <v>0</v>
      </c>
      <c r="F54" s="1">
        <f t="shared" si="9"/>
        <v>0</v>
      </c>
      <c r="G54" s="21" t="str">
        <f t="shared" si="10"/>
        <v>-</v>
      </c>
      <c r="H54" s="14" t="str">
        <f t="shared" si="11"/>
        <v>-</v>
      </c>
      <c r="J54" s="16">
        <f>COUNTIF(Database!$D:$D,$B54)</f>
        <v>11</v>
      </c>
      <c r="K54" s="1">
        <f>COUNTIFS(Database!$D:$D,$B54,Database!$E:$E,"W")</f>
        <v>4</v>
      </c>
      <c r="L54" s="1">
        <f>COUNTIFS(Database!$D:$D,$B54,Database!$E:$E,"L")</f>
        <v>7</v>
      </c>
      <c r="M54" s="1">
        <f t="shared" si="12"/>
        <v>-3</v>
      </c>
      <c r="N54" s="21">
        <f t="shared" si="13"/>
        <v>0.36363636363636365</v>
      </c>
      <c r="O54" s="14">
        <f t="shared" si="14"/>
        <v>0.63636363636363635</v>
      </c>
      <c r="Q54" s="28">
        <f>IFERROR(IF(VLOOKUP(CONCATENATE($B54,Q$2),Database!$B:$E,4,0)="L",6,5),"")</f>
        <v>5</v>
      </c>
      <c r="R54" s="23">
        <f>IFERROR(IF(VLOOKUP(CONCATENATE($B54,R$2),Database!$B:$E,4,0)="L",6,5),"")</f>
        <v>5</v>
      </c>
      <c r="S54" s="23">
        <f>IFERROR(IF(VLOOKUP(CONCATENATE($B54,S$2),Database!$B:$E,4,0)="L",6,5),"")</f>
        <v>6</v>
      </c>
      <c r="T54" s="23">
        <f>IFERROR(IF(VLOOKUP(CONCATENATE($B54,T$2),Database!$B:$E,4,0)="L",6,5),"")</f>
        <v>6</v>
      </c>
      <c r="U54" s="29">
        <f>IFERROR(IF(VLOOKUP(CONCATENATE($B54,U$2),Database!$B:$E,4,0)="L",6,5),"")</f>
        <v>5</v>
      </c>
      <c r="V54" s="55" t="s">
        <v>14</v>
      </c>
      <c r="W54" s="57"/>
      <c r="X54" s="63"/>
      <c r="Z54" s="63" t="str">
        <f t="shared" si="8"/>
        <v>Y</v>
      </c>
      <c r="AB54" s="29">
        <f>IFERROR(IF(VLOOKUP(CONCATENATE($B54,AB$2),Database!$B:$E,4,0)="L",6,5),"")</f>
        <v>5</v>
      </c>
      <c r="AC54" s="29">
        <f>IFERROR(IF(VLOOKUP(CONCATENATE($B54,AC$2),Database!$B:$E,4,0)="L",6,5),"")</f>
        <v>6</v>
      </c>
      <c r="AD54" s="29">
        <f>IFERROR(IF(VLOOKUP(CONCATENATE($B54,AD$2),Database!$B:$E,4,0)="L",6,5),"")</f>
        <v>6</v>
      </c>
      <c r="AE54" s="29">
        <f>IFERROR(IF(VLOOKUP(CONCATENATE($B54,AE$2),Database!$B:$E,4,0)="L",6,5),"")</f>
        <v>5</v>
      </c>
      <c r="AF54" s="29">
        <f>IFERROR(IF(VLOOKUP(CONCATENATE($B54,AF$2),Database!$B:$E,4,0)="L",6,5),"")</f>
        <v>5</v>
      </c>
      <c r="AG54" s="29">
        <f>IFERROR(IF(VLOOKUP(CONCATENATE($B54,AG$2),Database!$B:$E,4,0)="L",6,5),"")</f>
        <v>6</v>
      </c>
      <c r="AH54" s="29">
        <f>IFERROR(IF(VLOOKUP(CONCATENATE($B54,AH$2),Database!$B:$E,4,0)="L",6,5),"")</f>
        <v>6</v>
      </c>
      <c r="AI54" s="29">
        <f>IFERROR(IF(VLOOKUP(CONCATENATE($B54,AI$2),Database!$B:$E,4,0)="L",6,5),"")</f>
        <v>6</v>
      </c>
      <c r="AJ54" s="29">
        <f>IFERROR(IF(VLOOKUP(CONCATENATE($B54,AJ$2),Database!$B:$E,4,0)="L",6,5),"")</f>
        <v>6</v>
      </c>
      <c r="AK54" s="29">
        <f>IFERROR(IF(VLOOKUP(CONCATENATE($B54,AK$2),Database!$B:$E,4,0)="L",6,5),"")</f>
        <v>6</v>
      </c>
      <c r="AL54" s="29">
        <f>IFERROR(IF(VLOOKUP(CONCATENATE($B54,AL$2),Database!$B:$E,4,0)="L",6,5),"")</f>
        <v>5</v>
      </c>
      <c r="AM54" s="29" t="str">
        <f>IFERROR(IF(VLOOKUP(CONCATENATE($B54,AM$2),Database!$B:$E,4,0)="L",6,5),"")</f>
        <v/>
      </c>
      <c r="AN54" s="29" t="str">
        <f>IFERROR(IF(VLOOKUP(CONCATENATE($B54,AN$2),Database!$B:$E,4,0)="L",6,5),"")</f>
        <v/>
      </c>
      <c r="AO54" s="29" t="str">
        <f>IFERROR(IF(VLOOKUP(CONCATENATE($B54,AO$2),Database!$B:$E,4,0)="L",6,5),"")</f>
        <v/>
      </c>
      <c r="AP54" s="29" t="str">
        <f>IFERROR(IF(VLOOKUP(CONCATENATE($B54,AP$2),Database!$B:$E,4,0)="L",6,5),"")</f>
        <v/>
      </c>
      <c r="AQ54" s="29" t="str">
        <f>IFERROR(IF(VLOOKUP(CONCATENATE($B54,AQ$2),Database!$B:$E,4,0)="L",6,5),"")</f>
        <v/>
      </c>
      <c r="AR54" s="29" t="str">
        <f>IFERROR(IF(VLOOKUP(CONCATENATE($B54,AR$2),Database!$B:$E,4,0)="L",6,5),"")</f>
        <v/>
      </c>
      <c r="AS54" s="29" t="str">
        <f>IFERROR(IF(VLOOKUP(CONCATENATE($B54,AS$2),Database!$B:$E,4,0)="L",6,5),"")</f>
        <v/>
      </c>
      <c r="AT54" s="29" t="str">
        <f>IFERROR(IF(VLOOKUP(CONCATENATE($B54,AT$2),Database!$B:$E,4,0)="L",6,5),"")</f>
        <v/>
      </c>
      <c r="AU54" s="29" t="str">
        <f>IFERROR(IF(VLOOKUP(CONCATENATE($B54,AU$2),Database!$B:$E,4,0)="L",6,5),"")</f>
        <v/>
      </c>
      <c r="AV54" s="29" t="str">
        <f>IFERROR(IF(VLOOKUP(CONCATENATE($B54,AV$2),Database!$B:$E,4,0)="L",6,5),"")</f>
        <v/>
      </c>
      <c r="AW54" s="29" t="str">
        <f>IFERROR(IF(VLOOKUP(CONCATENATE($B54,AW$2),Database!$B:$E,4,0)="L",6,5),"")</f>
        <v/>
      </c>
      <c r="AX54" s="29" t="str">
        <f>IFERROR(IF(VLOOKUP(CONCATENATE($B54,AX$2),Database!$B:$E,4,0)="L",6,5),"")</f>
        <v/>
      </c>
      <c r="AY54" s="29" t="str">
        <f>IFERROR(IF(VLOOKUP(CONCATENATE($B54,AY$2),Database!$B:$E,4,0)="L",6,5),"")</f>
        <v/>
      </c>
      <c r="AZ54" s="29" t="str">
        <f>IFERROR(IF(VLOOKUP(CONCATENATE($B54,AZ$2),Database!$B:$E,4,0)="L",6,5),"")</f>
        <v/>
      </c>
      <c r="BA54" s="29" t="str">
        <f>IFERROR(IF(VLOOKUP(CONCATENATE($B54,BA$2),Database!$B:$E,4,0)="L",6,5),"")</f>
        <v/>
      </c>
      <c r="BB54" s="29" t="str">
        <f>IFERROR(IF(VLOOKUP(CONCATENATE($B54,BB$2),Database!$B:$E,4,0)="L",6,5),"")</f>
        <v/>
      </c>
      <c r="BC54" s="29" t="str">
        <f>IFERROR(IF(VLOOKUP(CONCATENATE($B54,BC$2),Database!$B:$E,4,0)="L",6,5),"")</f>
        <v/>
      </c>
      <c r="BD54" s="29" t="str">
        <f>IFERROR(IF(VLOOKUP(CONCATENATE($B54,BD$2),Database!$B:$E,4,0)="L",6,5),"")</f>
        <v/>
      </c>
      <c r="BE54" s="29" t="str">
        <f>IFERROR(IF(VLOOKUP(CONCATENATE($B54,BE$2),Database!$B:$E,4,0)="L",6,5),"")</f>
        <v/>
      </c>
      <c r="BF54" s="29" t="str">
        <f>IFERROR(IF(VLOOKUP(CONCATENATE($B54,BF$2),Database!$B:$E,4,0)="L",6,5),"")</f>
        <v/>
      </c>
      <c r="BG54" s="29" t="str">
        <f>IFERROR(IF(VLOOKUP(CONCATENATE($B54,BG$2),Database!$B:$E,4,0)="L",6,5),"")</f>
        <v/>
      </c>
      <c r="BH54" s="29" t="str">
        <f>IFERROR(IF(VLOOKUP(CONCATENATE($B54,BH$2),Database!$B:$E,4,0)="L",6,5),"")</f>
        <v/>
      </c>
      <c r="BI54" s="29" t="str">
        <f>IFERROR(IF(VLOOKUP(CONCATENATE($B54,BI$2),Database!$B:$E,4,0)="L",6,5),"")</f>
        <v/>
      </c>
      <c r="BJ54" s="29" t="str">
        <f>IFERROR(IF(VLOOKUP(CONCATENATE($B54,BJ$2),Database!$B:$E,4,0)="L",6,5),"")</f>
        <v/>
      </c>
      <c r="BK54" s="29" t="str">
        <f>IFERROR(IF(VLOOKUP(CONCATENATE($B54,BK$2),Database!$B:$E,4,0)="L",6,5),"")</f>
        <v/>
      </c>
      <c r="BL54" s="29" t="str">
        <f>IFERROR(IF(VLOOKUP(CONCATENATE($B54,BL$2),Database!$B:$E,4,0)="L",6,5),"")</f>
        <v/>
      </c>
      <c r="BM54" s="29" t="str">
        <f>IFERROR(IF(VLOOKUP(CONCATENATE($B54,BM$2),Database!$B:$E,4,0)="L",6,5),"")</f>
        <v/>
      </c>
      <c r="BN54" s="29" t="str">
        <f>IFERROR(IF(VLOOKUP(CONCATENATE($B54,BN$2),Database!$B:$E,4,0)="L",6,5),"")</f>
        <v/>
      </c>
      <c r="BO54" s="29" t="str">
        <f>IFERROR(IF(VLOOKUP(CONCATENATE($B54,BO$2),Database!$B:$E,4,0)="L",6,5),"")</f>
        <v/>
      </c>
      <c r="BP54" s="29" t="str">
        <f>IFERROR(IF(VLOOKUP(CONCATENATE($B54,BP$2),Database!$B:$E,4,0)="L",6,5),"")</f>
        <v/>
      </c>
      <c r="BQ54" s="29" t="str">
        <f>IFERROR(IF(VLOOKUP(CONCATENATE($B54,BQ$2),Database!$B:$E,4,0)="L",6,5),"")</f>
        <v/>
      </c>
      <c r="BR54" s="29" t="str">
        <f>IFERROR(IF(VLOOKUP(CONCATENATE($B54,BR$2),Database!$B:$E,4,0)="L",6,5),"")</f>
        <v/>
      </c>
      <c r="BS54" s="29" t="str">
        <f>IFERROR(IF(VLOOKUP(CONCATENATE($B54,BS$2),Database!$B:$E,4,0)="L",6,5),"")</f>
        <v/>
      </c>
      <c r="BT54" s="29" t="str">
        <f>IFERROR(IF(VLOOKUP(CONCATENATE($B54,BT$2),Database!$B:$E,4,0)="L",6,5),"")</f>
        <v/>
      </c>
      <c r="BU54" s="29" t="str">
        <f>IFERROR(IF(VLOOKUP(CONCATENATE($B54,BU$2),Database!$B:$E,4,0)="L",6,5),"")</f>
        <v/>
      </c>
      <c r="BV54" s="29" t="str">
        <f>IFERROR(IF(VLOOKUP(CONCATENATE($B54,BV$2),Database!$B:$E,4,0)="L",6,5),"")</f>
        <v/>
      </c>
      <c r="BW54" s="29" t="str">
        <f>IFERROR(IF(VLOOKUP(CONCATENATE($B54,BW$2),Database!$B:$E,4,0)="L",6,5),"")</f>
        <v/>
      </c>
      <c r="BX54" s="29" t="str">
        <f>IFERROR(IF(VLOOKUP(CONCATENATE($B54,BX$2),Database!$B:$E,4,0)="L",6,5),"")</f>
        <v/>
      </c>
      <c r="BY54" s="29" t="str">
        <f>IFERROR(IF(VLOOKUP(CONCATENATE($B54,BY$2),Database!$B:$E,4,0)="L",6,5),"")</f>
        <v/>
      </c>
      <c r="BZ54" s="29" t="str">
        <f>IFERROR(IF(VLOOKUP(CONCATENATE($B54,BZ$2),Database!$B:$E,4,0)="L",6,5),"")</f>
        <v/>
      </c>
    </row>
    <row r="55" spans="2:78" ht="14.3" x14ac:dyDescent="0.3">
      <c r="B55" s="19" t="s">
        <v>54</v>
      </c>
      <c r="C55" s="16">
        <f>COUNTIFS(Database!$D:$D,$B55,Database!$C:$C,"&gt;1/1/25")</f>
        <v>0</v>
      </c>
      <c r="D55" s="1">
        <f>COUNTIFS(Database!$D:$D,$B55,Database!$E:$E,"W",Database!$C:$C,"&gt;1/1/25")</f>
        <v>0</v>
      </c>
      <c r="E55" s="1">
        <f>COUNTIFS(Database!$D:$D,$B55,Database!$E:$E,"L",Database!$C:$C,"&gt;1/1/25")</f>
        <v>0</v>
      </c>
      <c r="F55" s="1">
        <f t="shared" si="9"/>
        <v>0</v>
      </c>
      <c r="G55" s="21" t="str">
        <f t="shared" si="10"/>
        <v>-</v>
      </c>
      <c r="H55" s="14" t="str">
        <f t="shared" si="11"/>
        <v>-</v>
      </c>
      <c r="J55" s="16">
        <f>COUNTIF(Database!$D:$D,$B55)</f>
        <v>27</v>
      </c>
      <c r="K55" s="1">
        <f>COUNTIFS(Database!$D:$D,$B55,Database!$E:$E,"W")</f>
        <v>11</v>
      </c>
      <c r="L55" s="1">
        <f>COUNTIFS(Database!$D:$D,$B55,Database!$E:$E,"L")</f>
        <v>16</v>
      </c>
      <c r="M55" s="1">
        <f t="shared" si="12"/>
        <v>-5</v>
      </c>
      <c r="N55" s="21">
        <f t="shared" si="13"/>
        <v>0.40740740740740738</v>
      </c>
      <c r="O55" s="14">
        <f t="shared" si="14"/>
        <v>0.59259259259259256</v>
      </c>
      <c r="Q55" s="28">
        <f>IFERROR(IF(VLOOKUP(CONCATENATE($B55,Q$2),Database!$B:$E,4,0)="L",6,5),"")</f>
        <v>6</v>
      </c>
      <c r="R55" s="23">
        <f>IFERROR(IF(VLOOKUP(CONCATENATE($B55,R$2),Database!$B:$E,4,0)="L",6,5),"")</f>
        <v>5</v>
      </c>
      <c r="S55" s="23">
        <f>IFERROR(IF(VLOOKUP(CONCATENATE($B55,S$2),Database!$B:$E,4,0)="L",6,5),"")</f>
        <v>6</v>
      </c>
      <c r="T55" s="23">
        <f>IFERROR(IF(VLOOKUP(CONCATENATE($B55,T$2),Database!$B:$E,4,0)="L",6,5),"")</f>
        <v>5</v>
      </c>
      <c r="U55" s="29">
        <f>IFERROR(IF(VLOOKUP(CONCATENATE($B55,U$2),Database!$B:$E,4,0)="L",6,5),"")</f>
        <v>6</v>
      </c>
      <c r="V55" s="55"/>
      <c r="W55" s="57"/>
      <c r="X55" s="86" t="s">
        <v>14</v>
      </c>
      <c r="Z55" s="63" t="str">
        <f t="shared" si="8"/>
        <v>Y</v>
      </c>
      <c r="AB55" s="29">
        <f>IFERROR(IF(VLOOKUP(CONCATENATE($B55,AB$2),Database!$B:$E,4,0)="L",6,5),"")</f>
        <v>6</v>
      </c>
      <c r="AC55" s="29">
        <f>IFERROR(IF(VLOOKUP(CONCATENATE($B55,AC$2),Database!$B:$E,4,0)="L",6,5),"")</f>
        <v>5</v>
      </c>
      <c r="AD55" s="29">
        <f>IFERROR(IF(VLOOKUP(CONCATENATE($B55,AD$2),Database!$B:$E,4,0)="L",6,5),"")</f>
        <v>6</v>
      </c>
      <c r="AE55" s="29">
        <f>IFERROR(IF(VLOOKUP(CONCATENATE($B55,AE$2),Database!$B:$E,4,0)="L",6,5),"")</f>
        <v>5</v>
      </c>
      <c r="AF55" s="29">
        <f>IFERROR(IF(VLOOKUP(CONCATENATE($B55,AF$2),Database!$B:$E,4,0)="L",6,5),"")</f>
        <v>6</v>
      </c>
      <c r="AG55" s="29">
        <f>IFERROR(IF(VLOOKUP(CONCATENATE($B55,AG$2),Database!$B:$E,4,0)="L",6,5),"")</f>
        <v>6</v>
      </c>
      <c r="AH55" s="29">
        <f>IFERROR(IF(VLOOKUP(CONCATENATE($B55,AH$2),Database!$B:$E,4,0)="L",6,5),"")</f>
        <v>5</v>
      </c>
      <c r="AI55" s="29">
        <f>IFERROR(IF(VLOOKUP(CONCATENATE($B55,AI$2),Database!$B:$E,4,0)="L",6,5),"")</f>
        <v>5</v>
      </c>
      <c r="AJ55" s="29">
        <f>IFERROR(IF(VLOOKUP(CONCATENATE($B55,AJ$2),Database!$B:$E,4,0)="L",6,5),"")</f>
        <v>6</v>
      </c>
      <c r="AK55" s="29">
        <f>IFERROR(IF(VLOOKUP(CONCATENATE($B55,AK$2),Database!$B:$E,4,0)="L",6,5),"")</f>
        <v>6</v>
      </c>
      <c r="AL55" s="29">
        <f>IFERROR(IF(VLOOKUP(CONCATENATE($B55,AL$2),Database!$B:$E,4,0)="L",6,5),"")</f>
        <v>6</v>
      </c>
      <c r="AM55" s="29">
        <f>IFERROR(IF(VLOOKUP(CONCATENATE($B55,AM$2),Database!$B:$E,4,0)="L",6,5),"")</f>
        <v>5</v>
      </c>
      <c r="AN55" s="29">
        <f>IFERROR(IF(VLOOKUP(CONCATENATE($B55,AN$2),Database!$B:$E,4,0)="L",6,5),"")</f>
        <v>5</v>
      </c>
      <c r="AO55" s="29">
        <f>IFERROR(IF(VLOOKUP(CONCATENATE($B55,AO$2),Database!$B:$E,4,0)="L",6,5),"")</f>
        <v>6</v>
      </c>
      <c r="AP55" s="29">
        <f>IFERROR(IF(VLOOKUP(CONCATENATE($B55,AP$2),Database!$B:$E,4,0)="L",6,5),"")</f>
        <v>6</v>
      </c>
      <c r="AQ55" s="29">
        <f>IFERROR(IF(VLOOKUP(CONCATENATE($B55,AQ$2),Database!$B:$E,4,0)="L",6,5),"")</f>
        <v>5</v>
      </c>
      <c r="AR55" s="29">
        <f>IFERROR(IF(VLOOKUP(CONCATENATE($B55,AR$2),Database!$B:$E,4,0)="L",6,5),"")</f>
        <v>5</v>
      </c>
      <c r="AS55" s="29">
        <f>IFERROR(IF(VLOOKUP(CONCATENATE($B55,AS$2),Database!$B:$E,4,0)="L",6,5),"")</f>
        <v>6</v>
      </c>
      <c r="AT55" s="29">
        <f>IFERROR(IF(VLOOKUP(CONCATENATE($B55,AT$2),Database!$B:$E,4,0)="L",6,5),"")</f>
        <v>6</v>
      </c>
      <c r="AU55" s="29">
        <f>IFERROR(IF(VLOOKUP(CONCATENATE($B55,AU$2),Database!$B:$E,4,0)="L",6,5),"")</f>
        <v>6</v>
      </c>
      <c r="AV55" s="29">
        <f>IFERROR(IF(VLOOKUP(CONCATENATE($B55,AV$2),Database!$B:$E,4,0)="L",6,5),"")</f>
        <v>6</v>
      </c>
      <c r="AW55" s="29">
        <f>IFERROR(IF(VLOOKUP(CONCATENATE($B55,AW$2),Database!$B:$E,4,0)="L",6,5),"")</f>
        <v>5</v>
      </c>
      <c r="AX55" s="29">
        <f>IFERROR(IF(VLOOKUP(CONCATENATE($B55,AX$2),Database!$B:$E,4,0)="L",6,5),"")</f>
        <v>6</v>
      </c>
      <c r="AY55" s="29">
        <f>IFERROR(IF(VLOOKUP(CONCATENATE($B55,AY$2),Database!$B:$E,4,0)="L",6,5),"")</f>
        <v>5</v>
      </c>
      <c r="AZ55" s="29">
        <f>IFERROR(IF(VLOOKUP(CONCATENATE($B55,AZ$2),Database!$B:$E,4,0)="L",6,5),"")</f>
        <v>6</v>
      </c>
      <c r="BA55" s="29">
        <f>IFERROR(IF(VLOOKUP(CONCATENATE($B55,BA$2),Database!$B:$E,4,0)="L",6,5),"")</f>
        <v>6</v>
      </c>
      <c r="BB55" s="29">
        <f>IFERROR(IF(VLOOKUP(CONCATENATE($B55,BB$2),Database!$B:$E,4,0)="L",6,5),"")</f>
        <v>5</v>
      </c>
      <c r="BC55" s="29" t="str">
        <f>IFERROR(IF(VLOOKUP(CONCATENATE($B55,BC$2),Database!$B:$E,4,0)="L",6,5),"")</f>
        <v/>
      </c>
      <c r="BD55" s="29" t="str">
        <f>IFERROR(IF(VLOOKUP(CONCATENATE($B55,BD$2),Database!$B:$E,4,0)="L",6,5),"")</f>
        <v/>
      </c>
      <c r="BE55" s="29" t="str">
        <f>IFERROR(IF(VLOOKUP(CONCATENATE($B55,BE$2),Database!$B:$E,4,0)="L",6,5),"")</f>
        <v/>
      </c>
      <c r="BF55" s="29" t="str">
        <f>IFERROR(IF(VLOOKUP(CONCATENATE($B55,BF$2),Database!$B:$E,4,0)="L",6,5),"")</f>
        <v/>
      </c>
      <c r="BG55" s="29" t="str">
        <f>IFERROR(IF(VLOOKUP(CONCATENATE($B55,BG$2),Database!$B:$E,4,0)="L",6,5),"")</f>
        <v/>
      </c>
      <c r="BH55" s="29" t="str">
        <f>IFERROR(IF(VLOOKUP(CONCATENATE($B55,BH$2),Database!$B:$E,4,0)="L",6,5),"")</f>
        <v/>
      </c>
      <c r="BI55" s="29" t="str">
        <f>IFERROR(IF(VLOOKUP(CONCATENATE($B55,BI$2),Database!$B:$E,4,0)="L",6,5),"")</f>
        <v/>
      </c>
      <c r="BJ55" s="29" t="str">
        <f>IFERROR(IF(VLOOKUP(CONCATENATE($B55,BJ$2),Database!$B:$E,4,0)="L",6,5),"")</f>
        <v/>
      </c>
      <c r="BK55" s="29" t="str">
        <f>IFERROR(IF(VLOOKUP(CONCATENATE($B55,BK$2),Database!$B:$E,4,0)="L",6,5),"")</f>
        <v/>
      </c>
      <c r="BL55" s="29" t="str">
        <f>IFERROR(IF(VLOOKUP(CONCATENATE($B55,BL$2),Database!$B:$E,4,0)="L",6,5),"")</f>
        <v/>
      </c>
      <c r="BM55" s="29" t="str">
        <f>IFERROR(IF(VLOOKUP(CONCATENATE($B55,BM$2),Database!$B:$E,4,0)="L",6,5),"")</f>
        <v/>
      </c>
      <c r="BN55" s="29" t="str">
        <f>IFERROR(IF(VLOOKUP(CONCATENATE($B55,BN$2),Database!$B:$E,4,0)="L",6,5),"")</f>
        <v/>
      </c>
      <c r="BO55" s="29" t="str">
        <f>IFERROR(IF(VLOOKUP(CONCATENATE($B55,BO$2),Database!$B:$E,4,0)="L",6,5),"")</f>
        <v/>
      </c>
      <c r="BP55" s="29" t="str">
        <f>IFERROR(IF(VLOOKUP(CONCATENATE($B55,BP$2),Database!$B:$E,4,0)="L",6,5),"")</f>
        <v/>
      </c>
      <c r="BQ55" s="29" t="str">
        <f>IFERROR(IF(VLOOKUP(CONCATENATE($B55,BQ$2),Database!$B:$E,4,0)="L",6,5),"")</f>
        <v/>
      </c>
      <c r="BR55" s="29" t="str">
        <f>IFERROR(IF(VLOOKUP(CONCATENATE($B55,BR$2),Database!$B:$E,4,0)="L",6,5),"")</f>
        <v/>
      </c>
      <c r="BS55" s="29" t="str">
        <f>IFERROR(IF(VLOOKUP(CONCATENATE($B55,BS$2),Database!$B:$E,4,0)="L",6,5),"")</f>
        <v/>
      </c>
      <c r="BT55" s="29" t="str">
        <f>IFERROR(IF(VLOOKUP(CONCATENATE($B55,BT$2),Database!$B:$E,4,0)="L",6,5),"")</f>
        <v/>
      </c>
      <c r="BU55" s="29" t="str">
        <f>IFERROR(IF(VLOOKUP(CONCATENATE($B55,BU$2),Database!$B:$E,4,0)="L",6,5),"")</f>
        <v/>
      </c>
      <c r="BV55" s="29" t="str">
        <f>IFERROR(IF(VLOOKUP(CONCATENATE($B55,BV$2),Database!$B:$E,4,0)="L",6,5),"")</f>
        <v/>
      </c>
      <c r="BW55" s="29" t="str">
        <f>IFERROR(IF(VLOOKUP(CONCATENATE($B55,BW$2),Database!$B:$E,4,0)="L",6,5),"")</f>
        <v/>
      </c>
      <c r="BX55" s="29" t="str">
        <f>IFERROR(IF(VLOOKUP(CONCATENATE($B55,BX$2),Database!$B:$E,4,0)="L",6,5),"")</f>
        <v/>
      </c>
      <c r="BY55" s="29" t="str">
        <f>IFERROR(IF(VLOOKUP(CONCATENATE($B55,BY$2),Database!$B:$E,4,0)="L",6,5),"")</f>
        <v/>
      </c>
      <c r="BZ55" s="29" t="str">
        <f>IFERROR(IF(VLOOKUP(CONCATENATE($B55,BZ$2),Database!$B:$E,4,0)="L",6,5),"")</f>
        <v/>
      </c>
    </row>
    <row r="56" spans="2:78" ht="14.3" x14ac:dyDescent="0.3">
      <c r="B56" s="19" t="s">
        <v>47</v>
      </c>
      <c r="C56" s="16">
        <f>COUNTIFS(Database!$D:$D,$B56,Database!$C:$C,"&gt;1/1/25")</f>
        <v>0</v>
      </c>
      <c r="D56" s="1">
        <f>COUNTIFS(Database!$D:$D,$B56,Database!$E:$E,"W",Database!$C:$C,"&gt;1/1/25")</f>
        <v>0</v>
      </c>
      <c r="E56" s="1">
        <f>COUNTIFS(Database!$D:$D,$B56,Database!$E:$E,"L",Database!$C:$C,"&gt;1/1/25")</f>
        <v>0</v>
      </c>
      <c r="F56" s="1">
        <f t="shared" si="9"/>
        <v>0</v>
      </c>
      <c r="G56" s="21" t="str">
        <f t="shared" si="10"/>
        <v>-</v>
      </c>
      <c r="H56" s="14" t="str">
        <f t="shared" si="11"/>
        <v>-</v>
      </c>
      <c r="J56" s="16">
        <f>COUNTIF(Database!$D:$D,$B56)</f>
        <v>32</v>
      </c>
      <c r="K56" s="1">
        <f>COUNTIFS(Database!$D:$D,$B56,Database!$E:$E,"W")</f>
        <v>21</v>
      </c>
      <c r="L56" s="1">
        <f>COUNTIFS(Database!$D:$D,$B56,Database!$E:$E,"L")</f>
        <v>11</v>
      </c>
      <c r="M56" s="1">
        <f t="shared" si="12"/>
        <v>10</v>
      </c>
      <c r="N56" s="21">
        <f t="shared" si="13"/>
        <v>0.65625</v>
      </c>
      <c r="O56" s="14">
        <f t="shared" si="14"/>
        <v>0.34375</v>
      </c>
      <c r="Q56" s="28">
        <f>IFERROR(IF(VLOOKUP(CONCATENATE($B56,Q$2),Database!$B:$E,4,0)="L",6,5),"")</f>
        <v>5</v>
      </c>
      <c r="R56" s="23">
        <f>IFERROR(IF(VLOOKUP(CONCATENATE($B56,R$2),Database!$B:$E,4,0)="L",6,5),"")</f>
        <v>5</v>
      </c>
      <c r="S56" s="23">
        <f>IFERROR(IF(VLOOKUP(CONCATENATE($B56,S$2),Database!$B:$E,4,0)="L",6,5),"")</f>
        <v>5</v>
      </c>
      <c r="T56" s="23">
        <f>IFERROR(IF(VLOOKUP(CONCATENATE($B56,T$2),Database!$B:$E,4,0)="L",6,5),"")</f>
        <v>5</v>
      </c>
      <c r="U56" s="29">
        <f>IFERROR(IF(VLOOKUP(CONCATENATE($B56,U$2),Database!$B:$E,4,0)="L",6,5),"")</f>
        <v>6</v>
      </c>
      <c r="V56" s="54"/>
      <c r="W56" s="62" t="s">
        <v>14</v>
      </c>
      <c r="X56" s="86"/>
      <c r="Z56" s="63" t="str">
        <f t="shared" si="8"/>
        <v>Y</v>
      </c>
      <c r="AB56" s="29">
        <f>IFERROR(IF(VLOOKUP(CONCATENATE($B56,AB$2),Database!$B:$E,4,0)="L",6,5),"")</f>
        <v>6</v>
      </c>
      <c r="AC56" s="29">
        <f>IFERROR(IF(VLOOKUP(CONCATENATE($B56,AC$2),Database!$B:$E,4,0)="L",6,5),"")</f>
        <v>5</v>
      </c>
      <c r="AD56" s="29">
        <f>IFERROR(IF(VLOOKUP(CONCATENATE($B56,AD$2),Database!$B:$E,4,0)="L",6,5),"")</f>
        <v>5</v>
      </c>
      <c r="AE56" s="29">
        <f>IFERROR(IF(VLOOKUP(CONCATENATE($B56,AE$2),Database!$B:$E,4,0)="L",6,5),"")</f>
        <v>5</v>
      </c>
      <c r="AF56" s="29">
        <f>IFERROR(IF(VLOOKUP(CONCATENATE($B56,AF$2),Database!$B:$E,4,0)="L",6,5),"")</f>
        <v>5</v>
      </c>
      <c r="AG56" s="29">
        <f>IFERROR(IF(VLOOKUP(CONCATENATE($B56,AG$2),Database!$B:$E,4,0)="L",6,5),"")</f>
        <v>5</v>
      </c>
      <c r="AH56" s="29">
        <f>IFERROR(IF(VLOOKUP(CONCATENATE($B56,AH$2),Database!$B:$E,4,0)="L",6,5),"")</f>
        <v>5</v>
      </c>
      <c r="AI56" s="29">
        <f>IFERROR(IF(VLOOKUP(CONCATENATE($B56,AI$2),Database!$B:$E,4,0)="L",6,5),"")</f>
        <v>5</v>
      </c>
      <c r="AJ56" s="29">
        <f>IFERROR(IF(VLOOKUP(CONCATENATE($B56,AJ$2),Database!$B:$E,4,0)="L",6,5),"")</f>
        <v>5</v>
      </c>
      <c r="AK56" s="29">
        <f>IFERROR(IF(VLOOKUP(CONCATENATE($B56,AK$2),Database!$B:$E,4,0)="L",6,5),"")</f>
        <v>5</v>
      </c>
      <c r="AL56" s="29">
        <f>IFERROR(IF(VLOOKUP(CONCATENATE($B56,AL$2),Database!$B:$E,4,0)="L",6,5),"")</f>
        <v>5</v>
      </c>
      <c r="AM56" s="29">
        <f>IFERROR(IF(VLOOKUP(CONCATENATE($B56,AM$2),Database!$B:$E,4,0)="L",6,5),"")</f>
        <v>6</v>
      </c>
      <c r="AN56" s="29">
        <f>IFERROR(IF(VLOOKUP(CONCATENATE($B56,AN$2),Database!$B:$E,4,0)="L",6,5),"")</f>
        <v>5</v>
      </c>
      <c r="AO56" s="29">
        <f>IFERROR(IF(VLOOKUP(CONCATENATE($B56,AO$2),Database!$B:$E,4,0)="L",6,5),"")</f>
        <v>5</v>
      </c>
      <c r="AP56" s="29">
        <f>IFERROR(IF(VLOOKUP(CONCATENATE($B56,AP$2),Database!$B:$E,4,0)="L",6,5),"")</f>
        <v>5</v>
      </c>
      <c r="AQ56" s="29">
        <f>IFERROR(IF(VLOOKUP(CONCATENATE($B56,AQ$2),Database!$B:$E,4,0)="L",6,5),"")</f>
        <v>5</v>
      </c>
      <c r="AR56" s="29">
        <f>IFERROR(IF(VLOOKUP(CONCATENATE($B56,AR$2),Database!$B:$E,4,0)="L",6,5),"")</f>
        <v>6</v>
      </c>
      <c r="AS56" s="29">
        <f>IFERROR(IF(VLOOKUP(CONCATENATE($B56,AS$2),Database!$B:$E,4,0)="L",6,5),"")</f>
        <v>6</v>
      </c>
      <c r="AT56" s="29">
        <f>IFERROR(IF(VLOOKUP(CONCATENATE($B56,AT$2),Database!$B:$E,4,0)="L",6,5),"")</f>
        <v>5</v>
      </c>
      <c r="AU56" s="29">
        <f>IFERROR(IF(VLOOKUP(CONCATENATE($B56,AU$2),Database!$B:$E,4,0)="L",6,5),"")</f>
        <v>5</v>
      </c>
      <c r="AV56" s="29">
        <f>IFERROR(IF(VLOOKUP(CONCATENATE($B56,AV$2),Database!$B:$E,4,0)="L",6,5),"")</f>
        <v>6</v>
      </c>
      <c r="AW56" s="29">
        <f>IFERROR(IF(VLOOKUP(CONCATENATE($B56,AW$2),Database!$B:$E,4,0)="L",6,5),"")</f>
        <v>5</v>
      </c>
      <c r="AX56" s="29">
        <f>IFERROR(IF(VLOOKUP(CONCATENATE($B56,AX$2),Database!$B:$E,4,0)="L",6,5),"")</f>
        <v>6</v>
      </c>
      <c r="AY56" s="29">
        <f>IFERROR(IF(VLOOKUP(CONCATENATE($B56,AY$2),Database!$B:$E,4,0)="L",6,5),"")</f>
        <v>6</v>
      </c>
      <c r="AZ56" s="29">
        <f>IFERROR(IF(VLOOKUP(CONCATENATE($B56,AZ$2),Database!$B:$E,4,0)="L",6,5),"")</f>
        <v>5</v>
      </c>
      <c r="BA56" s="29">
        <f>IFERROR(IF(VLOOKUP(CONCATENATE($B56,BA$2),Database!$B:$E,4,0)="L",6,5),"")</f>
        <v>5</v>
      </c>
      <c r="BB56" s="29">
        <f>IFERROR(IF(VLOOKUP(CONCATENATE($B56,BB$2),Database!$B:$E,4,0)="L",6,5),"")</f>
        <v>6</v>
      </c>
      <c r="BC56" s="29">
        <f>IFERROR(IF(VLOOKUP(CONCATENATE($B56,BC$2),Database!$B:$E,4,0)="L",6,5),"")</f>
        <v>6</v>
      </c>
      <c r="BD56" s="29">
        <f>IFERROR(IF(VLOOKUP(CONCATENATE($B56,BD$2),Database!$B:$E,4,0)="L",6,5),"")</f>
        <v>6</v>
      </c>
      <c r="BE56" s="29">
        <f>IFERROR(IF(VLOOKUP(CONCATENATE($B56,BE$2),Database!$B:$E,4,0)="L",6,5),"")</f>
        <v>6</v>
      </c>
      <c r="BF56" s="29">
        <f>IFERROR(IF(VLOOKUP(CONCATENATE($B56,BF$2),Database!$B:$E,4,0)="L",6,5),"")</f>
        <v>5</v>
      </c>
      <c r="BG56" s="29">
        <f>IFERROR(IF(VLOOKUP(CONCATENATE($B56,BG$2),Database!$B:$E,4,0)="L",6,5),"")</f>
        <v>5</v>
      </c>
      <c r="BH56" s="29" t="str">
        <f>IFERROR(IF(VLOOKUP(CONCATENATE($B56,BH$2),Database!$B:$E,4,0)="L",6,5),"")</f>
        <v/>
      </c>
      <c r="BI56" s="29" t="str">
        <f>IFERROR(IF(VLOOKUP(CONCATENATE($B56,BI$2),Database!$B:$E,4,0)="L",6,5),"")</f>
        <v/>
      </c>
      <c r="BJ56" s="29" t="str">
        <f>IFERROR(IF(VLOOKUP(CONCATENATE($B56,BJ$2),Database!$B:$E,4,0)="L",6,5),"")</f>
        <v/>
      </c>
      <c r="BK56" s="29" t="str">
        <f>IFERROR(IF(VLOOKUP(CONCATENATE($B56,BK$2),Database!$B:$E,4,0)="L",6,5),"")</f>
        <v/>
      </c>
      <c r="BL56" s="29" t="str">
        <f>IFERROR(IF(VLOOKUP(CONCATENATE($B56,BL$2),Database!$B:$E,4,0)="L",6,5),"")</f>
        <v/>
      </c>
      <c r="BM56" s="29" t="str">
        <f>IFERROR(IF(VLOOKUP(CONCATENATE($B56,BM$2),Database!$B:$E,4,0)="L",6,5),"")</f>
        <v/>
      </c>
      <c r="BN56" s="29" t="str">
        <f>IFERROR(IF(VLOOKUP(CONCATENATE($B56,BN$2),Database!$B:$E,4,0)="L",6,5),"")</f>
        <v/>
      </c>
      <c r="BO56" s="29" t="str">
        <f>IFERROR(IF(VLOOKUP(CONCATENATE($B56,BO$2),Database!$B:$E,4,0)="L",6,5),"")</f>
        <v/>
      </c>
      <c r="BP56" s="29" t="str">
        <f>IFERROR(IF(VLOOKUP(CONCATENATE($B56,BP$2),Database!$B:$E,4,0)="L",6,5),"")</f>
        <v/>
      </c>
      <c r="BQ56" s="29" t="str">
        <f>IFERROR(IF(VLOOKUP(CONCATENATE($B56,BQ$2),Database!$B:$E,4,0)="L",6,5),"")</f>
        <v/>
      </c>
      <c r="BR56" s="29" t="str">
        <f>IFERROR(IF(VLOOKUP(CONCATENATE($B56,BR$2),Database!$B:$E,4,0)="L",6,5),"")</f>
        <v/>
      </c>
      <c r="BS56" s="29" t="str">
        <f>IFERROR(IF(VLOOKUP(CONCATENATE($B56,BS$2),Database!$B:$E,4,0)="L",6,5),"")</f>
        <v/>
      </c>
      <c r="BT56" s="29" t="str">
        <f>IFERROR(IF(VLOOKUP(CONCATENATE($B56,BT$2),Database!$B:$E,4,0)="L",6,5),"")</f>
        <v/>
      </c>
      <c r="BU56" s="29" t="str">
        <f>IFERROR(IF(VLOOKUP(CONCATENATE($B56,BU$2),Database!$B:$E,4,0)="L",6,5),"")</f>
        <v/>
      </c>
      <c r="BV56" s="29" t="str">
        <f>IFERROR(IF(VLOOKUP(CONCATENATE($B56,BV$2),Database!$B:$E,4,0)="L",6,5),"")</f>
        <v/>
      </c>
      <c r="BW56" s="29" t="str">
        <f>IFERROR(IF(VLOOKUP(CONCATENATE($B56,BW$2),Database!$B:$E,4,0)="L",6,5),"")</f>
        <v/>
      </c>
      <c r="BX56" s="29" t="str">
        <f>IFERROR(IF(VLOOKUP(CONCATENATE($B56,BX$2),Database!$B:$E,4,0)="L",6,5),"")</f>
        <v/>
      </c>
      <c r="BY56" s="29" t="str">
        <f>IFERROR(IF(VLOOKUP(CONCATENATE($B56,BY$2),Database!$B:$E,4,0)="L",6,5),"")</f>
        <v/>
      </c>
      <c r="BZ56" s="29" t="str">
        <f>IFERROR(IF(VLOOKUP(CONCATENATE($B56,BZ$2),Database!$B:$E,4,0)="L",6,5),"")</f>
        <v/>
      </c>
    </row>
    <row r="57" spans="2:78" ht="14.3" x14ac:dyDescent="0.3">
      <c r="B57" s="108" t="s">
        <v>46</v>
      </c>
      <c r="C57" s="16">
        <f>COUNTIFS(Database!$D:$D,$B57,Database!$C:$C,"&gt;1/1/25")</f>
        <v>0</v>
      </c>
      <c r="D57" s="1">
        <f>COUNTIFS(Database!$D:$D,$B57,Database!$E:$E,"W",Database!$C:$C,"&gt;1/1/25")</f>
        <v>0</v>
      </c>
      <c r="E57" s="1">
        <f>COUNTIFS(Database!$D:$D,$B57,Database!$E:$E,"L",Database!$C:$C,"&gt;1/1/25")</f>
        <v>0</v>
      </c>
      <c r="F57" s="1">
        <f t="shared" si="9"/>
        <v>0</v>
      </c>
      <c r="G57" s="21" t="str">
        <f t="shared" si="10"/>
        <v>-</v>
      </c>
      <c r="H57" s="14" t="str">
        <f t="shared" si="11"/>
        <v>-</v>
      </c>
      <c r="J57" s="16">
        <f>COUNTIF(Database!$D:$D,$B57)</f>
        <v>35</v>
      </c>
      <c r="K57" s="1">
        <f>COUNTIFS(Database!$D:$D,$B57,Database!$E:$E,"W")</f>
        <v>16</v>
      </c>
      <c r="L57" s="1">
        <f>COUNTIFS(Database!$D:$D,$B57,Database!$E:$E,"L")</f>
        <v>19</v>
      </c>
      <c r="M57" s="1">
        <f t="shared" si="12"/>
        <v>-3</v>
      </c>
      <c r="N57" s="21">
        <f t="shared" si="13"/>
        <v>0.45714285714285713</v>
      </c>
      <c r="O57" s="14">
        <f t="shared" si="14"/>
        <v>0.54285714285714282</v>
      </c>
      <c r="Q57" s="28">
        <f>IFERROR(IF(VLOOKUP(CONCATENATE($B57,Q$2),Database!$B:$E,4,0)="L",6,5),"")</f>
        <v>6</v>
      </c>
      <c r="R57" s="23">
        <f>IFERROR(IF(VLOOKUP(CONCATENATE($B57,R$2),Database!$B:$E,4,0)="L",6,5),"")</f>
        <v>5</v>
      </c>
      <c r="S57" s="23">
        <f>IFERROR(IF(VLOOKUP(CONCATENATE($B57,S$2),Database!$B:$E,4,0)="L",6,5),"")</f>
        <v>6</v>
      </c>
      <c r="T57" s="23">
        <f>IFERROR(IF(VLOOKUP(CONCATENATE($B57,T$2),Database!$B:$E,4,0)="L",6,5),"")</f>
        <v>5</v>
      </c>
      <c r="U57" s="29">
        <f>IFERROR(IF(VLOOKUP(CONCATENATE($B57,U$2),Database!$B:$E,4,0)="L",6,5),"")</f>
        <v>6</v>
      </c>
      <c r="V57" s="54"/>
      <c r="W57" s="62" t="s">
        <v>14</v>
      </c>
      <c r="X57" s="63"/>
      <c r="Z57" s="63" t="str">
        <f t="shared" si="8"/>
        <v>Y</v>
      </c>
      <c r="AB57" s="29">
        <f>IFERROR(IF(VLOOKUP(CONCATENATE($B57,AB$2),Database!$B:$E,4,0)="L",6,5),"")</f>
        <v>6</v>
      </c>
      <c r="AC57" s="29">
        <f>IFERROR(IF(VLOOKUP(CONCATENATE($B57,AC$2),Database!$B:$E,4,0)="L",6,5),"")</f>
        <v>5</v>
      </c>
      <c r="AD57" s="29">
        <f>IFERROR(IF(VLOOKUP(CONCATENATE($B57,AD$2),Database!$B:$E,4,0)="L",6,5),"")</f>
        <v>6</v>
      </c>
      <c r="AE57" s="29">
        <f>IFERROR(IF(VLOOKUP(CONCATENATE($B57,AE$2),Database!$B:$E,4,0)="L",6,5),"")</f>
        <v>5</v>
      </c>
      <c r="AF57" s="29">
        <f>IFERROR(IF(VLOOKUP(CONCATENATE($B57,AF$2),Database!$B:$E,4,0)="L",6,5),"")</f>
        <v>6</v>
      </c>
      <c r="AG57" s="29">
        <f>IFERROR(IF(VLOOKUP(CONCATENATE($B57,AG$2),Database!$B:$E,4,0)="L",6,5),"")</f>
        <v>5</v>
      </c>
      <c r="AH57" s="29">
        <f>IFERROR(IF(VLOOKUP(CONCATENATE($B57,AH$2),Database!$B:$E,4,0)="L",6,5),"")</f>
        <v>6</v>
      </c>
      <c r="AI57" s="29">
        <f>IFERROR(IF(VLOOKUP(CONCATENATE($B57,AI$2),Database!$B:$E,4,0)="L",6,5),"")</f>
        <v>6</v>
      </c>
      <c r="AJ57" s="29">
        <f>IFERROR(IF(VLOOKUP(CONCATENATE($B57,AJ$2),Database!$B:$E,4,0)="L",6,5),"")</f>
        <v>6</v>
      </c>
      <c r="AK57" s="29">
        <f>IFERROR(IF(VLOOKUP(CONCATENATE($B57,AK$2),Database!$B:$E,4,0)="L",6,5),"")</f>
        <v>5</v>
      </c>
      <c r="AL57" s="29">
        <f>IFERROR(IF(VLOOKUP(CONCATENATE($B57,AL$2),Database!$B:$E,4,0)="L",6,5),"")</f>
        <v>5</v>
      </c>
      <c r="AM57" s="29">
        <f>IFERROR(IF(VLOOKUP(CONCATENATE($B57,AM$2),Database!$B:$E,4,0)="L",6,5),"")</f>
        <v>6</v>
      </c>
      <c r="AN57" s="29">
        <f>IFERROR(IF(VLOOKUP(CONCATENATE($B57,AN$2),Database!$B:$E,4,0)="L",6,5),"")</f>
        <v>6</v>
      </c>
      <c r="AO57" s="29">
        <f>IFERROR(IF(VLOOKUP(CONCATENATE($B57,AO$2),Database!$B:$E,4,0)="L",6,5),"")</f>
        <v>5</v>
      </c>
      <c r="AP57" s="29">
        <f>IFERROR(IF(VLOOKUP(CONCATENATE($B57,AP$2),Database!$B:$E,4,0)="L",6,5),"")</f>
        <v>5</v>
      </c>
      <c r="AQ57" s="29">
        <f>IFERROR(IF(VLOOKUP(CONCATENATE($B57,AQ$2),Database!$B:$E,4,0)="L",6,5),"")</f>
        <v>6</v>
      </c>
      <c r="AR57" s="29">
        <f>IFERROR(IF(VLOOKUP(CONCATENATE($B57,AR$2),Database!$B:$E,4,0)="L",6,5),"")</f>
        <v>5</v>
      </c>
      <c r="AS57" s="29">
        <f>IFERROR(IF(VLOOKUP(CONCATENATE($B57,AS$2),Database!$B:$E,4,0)="L",6,5),"")</f>
        <v>6</v>
      </c>
      <c r="AT57" s="29">
        <f>IFERROR(IF(VLOOKUP(CONCATENATE($B57,AT$2),Database!$B:$E,4,0)="L",6,5),"")</f>
        <v>6</v>
      </c>
      <c r="AU57" s="29">
        <f>IFERROR(IF(VLOOKUP(CONCATENATE($B57,AU$2),Database!$B:$E,4,0)="L",6,5),"")</f>
        <v>6</v>
      </c>
      <c r="AV57" s="29">
        <f>IFERROR(IF(VLOOKUP(CONCATENATE($B57,AV$2),Database!$B:$E,4,0)="L",6,5),"")</f>
        <v>6</v>
      </c>
      <c r="AW57" s="29">
        <f>IFERROR(IF(VLOOKUP(CONCATENATE($B57,AW$2),Database!$B:$E,4,0)="L",6,5),"")</f>
        <v>5</v>
      </c>
      <c r="AX57" s="29">
        <f>IFERROR(IF(VLOOKUP(CONCATENATE($B57,AX$2),Database!$B:$E,4,0)="L",6,5),"")</f>
        <v>6</v>
      </c>
      <c r="AY57" s="29">
        <f>IFERROR(IF(VLOOKUP(CONCATENATE($B57,AY$2),Database!$B:$E,4,0)="L",6,5),"")</f>
        <v>5</v>
      </c>
      <c r="AZ57" s="29">
        <f>IFERROR(IF(VLOOKUP(CONCATENATE($B57,AZ$2),Database!$B:$E,4,0)="L",6,5),"")</f>
        <v>6</v>
      </c>
      <c r="BA57" s="29">
        <f>IFERROR(IF(VLOOKUP(CONCATENATE($B57,BA$2),Database!$B:$E,4,0)="L",6,5),"")</f>
        <v>6</v>
      </c>
      <c r="BB57" s="29">
        <f>IFERROR(IF(VLOOKUP(CONCATENATE($B57,BB$2),Database!$B:$E,4,0)="L",6,5),"")</f>
        <v>6</v>
      </c>
      <c r="BC57" s="29">
        <f>IFERROR(IF(VLOOKUP(CONCATENATE($B57,BC$2),Database!$B:$E,4,0)="L",6,5),"")</f>
        <v>6</v>
      </c>
      <c r="BD57" s="29">
        <f>IFERROR(IF(VLOOKUP(CONCATENATE($B57,BD$2),Database!$B:$E,4,0)="L",6,5),"")</f>
        <v>5</v>
      </c>
      <c r="BE57" s="29">
        <f>IFERROR(IF(VLOOKUP(CONCATENATE($B57,BE$2),Database!$B:$E,4,0)="L",6,5),"")</f>
        <v>5</v>
      </c>
      <c r="BF57" s="29">
        <f>IFERROR(IF(VLOOKUP(CONCATENATE($B57,BF$2),Database!$B:$E,4,0)="L",6,5),"")</f>
        <v>5</v>
      </c>
      <c r="BG57" s="29">
        <f>IFERROR(IF(VLOOKUP(CONCATENATE($B57,BG$2),Database!$B:$E,4,0)="L",6,5),"")</f>
        <v>5</v>
      </c>
      <c r="BH57" s="29">
        <f>IFERROR(IF(VLOOKUP(CONCATENATE($B57,BH$2),Database!$B:$E,4,0)="L",6,5),"")</f>
        <v>5</v>
      </c>
      <c r="BI57" s="29">
        <f>IFERROR(IF(VLOOKUP(CONCATENATE($B57,BI$2),Database!$B:$E,4,0)="L",6,5),"")</f>
        <v>5</v>
      </c>
      <c r="BJ57" s="29">
        <f>IFERROR(IF(VLOOKUP(CONCATENATE($B57,BJ$2),Database!$B:$E,4,0)="L",6,5),"")</f>
        <v>6</v>
      </c>
      <c r="BK57" s="29" t="str">
        <f>IFERROR(IF(VLOOKUP(CONCATENATE($B57,BK$2),Database!$B:$E,4,0)="L",6,5),"")</f>
        <v/>
      </c>
      <c r="BL57" s="29" t="str">
        <f>IFERROR(IF(VLOOKUP(CONCATENATE($B57,BL$2),Database!$B:$E,4,0)="L",6,5),"")</f>
        <v/>
      </c>
      <c r="BM57" s="29" t="str">
        <f>IFERROR(IF(VLOOKUP(CONCATENATE($B57,BM$2),Database!$B:$E,4,0)="L",6,5),"")</f>
        <v/>
      </c>
      <c r="BN57" s="29" t="str">
        <f>IFERROR(IF(VLOOKUP(CONCATENATE($B57,BN$2),Database!$B:$E,4,0)="L",6,5),"")</f>
        <v/>
      </c>
      <c r="BO57" s="29" t="str">
        <f>IFERROR(IF(VLOOKUP(CONCATENATE($B57,BO$2),Database!$B:$E,4,0)="L",6,5),"")</f>
        <v/>
      </c>
      <c r="BP57" s="29" t="str">
        <f>IFERROR(IF(VLOOKUP(CONCATENATE($B57,BP$2),Database!$B:$E,4,0)="L",6,5),"")</f>
        <v/>
      </c>
      <c r="BQ57" s="29" t="str">
        <f>IFERROR(IF(VLOOKUP(CONCATENATE($B57,BQ$2),Database!$B:$E,4,0)="L",6,5),"")</f>
        <v/>
      </c>
      <c r="BR57" s="29" t="str">
        <f>IFERROR(IF(VLOOKUP(CONCATENATE($B57,BR$2),Database!$B:$E,4,0)="L",6,5),"")</f>
        <v/>
      </c>
      <c r="BS57" s="29" t="str">
        <f>IFERROR(IF(VLOOKUP(CONCATENATE($B57,BS$2),Database!$B:$E,4,0)="L",6,5),"")</f>
        <v/>
      </c>
      <c r="BT57" s="29" t="str">
        <f>IFERROR(IF(VLOOKUP(CONCATENATE($B57,BT$2),Database!$B:$E,4,0)="L",6,5),"")</f>
        <v/>
      </c>
      <c r="BU57" s="29" t="str">
        <f>IFERROR(IF(VLOOKUP(CONCATENATE($B57,BU$2),Database!$B:$E,4,0)="L",6,5),"")</f>
        <v/>
      </c>
      <c r="BV57" s="29" t="str">
        <f>IFERROR(IF(VLOOKUP(CONCATENATE($B57,BV$2),Database!$B:$E,4,0)="L",6,5),"")</f>
        <v/>
      </c>
      <c r="BW57" s="29" t="str">
        <f>IFERROR(IF(VLOOKUP(CONCATENATE($B57,BW$2),Database!$B:$E,4,0)="L",6,5),"")</f>
        <v/>
      </c>
      <c r="BX57" s="29" t="str">
        <f>IFERROR(IF(VLOOKUP(CONCATENATE($B57,BX$2),Database!$B:$E,4,0)="L",6,5),"")</f>
        <v/>
      </c>
      <c r="BY57" s="29" t="str">
        <f>IFERROR(IF(VLOOKUP(CONCATENATE($B57,BY$2),Database!$B:$E,4,0)="L",6,5),"")</f>
        <v/>
      </c>
      <c r="BZ57" s="29" t="str">
        <f>IFERROR(IF(VLOOKUP(CONCATENATE($B57,BZ$2),Database!$B:$E,4,0)="L",6,5),"")</f>
        <v/>
      </c>
    </row>
    <row r="58" spans="2:78" ht="14.3" x14ac:dyDescent="0.3">
      <c r="B58" s="32" t="s">
        <v>28</v>
      </c>
      <c r="C58" s="16">
        <f>COUNTIFS(Database!$D:$D,$B58,Database!$C:$C,"&gt;1/1/25")</f>
        <v>0</v>
      </c>
      <c r="D58" s="1">
        <f>COUNTIFS(Database!$D:$D,$B58,Database!$E:$E,"W",Database!$C:$C,"&gt;1/1/25")</f>
        <v>0</v>
      </c>
      <c r="E58" s="1">
        <f>COUNTIFS(Database!$D:$D,$B58,Database!$E:$E,"L",Database!$C:$C,"&gt;1/1/25")</f>
        <v>0</v>
      </c>
      <c r="F58" s="1">
        <f t="shared" si="9"/>
        <v>0</v>
      </c>
      <c r="G58" s="21" t="str">
        <f t="shared" si="10"/>
        <v>-</v>
      </c>
      <c r="H58" s="14" t="str">
        <f t="shared" si="11"/>
        <v>-</v>
      </c>
      <c r="J58" s="16">
        <f>COUNTIF(Database!$D:$D,$B58)</f>
        <v>11</v>
      </c>
      <c r="K58" s="1">
        <f>COUNTIFS(Database!$D:$D,$B58,Database!$E:$E,"W")</f>
        <v>4</v>
      </c>
      <c r="L58" s="1">
        <f>COUNTIFS(Database!$D:$D,$B58,Database!$E:$E,"L")</f>
        <v>7</v>
      </c>
      <c r="M58" s="1">
        <f t="shared" si="12"/>
        <v>-3</v>
      </c>
      <c r="N58" s="21">
        <f t="shared" si="13"/>
        <v>0.36363636363636365</v>
      </c>
      <c r="O58" s="14">
        <f t="shared" si="14"/>
        <v>0.63636363636363635</v>
      </c>
      <c r="Q58" s="28">
        <f>IFERROR(IF(VLOOKUP(CONCATENATE($B58,Q$2),Database!$B:$E,4,0)="L",6,5),"")</f>
        <v>6</v>
      </c>
      <c r="R58" s="23">
        <f>IFERROR(IF(VLOOKUP(CONCATENATE($B58,R$2),Database!$B:$E,4,0)="L",6,5),"")</f>
        <v>5</v>
      </c>
      <c r="S58" s="23">
        <f>IFERROR(IF(VLOOKUP(CONCATENATE($B58,S$2),Database!$B:$E,4,0)="L",6,5),"")</f>
        <v>6</v>
      </c>
      <c r="T58" s="23">
        <f>IFERROR(IF(VLOOKUP(CONCATENATE($B58,T$2),Database!$B:$E,4,0)="L",6,5),"")</f>
        <v>5</v>
      </c>
      <c r="U58" s="29">
        <f>IFERROR(IF(VLOOKUP(CONCATENATE($B58,U$2),Database!$B:$E,4,0)="L",6,5),"")</f>
        <v>6</v>
      </c>
      <c r="V58" s="55"/>
      <c r="W58" s="57"/>
      <c r="X58" s="63"/>
      <c r="Z58" s="63" t="str">
        <f t="shared" si="8"/>
        <v>Y</v>
      </c>
      <c r="AB58" s="29">
        <f>IFERROR(IF(VLOOKUP(CONCATENATE($B58,AB$2),Database!$B:$E,4,0)="L",6,5),"")</f>
        <v>6</v>
      </c>
      <c r="AC58" s="29">
        <f>IFERROR(IF(VLOOKUP(CONCATENATE($B58,AC$2),Database!$B:$E,4,0)="L",6,5),"")</f>
        <v>5</v>
      </c>
      <c r="AD58" s="29">
        <f>IFERROR(IF(VLOOKUP(CONCATENATE($B58,AD$2),Database!$B:$E,4,0)="L",6,5),"")</f>
        <v>6</v>
      </c>
      <c r="AE58" s="29">
        <f>IFERROR(IF(VLOOKUP(CONCATENATE($B58,AE$2),Database!$B:$E,4,0)="L",6,5),"")</f>
        <v>5</v>
      </c>
      <c r="AF58" s="29">
        <f>IFERROR(IF(VLOOKUP(CONCATENATE($B58,AF$2),Database!$B:$E,4,0)="L",6,5),"")</f>
        <v>6</v>
      </c>
      <c r="AG58" s="29">
        <f>IFERROR(IF(VLOOKUP(CONCATENATE($B58,AG$2),Database!$B:$E,4,0)="L",6,5),"")</f>
        <v>6</v>
      </c>
      <c r="AH58" s="29">
        <f>IFERROR(IF(VLOOKUP(CONCATENATE($B58,AH$2),Database!$B:$E,4,0)="L",6,5),"")</f>
        <v>5</v>
      </c>
      <c r="AI58" s="29">
        <f>IFERROR(IF(VLOOKUP(CONCATENATE($B58,AI$2),Database!$B:$E,4,0)="L",6,5),"")</f>
        <v>5</v>
      </c>
      <c r="AJ58" s="29">
        <f>IFERROR(IF(VLOOKUP(CONCATENATE($B58,AJ$2),Database!$B:$E,4,0)="L",6,5),"")</f>
        <v>6</v>
      </c>
      <c r="AK58" s="29">
        <f>IFERROR(IF(VLOOKUP(CONCATENATE($B58,AK$2),Database!$B:$E,4,0)="L",6,5),"")</f>
        <v>6</v>
      </c>
      <c r="AL58" s="29">
        <f>IFERROR(IF(VLOOKUP(CONCATENATE($B58,AL$2),Database!$B:$E,4,0)="L",6,5),"")</f>
        <v>6</v>
      </c>
      <c r="AM58" s="29" t="str">
        <f>IFERROR(IF(VLOOKUP(CONCATENATE($B58,AM$2),Database!$B:$E,4,0)="L",6,5),"")</f>
        <v/>
      </c>
      <c r="AN58" s="29" t="str">
        <f>IFERROR(IF(VLOOKUP(CONCATENATE($B58,AN$2),Database!$B:$E,4,0)="L",6,5),"")</f>
        <v/>
      </c>
      <c r="AO58" s="29" t="str">
        <f>IFERROR(IF(VLOOKUP(CONCATENATE($B58,AO$2),Database!$B:$E,4,0)="L",6,5),"")</f>
        <v/>
      </c>
      <c r="AP58" s="29" t="str">
        <f>IFERROR(IF(VLOOKUP(CONCATENATE($B58,AP$2),Database!$B:$E,4,0)="L",6,5),"")</f>
        <v/>
      </c>
      <c r="AQ58" s="29" t="str">
        <f>IFERROR(IF(VLOOKUP(CONCATENATE($B58,AQ$2),Database!$B:$E,4,0)="L",6,5),"")</f>
        <v/>
      </c>
      <c r="AR58" s="29" t="str">
        <f>IFERROR(IF(VLOOKUP(CONCATENATE($B58,AR$2),Database!$B:$E,4,0)="L",6,5),"")</f>
        <v/>
      </c>
      <c r="AS58" s="29" t="str">
        <f>IFERROR(IF(VLOOKUP(CONCATENATE($B58,AS$2),Database!$B:$E,4,0)="L",6,5),"")</f>
        <v/>
      </c>
      <c r="AT58" s="29" t="str">
        <f>IFERROR(IF(VLOOKUP(CONCATENATE($B58,AT$2),Database!$B:$E,4,0)="L",6,5),"")</f>
        <v/>
      </c>
      <c r="AU58" s="29" t="str">
        <f>IFERROR(IF(VLOOKUP(CONCATENATE($B58,AU$2),Database!$B:$E,4,0)="L",6,5),"")</f>
        <v/>
      </c>
      <c r="AV58" s="29" t="str">
        <f>IFERROR(IF(VLOOKUP(CONCATENATE($B58,AV$2),Database!$B:$E,4,0)="L",6,5),"")</f>
        <v/>
      </c>
      <c r="AW58" s="29" t="str">
        <f>IFERROR(IF(VLOOKUP(CONCATENATE($B58,AW$2),Database!$B:$E,4,0)="L",6,5),"")</f>
        <v/>
      </c>
      <c r="AX58" s="29" t="str">
        <f>IFERROR(IF(VLOOKUP(CONCATENATE($B58,AX$2),Database!$B:$E,4,0)="L",6,5),"")</f>
        <v/>
      </c>
      <c r="AY58" s="29" t="str">
        <f>IFERROR(IF(VLOOKUP(CONCATENATE($B58,AY$2),Database!$B:$E,4,0)="L",6,5),"")</f>
        <v/>
      </c>
      <c r="AZ58" s="29" t="str">
        <f>IFERROR(IF(VLOOKUP(CONCATENATE($B58,AZ$2),Database!$B:$E,4,0)="L",6,5),"")</f>
        <v/>
      </c>
      <c r="BA58" s="29" t="str">
        <f>IFERROR(IF(VLOOKUP(CONCATENATE($B58,BA$2),Database!$B:$E,4,0)="L",6,5),"")</f>
        <v/>
      </c>
      <c r="BB58" s="29" t="str">
        <f>IFERROR(IF(VLOOKUP(CONCATENATE($B58,BB$2),Database!$B:$E,4,0)="L",6,5),"")</f>
        <v/>
      </c>
      <c r="BC58" s="29" t="str">
        <f>IFERROR(IF(VLOOKUP(CONCATENATE($B58,BC$2),Database!$B:$E,4,0)="L",6,5),"")</f>
        <v/>
      </c>
      <c r="BD58" s="29" t="str">
        <f>IFERROR(IF(VLOOKUP(CONCATENATE($B58,BD$2),Database!$B:$E,4,0)="L",6,5),"")</f>
        <v/>
      </c>
      <c r="BE58" s="29" t="str">
        <f>IFERROR(IF(VLOOKUP(CONCATENATE($B58,BE$2),Database!$B:$E,4,0)="L",6,5),"")</f>
        <v/>
      </c>
      <c r="BF58" s="29" t="str">
        <f>IFERROR(IF(VLOOKUP(CONCATENATE($B58,BF$2),Database!$B:$E,4,0)="L",6,5),"")</f>
        <v/>
      </c>
      <c r="BG58" s="29" t="str">
        <f>IFERROR(IF(VLOOKUP(CONCATENATE($B58,BG$2),Database!$B:$E,4,0)="L",6,5),"")</f>
        <v/>
      </c>
      <c r="BH58" s="29" t="str">
        <f>IFERROR(IF(VLOOKUP(CONCATENATE($B58,BH$2),Database!$B:$E,4,0)="L",6,5),"")</f>
        <v/>
      </c>
      <c r="BI58" s="29" t="str">
        <f>IFERROR(IF(VLOOKUP(CONCATENATE($B58,BI$2),Database!$B:$E,4,0)="L",6,5),"")</f>
        <v/>
      </c>
      <c r="BJ58" s="29" t="str">
        <f>IFERROR(IF(VLOOKUP(CONCATENATE($B58,BJ$2),Database!$B:$E,4,0)="L",6,5),"")</f>
        <v/>
      </c>
      <c r="BK58" s="29" t="str">
        <f>IFERROR(IF(VLOOKUP(CONCATENATE($B58,BK$2),Database!$B:$E,4,0)="L",6,5),"")</f>
        <v/>
      </c>
      <c r="BL58" s="29" t="str">
        <f>IFERROR(IF(VLOOKUP(CONCATENATE($B58,BL$2),Database!$B:$E,4,0)="L",6,5),"")</f>
        <v/>
      </c>
      <c r="BM58" s="29" t="str">
        <f>IFERROR(IF(VLOOKUP(CONCATENATE($B58,BM$2),Database!$B:$E,4,0)="L",6,5),"")</f>
        <v/>
      </c>
      <c r="BN58" s="29" t="str">
        <f>IFERROR(IF(VLOOKUP(CONCATENATE($B58,BN$2),Database!$B:$E,4,0)="L",6,5),"")</f>
        <v/>
      </c>
      <c r="BO58" s="29" t="str">
        <f>IFERROR(IF(VLOOKUP(CONCATENATE($B58,BO$2),Database!$B:$E,4,0)="L",6,5),"")</f>
        <v/>
      </c>
      <c r="BP58" s="29" t="str">
        <f>IFERROR(IF(VLOOKUP(CONCATENATE($B58,BP$2),Database!$B:$E,4,0)="L",6,5),"")</f>
        <v/>
      </c>
      <c r="BQ58" s="29" t="str">
        <f>IFERROR(IF(VLOOKUP(CONCATENATE($B58,BQ$2),Database!$B:$E,4,0)="L",6,5),"")</f>
        <v/>
      </c>
      <c r="BR58" s="29" t="str">
        <f>IFERROR(IF(VLOOKUP(CONCATENATE($B58,BR$2),Database!$B:$E,4,0)="L",6,5),"")</f>
        <v/>
      </c>
      <c r="BS58" s="29" t="str">
        <f>IFERROR(IF(VLOOKUP(CONCATENATE($B58,BS$2),Database!$B:$E,4,0)="L",6,5),"")</f>
        <v/>
      </c>
      <c r="BT58" s="29" t="str">
        <f>IFERROR(IF(VLOOKUP(CONCATENATE($B58,BT$2),Database!$B:$E,4,0)="L",6,5),"")</f>
        <v/>
      </c>
      <c r="BU58" s="29" t="str">
        <f>IFERROR(IF(VLOOKUP(CONCATENATE($B58,BU$2),Database!$B:$E,4,0)="L",6,5),"")</f>
        <v/>
      </c>
      <c r="BV58" s="29" t="str">
        <f>IFERROR(IF(VLOOKUP(CONCATENATE($B58,BV$2),Database!$B:$E,4,0)="L",6,5),"")</f>
        <v/>
      </c>
      <c r="BW58" s="29" t="str">
        <f>IFERROR(IF(VLOOKUP(CONCATENATE($B58,BW$2),Database!$B:$E,4,0)="L",6,5),"")</f>
        <v/>
      </c>
      <c r="BX58" s="29" t="str">
        <f>IFERROR(IF(VLOOKUP(CONCATENATE($B58,BX$2),Database!$B:$E,4,0)="L",6,5),"")</f>
        <v/>
      </c>
      <c r="BY58" s="29" t="str">
        <f>IFERROR(IF(VLOOKUP(CONCATENATE($B58,BY$2),Database!$B:$E,4,0)="L",6,5),"")</f>
        <v/>
      </c>
      <c r="BZ58" s="29" t="str">
        <f>IFERROR(IF(VLOOKUP(CONCATENATE($B58,BZ$2),Database!$B:$E,4,0)="L",6,5),"")</f>
        <v/>
      </c>
    </row>
    <row r="59" spans="2:78" ht="14.3" x14ac:dyDescent="0.3">
      <c r="B59" s="19" t="s">
        <v>61</v>
      </c>
      <c r="C59" s="16">
        <f>COUNTIFS(Database!$D:$D,$B59,Database!$C:$C,"&gt;1/1/25")</f>
        <v>1</v>
      </c>
      <c r="D59" s="1">
        <f>COUNTIFS(Database!$D:$D,$B59,Database!$E:$E,"W",Database!$C:$C,"&gt;1/1/25")</f>
        <v>0</v>
      </c>
      <c r="E59" s="1">
        <f>COUNTIFS(Database!$D:$D,$B59,Database!$E:$E,"L",Database!$C:$C,"&gt;1/1/25")</f>
        <v>1</v>
      </c>
      <c r="F59" s="1">
        <f t="shared" si="9"/>
        <v>-1</v>
      </c>
      <c r="G59" s="21">
        <f t="shared" si="10"/>
        <v>0</v>
      </c>
      <c r="H59" s="14">
        <f t="shared" si="11"/>
        <v>1</v>
      </c>
      <c r="J59" s="16">
        <f>COUNTIF(Database!$D:$D,$B59)</f>
        <v>33</v>
      </c>
      <c r="K59" s="1">
        <f>COUNTIFS(Database!$D:$D,$B59,Database!$E:$E,"W")</f>
        <v>17</v>
      </c>
      <c r="L59" s="1">
        <f>COUNTIFS(Database!$D:$D,$B59,Database!$E:$E,"L")</f>
        <v>16</v>
      </c>
      <c r="M59" s="1">
        <f t="shared" si="12"/>
        <v>1</v>
      </c>
      <c r="N59" s="21">
        <f t="shared" si="13"/>
        <v>0.51515151515151514</v>
      </c>
      <c r="O59" s="14">
        <f t="shared" si="14"/>
        <v>0.48484848484848486</v>
      </c>
      <c r="Q59" s="28">
        <f>IFERROR(IF(VLOOKUP(CONCATENATE($B59,Q$2),Database!$B:$E,4,0)="L",6,5),"")</f>
        <v>5</v>
      </c>
      <c r="R59" s="23">
        <f>IFERROR(IF(VLOOKUP(CONCATENATE($B59,R$2),Database!$B:$E,4,0)="L",6,5),"")</f>
        <v>5</v>
      </c>
      <c r="S59" s="23">
        <f>IFERROR(IF(VLOOKUP(CONCATENATE($B59,S$2),Database!$B:$E,4,0)="L",6,5),"")</f>
        <v>5</v>
      </c>
      <c r="T59" s="23">
        <f>IFERROR(IF(VLOOKUP(CONCATENATE($B59,T$2),Database!$B:$E,4,0)="L",6,5),"")</f>
        <v>5</v>
      </c>
      <c r="U59" s="29">
        <f>IFERROR(IF(VLOOKUP(CONCATENATE($B59,U$2),Database!$B:$E,4,0)="L",6,5),"")</f>
        <v>6</v>
      </c>
      <c r="V59" s="55"/>
      <c r="W59" s="56"/>
      <c r="X59" s="86" t="s">
        <v>14</v>
      </c>
      <c r="Z59" s="63" t="str">
        <f t="shared" si="8"/>
        <v>Y</v>
      </c>
      <c r="AB59" s="29">
        <f>IFERROR(IF(VLOOKUP(CONCATENATE($B59,AB$2),Database!$B:$E,4,0)="L",6,5),"")</f>
        <v>6</v>
      </c>
      <c r="AC59" s="29">
        <f>IFERROR(IF(VLOOKUP(CONCATENATE($B59,AC$2),Database!$B:$E,4,0)="L",6,5),"")</f>
        <v>5</v>
      </c>
      <c r="AD59" s="29">
        <f>IFERROR(IF(VLOOKUP(CONCATENATE($B59,AD$2),Database!$B:$E,4,0)="L",6,5),"")</f>
        <v>5</v>
      </c>
      <c r="AE59" s="29">
        <f>IFERROR(IF(VLOOKUP(CONCATENATE($B59,AE$2),Database!$B:$E,4,0)="L",6,5),"")</f>
        <v>5</v>
      </c>
      <c r="AF59" s="29">
        <f>IFERROR(IF(VLOOKUP(CONCATENATE($B59,AF$2),Database!$B:$E,4,0)="L",6,5),"")</f>
        <v>5</v>
      </c>
      <c r="AG59" s="29">
        <f>IFERROR(IF(VLOOKUP(CONCATENATE($B59,AG$2),Database!$B:$E,4,0)="L",6,5),"")</f>
        <v>5</v>
      </c>
      <c r="AH59" s="29">
        <f>IFERROR(IF(VLOOKUP(CONCATENATE($B59,AH$2),Database!$B:$E,4,0)="L",6,5),"")</f>
        <v>6</v>
      </c>
      <c r="AI59" s="29">
        <f>IFERROR(IF(VLOOKUP(CONCATENATE($B59,AI$2),Database!$B:$E,4,0)="L",6,5),"")</f>
        <v>6</v>
      </c>
      <c r="AJ59" s="29">
        <f>IFERROR(IF(VLOOKUP(CONCATENATE($B59,AJ$2),Database!$B:$E,4,0)="L",6,5),"")</f>
        <v>5</v>
      </c>
      <c r="AK59" s="29">
        <f>IFERROR(IF(VLOOKUP(CONCATENATE($B59,AK$2),Database!$B:$E,4,0)="L",6,5),"")</f>
        <v>5</v>
      </c>
      <c r="AL59" s="29">
        <f>IFERROR(IF(VLOOKUP(CONCATENATE($B59,AL$2),Database!$B:$E,4,0)="L",6,5),"")</f>
        <v>6</v>
      </c>
      <c r="AM59" s="29">
        <f>IFERROR(IF(VLOOKUP(CONCATENATE($B59,AM$2),Database!$B:$E,4,0)="L",6,5),"")</f>
        <v>5</v>
      </c>
      <c r="AN59" s="29">
        <f>IFERROR(IF(VLOOKUP(CONCATENATE($B59,AN$2),Database!$B:$E,4,0)="L",6,5),"")</f>
        <v>5</v>
      </c>
      <c r="AO59" s="29">
        <f>IFERROR(IF(VLOOKUP(CONCATENATE($B59,AO$2),Database!$B:$E,4,0)="L",6,5),"")</f>
        <v>6</v>
      </c>
      <c r="AP59" s="29">
        <f>IFERROR(IF(VLOOKUP(CONCATENATE($B59,AP$2),Database!$B:$E,4,0)="L",6,5),"")</f>
        <v>5</v>
      </c>
      <c r="AQ59" s="29">
        <f>IFERROR(IF(VLOOKUP(CONCATENATE($B59,AQ$2),Database!$B:$E,4,0)="L",6,5),"")</f>
        <v>5</v>
      </c>
      <c r="AR59" s="29">
        <f>IFERROR(IF(VLOOKUP(CONCATENATE($B59,AR$2),Database!$B:$E,4,0)="L",6,5),"")</f>
        <v>6</v>
      </c>
      <c r="AS59" s="29">
        <f>IFERROR(IF(VLOOKUP(CONCATENATE($B59,AS$2),Database!$B:$E,4,0)="L",6,5),"")</f>
        <v>6</v>
      </c>
      <c r="AT59" s="29">
        <f>IFERROR(IF(VLOOKUP(CONCATENATE($B59,AT$2),Database!$B:$E,4,0)="L",6,5),"")</f>
        <v>6</v>
      </c>
      <c r="AU59" s="29">
        <f>IFERROR(IF(VLOOKUP(CONCATENATE($B59,AU$2),Database!$B:$E,4,0)="L",6,5),"")</f>
        <v>5</v>
      </c>
      <c r="AV59" s="29">
        <f>IFERROR(IF(VLOOKUP(CONCATENATE($B59,AV$2),Database!$B:$E,4,0)="L",6,5),"")</f>
        <v>5</v>
      </c>
      <c r="AW59" s="29">
        <f>IFERROR(IF(VLOOKUP(CONCATENATE($B59,AW$2),Database!$B:$E,4,0)="L",6,5),"")</f>
        <v>6</v>
      </c>
      <c r="AX59" s="29">
        <f>IFERROR(IF(VLOOKUP(CONCATENATE($B59,AX$2),Database!$B:$E,4,0)="L",6,5),"")</f>
        <v>5</v>
      </c>
      <c r="AY59" s="29">
        <f>IFERROR(IF(VLOOKUP(CONCATENATE($B59,AY$2),Database!$B:$E,4,0)="L",6,5),"")</f>
        <v>5</v>
      </c>
      <c r="AZ59" s="29">
        <f>IFERROR(IF(VLOOKUP(CONCATENATE($B59,AZ$2),Database!$B:$E,4,0)="L",6,5),"")</f>
        <v>6</v>
      </c>
      <c r="BA59" s="29">
        <f>IFERROR(IF(VLOOKUP(CONCATENATE($B59,BA$2),Database!$B:$E,4,0)="L",6,5),"")</f>
        <v>5</v>
      </c>
      <c r="BB59" s="29">
        <f>IFERROR(IF(VLOOKUP(CONCATENATE($B59,BB$2),Database!$B:$E,4,0)="L",6,5),"")</f>
        <v>6</v>
      </c>
      <c r="BC59" s="29">
        <f>IFERROR(IF(VLOOKUP(CONCATENATE($B59,BC$2),Database!$B:$E,4,0)="L",6,5),"")</f>
        <v>6</v>
      </c>
      <c r="BD59" s="29">
        <f>IFERROR(IF(VLOOKUP(CONCATENATE($B59,BD$2),Database!$B:$E,4,0)="L",6,5),"")</f>
        <v>6</v>
      </c>
      <c r="BE59" s="29">
        <f>IFERROR(IF(VLOOKUP(CONCATENATE($B59,BE$2),Database!$B:$E,4,0)="L",6,5),"")</f>
        <v>5</v>
      </c>
      <c r="BF59" s="29">
        <f>IFERROR(IF(VLOOKUP(CONCATENATE($B59,BF$2),Database!$B:$E,4,0)="L",6,5),"")</f>
        <v>6</v>
      </c>
      <c r="BG59" s="29">
        <f>IFERROR(IF(VLOOKUP(CONCATENATE($B59,BG$2),Database!$B:$E,4,0)="L",6,5),"")</f>
        <v>6</v>
      </c>
      <c r="BH59" s="29">
        <f>IFERROR(IF(VLOOKUP(CONCATENATE($B59,BH$2),Database!$B:$E,4,0)="L",6,5),"")</f>
        <v>6</v>
      </c>
      <c r="BI59" s="29" t="str">
        <f>IFERROR(IF(VLOOKUP(CONCATENATE($B59,BI$2),Database!$B:$E,4,0)="L",6,5),"")</f>
        <v/>
      </c>
      <c r="BJ59" s="29" t="str">
        <f>IFERROR(IF(VLOOKUP(CONCATENATE($B59,BJ$2),Database!$B:$E,4,0)="L",6,5),"")</f>
        <v/>
      </c>
      <c r="BK59" s="29" t="str">
        <f>IFERROR(IF(VLOOKUP(CONCATENATE($B59,BK$2),Database!$B:$E,4,0)="L",6,5),"")</f>
        <v/>
      </c>
      <c r="BL59" s="29" t="str">
        <f>IFERROR(IF(VLOOKUP(CONCATENATE($B59,BL$2),Database!$B:$E,4,0)="L",6,5),"")</f>
        <v/>
      </c>
      <c r="BM59" s="29" t="str">
        <f>IFERROR(IF(VLOOKUP(CONCATENATE($B59,BM$2),Database!$B:$E,4,0)="L",6,5),"")</f>
        <v/>
      </c>
      <c r="BN59" s="29" t="str">
        <f>IFERROR(IF(VLOOKUP(CONCATENATE($B59,BN$2),Database!$B:$E,4,0)="L",6,5),"")</f>
        <v/>
      </c>
      <c r="BO59" s="29" t="str">
        <f>IFERROR(IF(VLOOKUP(CONCATENATE($B59,BO$2),Database!$B:$E,4,0)="L",6,5),"")</f>
        <v/>
      </c>
      <c r="BP59" s="29" t="str">
        <f>IFERROR(IF(VLOOKUP(CONCATENATE($B59,BP$2),Database!$B:$E,4,0)="L",6,5),"")</f>
        <v/>
      </c>
      <c r="BQ59" s="29" t="str">
        <f>IFERROR(IF(VLOOKUP(CONCATENATE($B59,BQ$2),Database!$B:$E,4,0)="L",6,5),"")</f>
        <v/>
      </c>
      <c r="BR59" s="29" t="str">
        <f>IFERROR(IF(VLOOKUP(CONCATENATE($B59,BR$2),Database!$B:$E,4,0)="L",6,5),"")</f>
        <v/>
      </c>
      <c r="BS59" s="29" t="str">
        <f>IFERROR(IF(VLOOKUP(CONCATENATE($B59,BS$2),Database!$B:$E,4,0)="L",6,5),"")</f>
        <v/>
      </c>
      <c r="BT59" s="29" t="str">
        <f>IFERROR(IF(VLOOKUP(CONCATENATE($B59,BT$2),Database!$B:$E,4,0)="L",6,5),"")</f>
        <v/>
      </c>
      <c r="BU59" s="29" t="str">
        <f>IFERROR(IF(VLOOKUP(CONCATENATE($B59,BU$2),Database!$B:$E,4,0)="L",6,5),"")</f>
        <v/>
      </c>
      <c r="BV59" s="29" t="str">
        <f>IFERROR(IF(VLOOKUP(CONCATENATE($B59,BV$2),Database!$B:$E,4,0)="L",6,5),"")</f>
        <v/>
      </c>
      <c r="BW59" s="29" t="str">
        <f>IFERROR(IF(VLOOKUP(CONCATENATE($B59,BW$2),Database!$B:$E,4,0)="L",6,5),"")</f>
        <v/>
      </c>
      <c r="BX59" s="29" t="str">
        <f>IFERROR(IF(VLOOKUP(CONCATENATE($B59,BX$2),Database!$B:$E,4,0)="L",6,5),"")</f>
        <v/>
      </c>
      <c r="BY59" s="29" t="str">
        <f>IFERROR(IF(VLOOKUP(CONCATENATE($B59,BY$2),Database!$B:$E,4,0)="L",6,5),"")</f>
        <v/>
      </c>
      <c r="BZ59" s="29" t="str">
        <f>IFERROR(IF(VLOOKUP(CONCATENATE($B59,BZ$2),Database!$B:$E,4,0)="L",6,5),"")</f>
        <v/>
      </c>
    </row>
    <row r="60" spans="2:78" ht="14.3" x14ac:dyDescent="0.3">
      <c r="B60" s="19" t="s">
        <v>32</v>
      </c>
      <c r="C60" s="16">
        <f>COUNTIFS(Database!$D:$D,$B60,Database!$C:$C,"&gt;1/1/25")</f>
        <v>1</v>
      </c>
      <c r="D60" s="1">
        <f>COUNTIFS(Database!$D:$D,$B60,Database!$E:$E,"W",Database!$C:$C,"&gt;1/1/25")</f>
        <v>0</v>
      </c>
      <c r="E60" s="1">
        <f>COUNTIFS(Database!$D:$D,$B60,Database!$E:$E,"L",Database!$C:$C,"&gt;1/1/25")</f>
        <v>1</v>
      </c>
      <c r="F60" s="1">
        <f t="shared" si="9"/>
        <v>-1</v>
      </c>
      <c r="G60" s="21">
        <f t="shared" si="10"/>
        <v>0</v>
      </c>
      <c r="H60" s="14">
        <f t="shared" si="11"/>
        <v>1</v>
      </c>
      <c r="J60" s="16">
        <f>COUNTIF(Database!$D:$D,$B60)</f>
        <v>22</v>
      </c>
      <c r="K60" s="1">
        <f>COUNTIFS(Database!$D:$D,$B60,Database!$E:$E,"W")</f>
        <v>11</v>
      </c>
      <c r="L60" s="1">
        <f>COUNTIFS(Database!$D:$D,$B60,Database!$E:$E,"L")</f>
        <v>11</v>
      </c>
      <c r="M60" s="1">
        <f t="shared" si="12"/>
        <v>0</v>
      </c>
      <c r="N60" s="21">
        <f t="shared" si="13"/>
        <v>0.5</v>
      </c>
      <c r="O60" s="14">
        <f t="shared" si="14"/>
        <v>0.5</v>
      </c>
      <c r="Q60" s="28">
        <f>IFERROR(IF(VLOOKUP(CONCATENATE($B60,Q$2),Database!$B:$E,4,0)="L",6,5),"")</f>
        <v>5</v>
      </c>
      <c r="R60" s="23">
        <f>IFERROR(IF(VLOOKUP(CONCATENATE($B60,R$2),Database!$B:$E,4,0)="L",6,5),"")</f>
        <v>6</v>
      </c>
      <c r="S60" s="23">
        <f>IFERROR(IF(VLOOKUP(CONCATENATE($B60,S$2),Database!$B:$E,4,0)="L",6,5),"")</f>
        <v>6</v>
      </c>
      <c r="T60" s="23">
        <f>IFERROR(IF(VLOOKUP(CONCATENATE($B60,T$2),Database!$B:$E,4,0)="L",6,5),"")</f>
        <v>6</v>
      </c>
      <c r="U60" s="29">
        <f>IFERROR(IF(VLOOKUP(CONCATENATE($B60,U$2),Database!$B:$E,4,0)="L",6,5),"")</f>
        <v>6</v>
      </c>
      <c r="V60" s="54"/>
      <c r="W60" s="62"/>
      <c r="X60" s="63"/>
      <c r="Z60" s="63" t="str">
        <f t="shared" si="8"/>
        <v>Y</v>
      </c>
      <c r="AB60" s="29">
        <f>IFERROR(IF(VLOOKUP(CONCATENATE($B60,AB$2),Database!$B:$E,4,0)="L",6,5),"")</f>
        <v>6</v>
      </c>
      <c r="AC60" s="29">
        <f>IFERROR(IF(VLOOKUP(CONCATENATE($B60,AC$2),Database!$B:$E,4,0)="L",6,5),"")</f>
        <v>6</v>
      </c>
      <c r="AD60" s="29">
        <f>IFERROR(IF(VLOOKUP(CONCATENATE($B60,AD$2),Database!$B:$E,4,0)="L",6,5),"")</f>
        <v>6</v>
      </c>
      <c r="AE60" s="29">
        <f>IFERROR(IF(VLOOKUP(CONCATENATE($B60,AE$2),Database!$B:$E,4,0)="L",6,5),"")</f>
        <v>6</v>
      </c>
      <c r="AF60" s="29">
        <f>IFERROR(IF(VLOOKUP(CONCATENATE($B60,AF$2),Database!$B:$E,4,0)="L",6,5),"")</f>
        <v>5</v>
      </c>
      <c r="AG60" s="29">
        <f>IFERROR(IF(VLOOKUP(CONCATENATE($B60,AG$2),Database!$B:$E,4,0)="L",6,5),"")</f>
        <v>5</v>
      </c>
      <c r="AH60" s="29">
        <f>IFERROR(IF(VLOOKUP(CONCATENATE($B60,AH$2),Database!$B:$E,4,0)="L",6,5),"")</f>
        <v>6</v>
      </c>
      <c r="AI60" s="29">
        <f>IFERROR(IF(VLOOKUP(CONCATENATE($B60,AI$2),Database!$B:$E,4,0)="L",6,5),"")</f>
        <v>5</v>
      </c>
      <c r="AJ60" s="29">
        <f>IFERROR(IF(VLOOKUP(CONCATENATE($B60,AJ$2),Database!$B:$E,4,0)="L",6,5),"")</f>
        <v>6</v>
      </c>
      <c r="AK60" s="29">
        <f>IFERROR(IF(VLOOKUP(CONCATENATE($B60,AK$2),Database!$B:$E,4,0)="L",6,5),"")</f>
        <v>5</v>
      </c>
      <c r="AL60" s="29">
        <f>IFERROR(IF(VLOOKUP(CONCATENATE($B60,AL$2),Database!$B:$E,4,0)="L",6,5),"")</f>
        <v>5</v>
      </c>
      <c r="AM60" s="29">
        <f>IFERROR(IF(VLOOKUP(CONCATENATE($B60,AM$2),Database!$B:$E,4,0)="L",6,5),"")</f>
        <v>6</v>
      </c>
      <c r="AN60" s="29">
        <f>IFERROR(IF(VLOOKUP(CONCATENATE($B60,AN$2),Database!$B:$E,4,0)="L",6,5),"")</f>
        <v>5</v>
      </c>
      <c r="AO60" s="29">
        <f>IFERROR(IF(VLOOKUP(CONCATENATE($B60,AO$2),Database!$B:$E,4,0)="L",6,5),"")</f>
        <v>5</v>
      </c>
      <c r="AP60" s="29">
        <f>IFERROR(IF(VLOOKUP(CONCATENATE($B60,AP$2),Database!$B:$E,4,0)="L",6,5),"")</f>
        <v>6</v>
      </c>
      <c r="AQ60" s="29">
        <f>IFERROR(IF(VLOOKUP(CONCATENATE($B60,AQ$2),Database!$B:$E,4,0)="L",6,5),"")</f>
        <v>6</v>
      </c>
      <c r="AR60" s="29">
        <f>IFERROR(IF(VLOOKUP(CONCATENATE($B60,AR$2),Database!$B:$E,4,0)="L",6,5),"")</f>
        <v>5</v>
      </c>
      <c r="AS60" s="29">
        <f>IFERROR(IF(VLOOKUP(CONCATENATE($B60,AS$2),Database!$B:$E,4,0)="L",6,5),"")</f>
        <v>6</v>
      </c>
      <c r="AT60" s="29">
        <f>IFERROR(IF(VLOOKUP(CONCATENATE($B60,AT$2),Database!$B:$E,4,0)="L",6,5),"")</f>
        <v>5</v>
      </c>
      <c r="AU60" s="29">
        <f>IFERROR(IF(VLOOKUP(CONCATENATE($B60,AU$2),Database!$B:$E,4,0)="L",6,5),"")</f>
        <v>5</v>
      </c>
      <c r="AV60" s="29">
        <f>IFERROR(IF(VLOOKUP(CONCATENATE($B60,AV$2),Database!$B:$E,4,0)="L",6,5),"")</f>
        <v>6</v>
      </c>
      <c r="AW60" s="29">
        <f>IFERROR(IF(VLOOKUP(CONCATENATE($B60,AW$2),Database!$B:$E,4,0)="L",6,5),"")</f>
        <v>5</v>
      </c>
      <c r="AX60" s="29" t="str">
        <f>IFERROR(IF(VLOOKUP(CONCATENATE($B60,AX$2),Database!$B:$E,4,0)="L",6,5),"")</f>
        <v/>
      </c>
      <c r="AY60" s="29" t="str">
        <f>IFERROR(IF(VLOOKUP(CONCATENATE($B60,AY$2),Database!$B:$E,4,0)="L",6,5),"")</f>
        <v/>
      </c>
      <c r="AZ60" s="29" t="str">
        <f>IFERROR(IF(VLOOKUP(CONCATENATE($B60,AZ$2),Database!$B:$E,4,0)="L",6,5),"")</f>
        <v/>
      </c>
      <c r="BA60" s="29" t="str">
        <f>IFERROR(IF(VLOOKUP(CONCATENATE($B60,BA$2),Database!$B:$E,4,0)="L",6,5),"")</f>
        <v/>
      </c>
      <c r="BB60" s="29" t="str">
        <f>IFERROR(IF(VLOOKUP(CONCATENATE($B60,BB$2),Database!$B:$E,4,0)="L",6,5),"")</f>
        <v/>
      </c>
      <c r="BC60" s="29" t="str">
        <f>IFERROR(IF(VLOOKUP(CONCATENATE($B60,BC$2),Database!$B:$E,4,0)="L",6,5),"")</f>
        <v/>
      </c>
      <c r="BD60" s="29" t="str">
        <f>IFERROR(IF(VLOOKUP(CONCATENATE($B60,BD$2),Database!$B:$E,4,0)="L",6,5),"")</f>
        <v/>
      </c>
      <c r="BE60" s="29" t="str">
        <f>IFERROR(IF(VLOOKUP(CONCATENATE($B60,BE$2),Database!$B:$E,4,0)="L",6,5),"")</f>
        <v/>
      </c>
      <c r="BF60" s="29" t="str">
        <f>IFERROR(IF(VLOOKUP(CONCATENATE($B60,BF$2),Database!$B:$E,4,0)="L",6,5),"")</f>
        <v/>
      </c>
      <c r="BG60" s="29" t="str">
        <f>IFERROR(IF(VLOOKUP(CONCATENATE($B60,BG$2),Database!$B:$E,4,0)="L",6,5),"")</f>
        <v/>
      </c>
      <c r="BH60" s="29" t="str">
        <f>IFERROR(IF(VLOOKUP(CONCATENATE($B60,BH$2),Database!$B:$E,4,0)="L",6,5),"")</f>
        <v/>
      </c>
      <c r="BI60" s="29" t="str">
        <f>IFERROR(IF(VLOOKUP(CONCATENATE($B60,BI$2),Database!$B:$E,4,0)="L",6,5),"")</f>
        <v/>
      </c>
      <c r="BJ60" s="29" t="str">
        <f>IFERROR(IF(VLOOKUP(CONCATENATE($B60,BJ$2),Database!$B:$E,4,0)="L",6,5),"")</f>
        <v/>
      </c>
      <c r="BK60" s="29" t="str">
        <f>IFERROR(IF(VLOOKUP(CONCATENATE($B60,BK$2),Database!$B:$E,4,0)="L",6,5),"")</f>
        <v/>
      </c>
      <c r="BL60" s="29" t="str">
        <f>IFERROR(IF(VLOOKUP(CONCATENATE($B60,BL$2),Database!$B:$E,4,0)="L",6,5),"")</f>
        <v/>
      </c>
      <c r="BM60" s="29" t="str">
        <f>IFERROR(IF(VLOOKUP(CONCATENATE($B60,BM$2),Database!$B:$E,4,0)="L",6,5),"")</f>
        <v/>
      </c>
      <c r="BN60" s="29" t="str">
        <f>IFERROR(IF(VLOOKUP(CONCATENATE($B60,BN$2),Database!$B:$E,4,0)="L",6,5),"")</f>
        <v/>
      </c>
      <c r="BO60" s="29" t="str">
        <f>IFERROR(IF(VLOOKUP(CONCATENATE($B60,BO$2),Database!$B:$E,4,0)="L",6,5),"")</f>
        <v/>
      </c>
      <c r="BP60" s="29" t="str">
        <f>IFERROR(IF(VLOOKUP(CONCATENATE($B60,BP$2),Database!$B:$E,4,0)="L",6,5),"")</f>
        <v/>
      </c>
      <c r="BQ60" s="29" t="str">
        <f>IFERROR(IF(VLOOKUP(CONCATENATE($B60,BQ$2),Database!$B:$E,4,0)="L",6,5),"")</f>
        <v/>
      </c>
      <c r="BR60" s="29" t="str">
        <f>IFERROR(IF(VLOOKUP(CONCATENATE($B60,BR$2),Database!$B:$E,4,0)="L",6,5),"")</f>
        <v/>
      </c>
      <c r="BS60" s="29" t="str">
        <f>IFERROR(IF(VLOOKUP(CONCATENATE($B60,BS$2),Database!$B:$E,4,0)="L",6,5),"")</f>
        <v/>
      </c>
      <c r="BT60" s="29" t="str">
        <f>IFERROR(IF(VLOOKUP(CONCATENATE($B60,BT$2),Database!$B:$E,4,0)="L",6,5),"")</f>
        <v/>
      </c>
      <c r="BU60" s="29" t="str">
        <f>IFERROR(IF(VLOOKUP(CONCATENATE($B60,BU$2),Database!$B:$E,4,0)="L",6,5),"")</f>
        <v/>
      </c>
      <c r="BV60" s="29" t="str">
        <f>IFERROR(IF(VLOOKUP(CONCATENATE($B60,BV$2),Database!$B:$E,4,0)="L",6,5),"")</f>
        <v/>
      </c>
      <c r="BW60" s="29" t="str">
        <f>IFERROR(IF(VLOOKUP(CONCATENATE($B60,BW$2),Database!$B:$E,4,0)="L",6,5),"")</f>
        <v/>
      </c>
      <c r="BX60" s="29" t="str">
        <f>IFERROR(IF(VLOOKUP(CONCATENATE($B60,BX$2),Database!$B:$E,4,0)="L",6,5),"")</f>
        <v/>
      </c>
      <c r="BY60" s="29" t="str">
        <f>IFERROR(IF(VLOOKUP(CONCATENATE($B60,BY$2),Database!$B:$E,4,0)="L",6,5),"")</f>
        <v/>
      </c>
      <c r="BZ60" s="29" t="str">
        <f>IFERROR(IF(VLOOKUP(CONCATENATE($B60,BZ$2),Database!$B:$E,4,0)="L",6,5),"")</f>
        <v/>
      </c>
    </row>
    <row r="61" spans="2:78" ht="14.3" x14ac:dyDescent="0.3">
      <c r="B61" s="19" t="s">
        <v>49</v>
      </c>
      <c r="C61" s="16">
        <f>COUNTIFS(Database!$D:$D,$B61,Database!$C:$C,"&gt;1/1/25")</f>
        <v>1</v>
      </c>
      <c r="D61" s="1">
        <f>COUNTIFS(Database!$D:$D,$B61,Database!$E:$E,"W",Database!$C:$C,"&gt;1/1/25")</f>
        <v>0</v>
      </c>
      <c r="E61" s="1">
        <f>COUNTIFS(Database!$D:$D,$B61,Database!$E:$E,"L",Database!$C:$C,"&gt;1/1/25")</f>
        <v>1</v>
      </c>
      <c r="F61" s="1">
        <f t="shared" si="9"/>
        <v>-1</v>
      </c>
      <c r="G61" s="21">
        <f t="shared" si="10"/>
        <v>0</v>
      </c>
      <c r="H61" s="14">
        <f t="shared" si="11"/>
        <v>1</v>
      </c>
      <c r="J61" s="16">
        <f>COUNTIF(Database!$D:$D,$B61)</f>
        <v>7</v>
      </c>
      <c r="K61" s="1">
        <f>COUNTIFS(Database!$D:$D,$B61,Database!$E:$E,"W")</f>
        <v>2</v>
      </c>
      <c r="L61" s="1">
        <f>COUNTIFS(Database!$D:$D,$B61,Database!$E:$E,"L")</f>
        <v>5</v>
      </c>
      <c r="M61" s="1">
        <f t="shared" si="12"/>
        <v>-3</v>
      </c>
      <c r="N61" s="21">
        <f t="shared" si="13"/>
        <v>0.2857142857142857</v>
      </c>
      <c r="O61" s="14">
        <f t="shared" si="14"/>
        <v>0.7142857142857143</v>
      </c>
      <c r="Q61" s="28">
        <f>IFERROR(IF(VLOOKUP(CONCATENATE($B61,Q$2),Database!$B:$E,4,0)="L",6,5),"")</f>
        <v>6</v>
      </c>
      <c r="R61" s="23">
        <f>IFERROR(IF(VLOOKUP(CONCATENATE($B61,R$2),Database!$B:$E,4,0)="L",6,5),"")</f>
        <v>6</v>
      </c>
      <c r="S61" s="23">
        <f>IFERROR(IF(VLOOKUP(CONCATENATE($B61,S$2),Database!$B:$E,4,0)="L",6,5),"")</f>
        <v>6</v>
      </c>
      <c r="T61" s="23">
        <f>IFERROR(IF(VLOOKUP(CONCATENATE($B61,T$2),Database!$B:$E,4,0)="L",6,5),"")</f>
        <v>6</v>
      </c>
      <c r="U61" s="29">
        <f>IFERROR(IF(VLOOKUP(CONCATENATE($B61,U$2),Database!$B:$E,4,0)="L",6,5),"")</f>
        <v>6</v>
      </c>
      <c r="V61" s="55"/>
      <c r="W61" s="56"/>
      <c r="X61" s="63"/>
      <c r="Z61" s="63" t="str">
        <f t="shared" si="8"/>
        <v>Y</v>
      </c>
      <c r="AB61" s="29">
        <f>IFERROR(IF(VLOOKUP(CONCATENATE($B61,AB$2),Database!$B:$E,4,0)="L",6,5),"")</f>
        <v>6</v>
      </c>
      <c r="AC61" s="29">
        <f>IFERROR(IF(VLOOKUP(CONCATENATE($B61,AC$2),Database!$B:$E,4,0)="L",6,5),"")</f>
        <v>6</v>
      </c>
      <c r="AD61" s="29">
        <f>IFERROR(IF(VLOOKUP(CONCATENATE($B61,AD$2),Database!$B:$E,4,0)="L",6,5),"")</f>
        <v>6</v>
      </c>
      <c r="AE61" s="29">
        <f>IFERROR(IF(VLOOKUP(CONCATENATE($B61,AE$2),Database!$B:$E,4,0)="L",6,5),"")</f>
        <v>6</v>
      </c>
      <c r="AF61" s="29">
        <f>IFERROR(IF(VLOOKUP(CONCATENATE($B61,AF$2),Database!$B:$E,4,0)="L",6,5),"")</f>
        <v>6</v>
      </c>
      <c r="AG61" s="29">
        <f>IFERROR(IF(VLOOKUP(CONCATENATE($B61,AG$2),Database!$B:$E,4,0)="L",6,5),"")</f>
        <v>5</v>
      </c>
      <c r="AH61" s="29">
        <f>IFERROR(IF(VLOOKUP(CONCATENATE($B61,AH$2),Database!$B:$E,4,0)="L",6,5),"")</f>
        <v>5</v>
      </c>
      <c r="AI61" s="29" t="str">
        <f>IFERROR(IF(VLOOKUP(CONCATENATE($B61,AI$2),Database!$B:$E,4,0)="L",6,5),"")</f>
        <v/>
      </c>
      <c r="AJ61" s="29" t="str">
        <f>IFERROR(IF(VLOOKUP(CONCATENATE($B61,AJ$2),Database!$B:$E,4,0)="L",6,5),"")</f>
        <v/>
      </c>
      <c r="AK61" s="29" t="str">
        <f>IFERROR(IF(VLOOKUP(CONCATENATE($B61,AK$2),Database!$B:$E,4,0)="L",6,5),"")</f>
        <v/>
      </c>
      <c r="AL61" s="29" t="str">
        <f>IFERROR(IF(VLOOKUP(CONCATENATE($B61,AL$2),Database!$B:$E,4,0)="L",6,5),"")</f>
        <v/>
      </c>
      <c r="AM61" s="29" t="str">
        <f>IFERROR(IF(VLOOKUP(CONCATENATE($B61,AM$2),Database!$B:$E,4,0)="L",6,5),"")</f>
        <v/>
      </c>
      <c r="AN61" s="29" t="str">
        <f>IFERROR(IF(VLOOKUP(CONCATENATE($B61,AN$2),Database!$B:$E,4,0)="L",6,5),"")</f>
        <v/>
      </c>
      <c r="AO61" s="29" t="str">
        <f>IFERROR(IF(VLOOKUP(CONCATENATE($B61,AO$2),Database!$B:$E,4,0)="L",6,5),"")</f>
        <v/>
      </c>
      <c r="AP61" s="29" t="str">
        <f>IFERROR(IF(VLOOKUP(CONCATENATE($B61,AP$2),Database!$B:$E,4,0)="L",6,5),"")</f>
        <v/>
      </c>
      <c r="AQ61" s="29" t="str">
        <f>IFERROR(IF(VLOOKUP(CONCATENATE($B61,AQ$2),Database!$B:$E,4,0)="L",6,5),"")</f>
        <v/>
      </c>
      <c r="AR61" s="29" t="str">
        <f>IFERROR(IF(VLOOKUP(CONCATENATE($B61,AR$2),Database!$B:$E,4,0)="L",6,5),"")</f>
        <v/>
      </c>
      <c r="AS61" s="29" t="str">
        <f>IFERROR(IF(VLOOKUP(CONCATENATE($B61,AS$2),Database!$B:$E,4,0)="L",6,5),"")</f>
        <v/>
      </c>
      <c r="AT61" s="29" t="str">
        <f>IFERROR(IF(VLOOKUP(CONCATENATE($B61,AT$2),Database!$B:$E,4,0)="L",6,5),"")</f>
        <v/>
      </c>
      <c r="AU61" s="29" t="str">
        <f>IFERROR(IF(VLOOKUP(CONCATENATE($B61,AU$2),Database!$B:$E,4,0)="L",6,5),"")</f>
        <v/>
      </c>
      <c r="AV61" s="29" t="str">
        <f>IFERROR(IF(VLOOKUP(CONCATENATE($B61,AV$2),Database!$B:$E,4,0)="L",6,5),"")</f>
        <v/>
      </c>
      <c r="AW61" s="29" t="str">
        <f>IFERROR(IF(VLOOKUP(CONCATENATE($B61,AW$2),Database!$B:$E,4,0)="L",6,5),"")</f>
        <v/>
      </c>
      <c r="AX61" s="29" t="str">
        <f>IFERROR(IF(VLOOKUP(CONCATENATE($B61,AX$2),Database!$B:$E,4,0)="L",6,5),"")</f>
        <v/>
      </c>
      <c r="AY61" s="29" t="str">
        <f>IFERROR(IF(VLOOKUP(CONCATENATE($B61,AY$2),Database!$B:$E,4,0)="L",6,5),"")</f>
        <v/>
      </c>
      <c r="AZ61" s="29" t="str">
        <f>IFERROR(IF(VLOOKUP(CONCATENATE($B61,AZ$2),Database!$B:$E,4,0)="L",6,5),"")</f>
        <v/>
      </c>
      <c r="BA61" s="29" t="str">
        <f>IFERROR(IF(VLOOKUP(CONCATENATE($B61,BA$2),Database!$B:$E,4,0)="L",6,5),"")</f>
        <v/>
      </c>
      <c r="BB61" s="29" t="str">
        <f>IFERROR(IF(VLOOKUP(CONCATENATE($B61,BB$2),Database!$B:$E,4,0)="L",6,5),"")</f>
        <v/>
      </c>
      <c r="BC61" s="29" t="str">
        <f>IFERROR(IF(VLOOKUP(CONCATENATE($B61,BC$2),Database!$B:$E,4,0)="L",6,5),"")</f>
        <v/>
      </c>
      <c r="BD61" s="29" t="str">
        <f>IFERROR(IF(VLOOKUP(CONCATENATE($B61,BD$2),Database!$B:$E,4,0)="L",6,5),"")</f>
        <v/>
      </c>
      <c r="BE61" s="29" t="str">
        <f>IFERROR(IF(VLOOKUP(CONCATENATE($B61,BE$2),Database!$B:$E,4,0)="L",6,5),"")</f>
        <v/>
      </c>
      <c r="BF61" s="29" t="str">
        <f>IFERROR(IF(VLOOKUP(CONCATENATE($B61,BF$2),Database!$B:$E,4,0)="L",6,5),"")</f>
        <v/>
      </c>
      <c r="BG61" s="29" t="str">
        <f>IFERROR(IF(VLOOKUP(CONCATENATE($B61,BG$2),Database!$B:$E,4,0)="L",6,5),"")</f>
        <v/>
      </c>
      <c r="BH61" s="29" t="str">
        <f>IFERROR(IF(VLOOKUP(CONCATENATE($B61,BH$2),Database!$B:$E,4,0)="L",6,5),"")</f>
        <v/>
      </c>
      <c r="BI61" s="29" t="str">
        <f>IFERROR(IF(VLOOKUP(CONCATENATE($B61,BI$2),Database!$B:$E,4,0)="L",6,5),"")</f>
        <v/>
      </c>
      <c r="BJ61" s="29" t="str">
        <f>IFERROR(IF(VLOOKUP(CONCATENATE($B61,BJ$2),Database!$B:$E,4,0)="L",6,5),"")</f>
        <v/>
      </c>
      <c r="BK61" s="29" t="str">
        <f>IFERROR(IF(VLOOKUP(CONCATENATE($B61,BK$2),Database!$B:$E,4,0)="L",6,5),"")</f>
        <v/>
      </c>
      <c r="BL61" s="29" t="str">
        <f>IFERROR(IF(VLOOKUP(CONCATENATE($B61,BL$2),Database!$B:$E,4,0)="L",6,5),"")</f>
        <v/>
      </c>
      <c r="BM61" s="29" t="str">
        <f>IFERROR(IF(VLOOKUP(CONCATENATE($B61,BM$2),Database!$B:$E,4,0)="L",6,5),"")</f>
        <v/>
      </c>
      <c r="BN61" s="29" t="str">
        <f>IFERROR(IF(VLOOKUP(CONCATENATE($B61,BN$2),Database!$B:$E,4,0)="L",6,5),"")</f>
        <v/>
      </c>
      <c r="BO61" s="29" t="str">
        <f>IFERROR(IF(VLOOKUP(CONCATENATE($B61,BO$2),Database!$B:$E,4,0)="L",6,5),"")</f>
        <v/>
      </c>
      <c r="BP61" s="29" t="str">
        <f>IFERROR(IF(VLOOKUP(CONCATENATE($B61,BP$2),Database!$B:$E,4,0)="L",6,5),"")</f>
        <v/>
      </c>
      <c r="BQ61" s="29" t="str">
        <f>IFERROR(IF(VLOOKUP(CONCATENATE($B61,BQ$2),Database!$B:$E,4,0)="L",6,5),"")</f>
        <v/>
      </c>
      <c r="BR61" s="29" t="str">
        <f>IFERROR(IF(VLOOKUP(CONCATENATE($B61,BR$2),Database!$B:$E,4,0)="L",6,5),"")</f>
        <v/>
      </c>
      <c r="BS61" s="29" t="str">
        <f>IFERROR(IF(VLOOKUP(CONCATENATE($B61,BS$2),Database!$B:$E,4,0)="L",6,5),"")</f>
        <v/>
      </c>
      <c r="BT61" s="29" t="str">
        <f>IFERROR(IF(VLOOKUP(CONCATENATE($B61,BT$2),Database!$B:$E,4,0)="L",6,5),"")</f>
        <v/>
      </c>
      <c r="BU61" s="29" t="str">
        <f>IFERROR(IF(VLOOKUP(CONCATENATE($B61,BU$2),Database!$B:$E,4,0)="L",6,5),"")</f>
        <v/>
      </c>
      <c r="BV61" s="29" t="str">
        <f>IFERROR(IF(VLOOKUP(CONCATENATE($B61,BV$2),Database!$B:$E,4,0)="L",6,5),"")</f>
        <v/>
      </c>
      <c r="BW61" s="29" t="str">
        <f>IFERROR(IF(VLOOKUP(CONCATENATE($B61,BW$2),Database!$B:$E,4,0)="L",6,5),"")</f>
        <v/>
      </c>
      <c r="BX61" s="29" t="str">
        <f>IFERROR(IF(VLOOKUP(CONCATENATE($B61,BX$2),Database!$B:$E,4,0)="L",6,5),"")</f>
        <v/>
      </c>
      <c r="BY61" s="29" t="str">
        <f>IFERROR(IF(VLOOKUP(CONCATENATE($B61,BY$2),Database!$B:$E,4,0)="L",6,5),"")</f>
        <v/>
      </c>
      <c r="BZ61" s="29" t="str">
        <f>IFERROR(IF(VLOOKUP(CONCATENATE($B61,BZ$2),Database!$B:$E,4,0)="L",6,5),"")</f>
        <v/>
      </c>
    </row>
    <row r="62" spans="2:78" ht="15.65" x14ac:dyDescent="0.3">
      <c r="B62" s="19" t="s">
        <v>35</v>
      </c>
      <c r="C62" s="16">
        <f>COUNTIFS(Database!$D:$D,$B62,Database!$C:$C,"&gt;1/1/25")</f>
        <v>1</v>
      </c>
      <c r="D62" s="1">
        <f>COUNTIFS(Database!$D:$D,$B62,Database!$E:$E,"W",Database!$C:$C,"&gt;1/1/25")</f>
        <v>0</v>
      </c>
      <c r="E62" s="1">
        <f>COUNTIFS(Database!$D:$D,$B62,Database!$E:$E,"L",Database!$C:$C,"&gt;1/1/25")</f>
        <v>1</v>
      </c>
      <c r="F62" s="1">
        <f t="shared" si="9"/>
        <v>-1</v>
      </c>
      <c r="G62" s="21">
        <f t="shared" si="10"/>
        <v>0</v>
      </c>
      <c r="H62" s="14">
        <f t="shared" si="11"/>
        <v>1</v>
      </c>
      <c r="J62" s="16">
        <f>COUNTIF(Database!$D:$D,$B62)</f>
        <v>37</v>
      </c>
      <c r="K62" s="1">
        <f>COUNTIFS(Database!$D:$D,$B62,Database!$E:$E,"W")</f>
        <v>18</v>
      </c>
      <c r="L62" s="1">
        <f>COUNTIFS(Database!$D:$D,$B62,Database!$E:$E,"L")</f>
        <v>19</v>
      </c>
      <c r="M62" s="1">
        <f t="shared" si="12"/>
        <v>-1</v>
      </c>
      <c r="N62" s="21">
        <f t="shared" si="13"/>
        <v>0.48648648648648651</v>
      </c>
      <c r="O62" s="14">
        <f t="shared" si="14"/>
        <v>0.51351351351351349</v>
      </c>
      <c r="Q62" s="28">
        <f>IFERROR(IF(VLOOKUP(CONCATENATE($B62,Q$2),Database!$B:$E,4,0)="L",6,5),"")</f>
        <v>6</v>
      </c>
      <c r="R62" s="23">
        <f>IFERROR(IF(VLOOKUP(CONCATENATE($B62,R$2),Database!$B:$E,4,0)="L",6,5),"")</f>
        <v>5</v>
      </c>
      <c r="S62" s="23">
        <f>IFERROR(IF(VLOOKUP(CONCATENATE($B62,S$2),Database!$B:$E,4,0)="L",6,5),"")</f>
        <v>6</v>
      </c>
      <c r="T62" s="23">
        <f>IFERROR(IF(VLOOKUP(CONCATENATE($B62,T$2),Database!$B:$E,4,0)="L",6,5),"")</f>
        <v>5</v>
      </c>
      <c r="U62" s="29">
        <f>IFERROR(IF(VLOOKUP(CONCATENATE($B62,U$2),Database!$B:$E,4,0)="L",6,5),"")</f>
        <v>6</v>
      </c>
      <c r="V62" s="55"/>
      <c r="W62" s="56"/>
      <c r="X62" s="130" t="s">
        <v>156</v>
      </c>
      <c r="Z62" s="63" t="str">
        <f t="shared" si="8"/>
        <v>Y</v>
      </c>
      <c r="AB62" s="29">
        <f>IFERROR(IF(VLOOKUP(CONCATENATE($B62,AB$2),Database!$B:$E,4,0)="L",6,5),"")</f>
        <v>6</v>
      </c>
      <c r="AC62" s="29">
        <f>IFERROR(IF(VLOOKUP(CONCATENATE($B62,AC$2),Database!$B:$E,4,0)="L",6,5),"")</f>
        <v>5</v>
      </c>
      <c r="AD62" s="29">
        <f>IFERROR(IF(VLOOKUP(CONCATENATE($B62,AD$2),Database!$B:$E,4,0)="L",6,5),"")</f>
        <v>6</v>
      </c>
      <c r="AE62" s="29">
        <f>IFERROR(IF(VLOOKUP(CONCATENATE($B62,AE$2),Database!$B:$E,4,0)="L",6,5),"")</f>
        <v>5</v>
      </c>
      <c r="AF62" s="29">
        <f>IFERROR(IF(VLOOKUP(CONCATENATE($B62,AF$2),Database!$B:$E,4,0)="L",6,5),"")</f>
        <v>6</v>
      </c>
      <c r="AG62" s="29">
        <f>IFERROR(IF(VLOOKUP(CONCATENATE($B62,AG$2),Database!$B:$E,4,0)="L",6,5),"")</f>
        <v>5</v>
      </c>
      <c r="AH62" s="29">
        <f>IFERROR(IF(VLOOKUP(CONCATENATE($B62,AH$2),Database!$B:$E,4,0)="L",6,5),"")</f>
        <v>6</v>
      </c>
      <c r="AI62" s="29">
        <f>IFERROR(IF(VLOOKUP(CONCATENATE($B62,AI$2),Database!$B:$E,4,0)="L",6,5),"")</f>
        <v>6</v>
      </c>
      <c r="AJ62" s="29">
        <f>IFERROR(IF(VLOOKUP(CONCATENATE($B62,AJ$2),Database!$B:$E,4,0)="L",6,5),"")</f>
        <v>6</v>
      </c>
      <c r="AK62" s="29">
        <f>IFERROR(IF(VLOOKUP(CONCATENATE($B62,AK$2),Database!$B:$E,4,0)="L",6,5),"")</f>
        <v>5</v>
      </c>
      <c r="AL62" s="29">
        <f>IFERROR(IF(VLOOKUP(CONCATENATE($B62,AL$2),Database!$B:$E,4,0)="L",6,5),"")</f>
        <v>5</v>
      </c>
      <c r="AM62" s="29">
        <f>IFERROR(IF(VLOOKUP(CONCATENATE($B62,AM$2),Database!$B:$E,4,0)="L",6,5),"")</f>
        <v>6</v>
      </c>
      <c r="AN62" s="29">
        <f>IFERROR(IF(VLOOKUP(CONCATENATE($B62,AN$2),Database!$B:$E,4,0)="L",6,5),"")</f>
        <v>5</v>
      </c>
      <c r="AO62" s="29">
        <f>IFERROR(IF(VLOOKUP(CONCATENATE($B62,AO$2),Database!$B:$E,4,0)="L",6,5),"")</f>
        <v>5</v>
      </c>
      <c r="AP62" s="29">
        <f>IFERROR(IF(VLOOKUP(CONCATENATE($B62,AP$2),Database!$B:$E,4,0)="L",6,5),"")</f>
        <v>5</v>
      </c>
      <c r="AQ62" s="29">
        <f>IFERROR(IF(VLOOKUP(CONCATENATE($B62,AQ$2),Database!$B:$E,4,0)="L",6,5),"")</f>
        <v>6</v>
      </c>
      <c r="AR62" s="29">
        <f>IFERROR(IF(VLOOKUP(CONCATENATE($B62,AR$2),Database!$B:$E,4,0)="L",6,5),"")</f>
        <v>6</v>
      </c>
      <c r="AS62" s="29">
        <f>IFERROR(IF(VLOOKUP(CONCATENATE($B62,AS$2),Database!$B:$E,4,0)="L",6,5),"")</f>
        <v>6</v>
      </c>
      <c r="AT62" s="29">
        <f>IFERROR(IF(VLOOKUP(CONCATENATE($B62,AT$2),Database!$B:$E,4,0)="L",6,5),"")</f>
        <v>6</v>
      </c>
      <c r="AU62" s="29">
        <f>IFERROR(IF(VLOOKUP(CONCATENATE($B62,AU$2),Database!$B:$E,4,0)="L",6,5),"")</f>
        <v>5</v>
      </c>
      <c r="AV62" s="29">
        <f>IFERROR(IF(VLOOKUP(CONCATENATE($B62,AV$2),Database!$B:$E,4,0)="L",6,5),"")</f>
        <v>5</v>
      </c>
      <c r="AW62" s="29">
        <f>IFERROR(IF(VLOOKUP(CONCATENATE($B62,AW$2),Database!$B:$E,4,0)="L",6,5),"")</f>
        <v>5</v>
      </c>
      <c r="AX62" s="29">
        <f>IFERROR(IF(VLOOKUP(CONCATENATE($B62,AX$2),Database!$B:$E,4,0)="L",6,5),"")</f>
        <v>6</v>
      </c>
      <c r="AY62" s="29">
        <f>IFERROR(IF(VLOOKUP(CONCATENATE($B62,AY$2),Database!$B:$E,4,0)="L",6,5),"")</f>
        <v>6</v>
      </c>
      <c r="AZ62" s="29">
        <f>IFERROR(IF(VLOOKUP(CONCATENATE($B62,AZ$2),Database!$B:$E,4,0)="L",6,5),"")</f>
        <v>6</v>
      </c>
      <c r="BA62" s="29">
        <f>IFERROR(IF(VLOOKUP(CONCATENATE($B62,BA$2),Database!$B:$E,4,0)="L",6,5),"")</f>
        <v>5</v>
      </c>
      <c r="BB62" s="29">
        <f>IFERROR(IF(VLOOKUP(CONCATENATE($B62,BB$2),Database!$B:$E,4,0)="L",6,5),"")</f>
        <v>5</v>
      </c>
      <c r="BC62" s="29">
        <f>IFERROR(IF(VLOOKUP(CONCATENATE($B62,BC$2),Database!$B:$E,4,0)="L",6,5),"")</f>
        <v>5</v>
      </c>
      <c r="BD62" s="29">
        <f>IFERROR(IF(VLOOKUP(CONCATENATE($B62,BD$2),Database!$B:$E,4,0)="L",6,5),"")</f>
        <v>6</v>
      </c>
      <c r="BE62" s="29">
        <f>IFERROR(IF(VLOOKUP(CONCATENATE($B62,BE$2),Database!$B:$E,4,0)="L",6,5),"")</f>
        <v>5</v>
      </c>
      <c r="BF62" s="29">
        <f>IFERROR(IF(VLOOKUP(CONCATENATE($B62,BF$2),Database!$B:$E,4,0)="L",6,5),"")</f>
        <v>5</v>
      </c>
      <c r="BG62" s="29">
        <f>IFERROR(IF(VLOOKUP(CONCATENATE($B62,BG$2),Database!$B:$E,4,0)="L",6,5),"")</f>
        <v>5</v>
      </c>
      <c r="BH62" s="29">
        <f>IFERROR(IF(VLOOKUP(CONCATENATE($B62,BH$2),Database!$B:$E,4,0)="L",6,5),"")</f>
        <v>6</v>
      </c>
      <c r="BI62" s="29">
        <f>IFERROR(IF(VLOOKUP(CONCATENATE($B62,BI$2),Database!$B:$E,4,0)="L",6,5),"")</f>
        <v>5</v>
      </c>
      <c r="BJ62" s="29">
        <f>IFERROR(IF(VLOOKUP(CONCATENATE($B62,BJ$2),Database!$B:$E,4,0)="L",6,5),"")</f>
        <v>6</v>
      </c>
      <c r="BK62" s="29">
        <f>IFERROR(IF(VLOOKUP(CONCATENATE($B62,BK$2),Database!$B:$E,4,0)="L",6,5),"")</f>
        <v>6</v>
      </c>
      <c r="BL62" s="29">
        <f>IFERROR(IF(VLOOKUP(CONCATENATE($B62,BL$2),Database!$B:$E,4,0)="L",6,5),"")</f>
        <v>6</v>
      </c>
      <c r="BM62" s="29" t="str">
        <f>IFERROR(IF(VLOOKUP(CONCATENATE($B62,BM$2),Database!$B:$E,4,0)="L",6,5),"")</f>
        <v/>
      </c>
      <c r="BN62" s="29" t="str">
        <f>IFERROR(IF(VLOOKUP(CONCATENATE($B62,BN$2),Database!$B:$E,4,0)="L",6,5),"")</f>
        <v/>
      </c>
      <c r="BO62" s="29" t="str">
        <f>IFERROR(IF(VLOOKUP(CONCATENATE($B62,BO$2),Database!$B:$E,4,0)="L",6,5),"")</f>
        <v/>
      </c>
      <c r="BP62" s="29" t="str">
        <f>IFERROR(IF(VLOOKUP(CONCATENATE($B62,BP$2),Database!$B:$E,4,0)="L",6,5),"")</f>
        <v/>
      </c>
      <c r="BQ62" s="29" t="str">
        <f>IFERROR(IF(VLOOKUP(CONCATENATE($B62,BQ$2),Database!$B:$E,4,0)="L",6,5),"")</f>
        <v/>
      </c>
      <c r="BR62" s="29" t="str">
        <f>IFERROR(IF(VLOOKUP(CONCATENATE($B62,BR$2),Database!$B:$E,4,0)="L",6,5),"")</f>
        <v/>
      </c>
      <c r="BS62" s="29" t="str">
        <f>IFERROR(IF(VLOOKUP(CONCATENATE($B62,BS$2),Database!$B:$E,4,0)="L",6,5),"")</f>
        <v/>
      </c>
      <c r="BT62" s="29" t="str">
        <f>IFERROR(IF(VLOOKUP(CONCATENATE($B62,BT$2),Database!$B:$E,4,0)="L",6,5),"")</f>
        <v/>
      </c>
      <c r="BU62" s="29" t="str">
        <f>IFERROR(IF(VLOOKUP(CONCATENATE($B62,BU$2),Database!$B:$E,4,0)="L",6,5),"")</f>
        <v/>
      </c>
      <c r="BV62" s="29" t="str">
        <f>IFERROR(IF(VLOOKUP(CONCATENATE($B62,BV$2),Database!$B:$E,4,0)="L",6,5),"")</f>
        <v/>
      </c>
      <c r="BW62" s="29" t="str">
        <f>IFERROR(IF(VLOOKUP(CONCATENATE($B62,BW$2),Database!$B:$E,4,0)="L",6,5),"")</f>
        <v/>
      </c>
      <c r="BX62" s="29" t="str">
        <f>IFERROR(IF(VLOOKUP(CONCATENATE($B62,BX$2),Database!$B:$E,4,0)="L",6,5),"")</f>
        <v/>
      </c>
      <c r="BY62" s="29" t="str">
        <f>IFERROR(IF(VLOOKUP(CONCATENATE($B62,BY$2),Database!$B:$E,4,0)="L",6,5),"")</f>
        <v/>
      </c>
      <c r="BZ62" s="29" t="str">
        <f>IFERROR(IF(VLOOKUP(CONCATENATE($B62,BZ$2),Database!$B:$E,4,0)="L",6,5),"")</f>
        <v/>
      </c>
    </row>
    <row r="63" spans="2:78" ht="14.3" x14ac:dyDescent="0.3">
      <c r="B63" s="19" t="s">
        <v>39</v>
      </c>
      <c r="C63" s="16">
        <f>COUNTIFS(Database!$D:$D,$B63,Database!$C:$C,"&gt;1/1/25")</f>
        <v>1</v>
      </c>
      <c r="D63" s="1">
        <f>COUNTIFS(Database!$D:$D,$B63,Database!$E:$E,"W",Database!$C:$C,"&gt;1/1/25")</f>
        <v>0</v>
      </c>
      <c r="E63" s="1">
        <f>COUNTIFS(Database!$D:$D,$B63,Database!$E:$E,"L",Database!$C:$C,"&gt;1/1/25")</f>
        <v>1</v>
      </c>
      <c r="F63" s="1">
        <f t="shared" si="9"/>
        <v>-1</v>
      </c>
      <c r="G63" s="21">
        <f t="shared" si="10"/>
        <v>0</v>
      </c>
      <c r="H63" s="14">
        <f t="shared" si="11"/>
        <v>1</v>
      </c>
      <c r="J63" s="16">
        <f>COUNTIF(Database!$D:$D,$B63)</f>
        <v>10</v>
      </c>
      <c r="K63" s="1">
        <f>COUNTIFS(Database!$D:$D,$B63,Database!$E:$E,"W")</f>
        <v>4</v>
      </c>
      <c r="L63" s="1">
        <f>COUNTIFS(Database!$D:$D,$B63,Database!$E:$E,"L")</f>
        <v>6</v>
      </c>
      <c r="M63" s="1">
        <f t="shared" si="12"/>
        <v>-2</v>
      </c>
      <c r="N63" s="21">
        <f t="shared" si="13"/>
        <v>0.4</v>
      </c>
      <c r="O63" s="14">
        <f t="shared" si="14"/>
        <v>0.6</v>
      </c>
      <c r="Q63" s="28">
        <f>IFERROR(IF(VLOOKUP(CONCATENATE($B63,Q$2),Database!$B:$E,4,0)="L",6,5),"")</f>
        <v>5</v>
      </c>
      <c r="R63" s="23">
        <f>IFERROR(IF(VLOOKUP(CONCATENATE($B63,R$2),Database!$B:$E,4,0)="L",6,5),"")</f>
        <v>5</v>
      </c>
      <c r="S63" s="23">
        <f>IFERROR(IF(VLOOKUP(CONCATENATE($B63,S$2),Database!$B:$E,4,0)="L",6,5),"")</f>
        <v>6</v>
      </c>
      <c r="T63" s="23">
        <f>IFERROR(IF(VLOOKUP(CONCATENATE($B63,T$2),Database!$B:$E,4,0)="L",6,5),"")</f>
        <v>6</v>
      </c>
      <c r="U63" s="29">
        <f>IFERROR(IF(VLOOKUP(CONCATENATE($B63,U$2),Database!$B:$E,4,0)="L",6,5),"")</f>
        <v>6</v>
      </c>
      <c r="V63" s="55"/>
      <c r="W63" s="57"/>
      <c r="X63" s="63"/>
      <c r="Z63" s="63" t="str">
        <f t="shared" si="8"/>
        <v>Y</v>
      </c>
      <c r="AB63" s="29">
        <f>IFERROR(IF(VLOOKUP(CONCATENATE($B63,AB$2),Database!$B:$E,4,0)="L",6,5),"")</f>
        <v>6</v>
      </c>
      <c r="AC63" s="29">
        <f>IFERROR(IF(VLOOKUP(CONCATENATE($B63,AC$2),Database!$B:$E,4,0)="L",6,5),"")</f>
        <v>6</v>
      </c>
      <c r="AD63" s="29">
        <f>IFERROR(IF(VLOOKUP(CONCATENATE($B63,AD$2),Database!$B:$E,4,0)="L",6,5),"")</f>
        <v>6</v>
      </c>
      <c r="AE63" s="29">
        <f>IFERROR(IF(VLOOKUP(CONCATENATE($B63,AE$2),Database!$B:$E,4,0)="L",6,5),"")</f>
        <v>5</v>
      </c>
      <c r="AF63" s="29">
        <f>IFERROR(IF(VLOOKUP(CONCATENATE($B63,AF$2),Database!$B:$E,4,0)="L",6,5),"")</f>
        <v>5</v>
      </c>
      <c r="AG63" s="29">
        <f>IFERROR(IF(VLOOKUP(CONCATENATE($B63,AG$2),Database!$B:$E,4,0)="L",6,5),"")</f>
        <v>6</v>
      </c>
      <c r="AH63" s="29">
        <f>IFERROR(IF(VLOOKUP(CONCATENATE($B63,AH$2),Database!$B:$E,4,0)="L",6,5),"")</f>
        <v>5</v>
      </c>
      <c r="AI63" s="29">
        <f>IFERROR(IF(VLOOKUP(CONCATENATE($B63,AI$2),Database!$B:$E,4,0)="L",6,5),"")</f>
        <v>6</v>
      </c>
      <c r="AJ63" s="29">
        <f>IFERROR(IF(VLOOKUP(CONCATENATE($B63,AJ$2),Database!$B:$E,4,0)="L",6,5),"")</f>
        <v>5</v>
      </c>
      <c r="AK63" s="29">
        <f>IFERROR(IF(VLOOKUP(CONCATENATE($B63,AK$2),Database!$B:$E,4,0)="L",6,5),"")</f>
        <v>6</v>
      </c>
      <c r="AL63" s="29" t="str">
        <f>IFERROR(IF(VLOOKUP(CONCATENATE($B63,AL$2),Database!$B:$E,4,0)="L",6,5),"")</f>
        <v/>
      </c>
      <c r="AM63" s="29" t="str">
        <f>IFERROR(IF(VLOOKUP(CONCATENATE($B63,AM$2),Database!$B:$E,4,0)="L",6,5),"")</f>
        <v/>
      </c>
      <c r="AN63" s="29" t="str">
        <f>IFERROR(IF(VLOOKUP(CONCATENATE($B63,AN$2),Database!$B:$E,4,0)="L",6,5),"")</f>
        <v/>
      </c>
      <c r="AO63" s="29" t="str">
        <f>IFERROR(IF(VLOOKUP(CONCATENATE($B63,AO$2),Database!$B:$E,4,0)="L",6,5),"")</f>
        <v/>
      </c>
      <c r="AP63" s="29" t="str">
        <f>IFERROR(IF(VLOOKUP(CONCATENATE($B63,AP$2),Database!$B:$E,4,0)="L",6,5),"")</f>
        <v/>
      </c>
      <c r="AQ63" s="29" t="str">
        <f>IFERROR(IF(VLOOKUP(CONCATENATE($B63,AQ$2),Database!$B:$E,4,0)="L",6,5),"")</f>
        <v/>
      </c>
      <c r="AR63" s="29" t="str">
        <f>IFERROR(IF(VLOOKUP(CONCATENATE($B63,AR$2),Database!$B:$E,4,0)="L",6,5),"")</f>
        <v/>
      </c>
      <c r="AS63" s="29" t="str">
        <f>IFERROR(IF(VLOOKUP(CONCATENATE($B63,AS$2),Database!$B:$E,4,0)="L",6,5),"")</f>
        <v/>
      </c>
      <c r="AT63" s="29" t="str">
        <f>IFERROR(IF(VLOOKUP(CONCATENATE($B63,AT$2),Database!$B:$E,4,0)="L",6,5),"")</f>
        <v/>
      </c>
      <c r="AU63" s="29" t="str">
        <f>IFERROR(IF(VLOOKUP(CONCATENATE($B63,AU$2),Database!$B:$E,4,0)="L",6,5),"")</f>
        <v/>
      </c>
      <c r="AV63" s="29" t="str">
        <f>IFERROR(IF(VLOOKUP(CONCATENATE($B63,AV$2),Database!$B:$E,4,0)="L",6,5),"")</f>
        <v/>
      </c>
      <c r="AW63" s="29" t="str">
        <f>IFERROR(IF(VLOOKUP(CONCATENATE($B63,AW$2),Database!$B:$E,4,0)="L",6,5),"")</f>
        <v/>
      </c>
      <c r="AX63" s="29" t="str">
        <f>IFERROR(IF(VLOOKUP(CONCATENATE($B63,AX$2),Database!$B:$E,4,0)="L",6,5),"")</f>
        <v/>
      </c>
      <c r="AY63" s="29" t="str">
        <f>IFERROR(IF(VLOOKUP(CONCATENATE($B63,AY$2),Database!$B:$E,4,0)="L",6,5),"")</f>
        <v/>
      </c>
      <c r="AZ63" s="29" t="str">
        <f>IFERROR(IF(VLOOKUP(CONCATENATE($B63,AZ$2),Database!$B:$E,4,0)="L",6,5),"")</f>
        <v/>
      </c>
      <c r="BA63" s="29" t="str">
        <f>IFERROR(IF(VLOOKUP(CONCATENATE($B63,BA$2),Database!$B:$E,4,0)="L",6,5),"")</f>
        <v/>
      </c>
      <c r="BB63" s="29" t="str">
        <f>IFERROR(IF(VLOOKUP(CONCATENATE($B63,BB$2),Database!$B:$E,4,0)="L",6,5),"")</f>
        <v/>
      </c>
      <c r="BC63" s="29" t="str">
        <f>IFERROR(IF(VLOOKUP(CONCATENATE($B63,BC$2),Database!$B:$E,4,0)="L",6,5),"")</f>
        <v/>
      </c>
      <c r="BD63" s="29" t="str">
        <f>IFERROR(IF(VLOOKUP(CONCATENATE($B63,BD$2),Database!$B:$E,4,0)="L",6,5),"")</f>
        <v/>
      </c>
      <c r="BE63" s="29" t="str">
        <f>IFERROR(IF(VLOOKUP(CONCATENATE($B63,BE$2),Database!$B:$E,4,0)="L",6,5),"")</f>
        <v/>
      </c>
      <c r="BF63" s="29" t="str">
        <f>IFERROR(IF(VLOOKUP(CONCATENATE($B63,BF$2),Database!$B:$E,4,0)="L",6,5),"")</f>
        <v/>
      </c>
      <c r="BG63" s="29" t="str">
        <f>IFERROR(IF(VLOOKUP(CONCATENATE($B63,BG$2),Database!$B:$E,4,0)="L",6,5),"")</f>
        <v/>
      </c>
      <c r="BH63" s="29" t="str">
        <f>IFERROR(IF(VLOOKUP(CONCATENATE($B63,BH$2),Database!$B:$E,4,0)="L",6,5),"")</f>
        <v/>
      </c>
      <c r="BI63" s="29" t="str">
        <f>IFERROR(IF(VLOOKUP(CONCATENATE($B63,BI$2),Database!$B:$E,4,0)="L",6,5),"")</f>
        <v/>
      </c>
      <c r="BJ63" s="29" t="str">
        <f>IFERROR(IF(VLOOKUP(CONCATENATE($B63,BJ$2),Database!$B:$E,4,0)="L",6,5),"")</f>
        <v/>
      </c>
      <c r="BK63" s="29" t="str">
        <f>IFERROR(IF(VLOOKUP(CONCATENATE($B63,BK$2),Database!$B:$E,4,0)="L",6,5),"")</f>
        <v/>
      </c>
      <c r="BL63" s="29" t="str">
        <f>IFERROR(IF(VLOOKUP(CONCATENATE($B63,BL$2),Database!$B:$E,4,0)="L",6,5),"")</f>
        <v/>
      </c>
      <c r="BM63" s="29" t="str">
        <f>IFERROR(IF(VLOOKUP(CONCATENATE($B63,BM$2),Database!$B:$E,4,0)="L",6,5),"")</f>
        <v/>
      </c>
      <c r="BN63" s="29" t="str">
        <f>IFERROR(IF(VLOOKUP(CONCATENATE($B63,BN$2),Database!$B:$E,4,0)="L",6,5),"")</f>
        <v/>
      </c>
      <c r="BO63" s="29" t="str">
        <f>IFERROR(IF(VLOOKUP(CONCATENATE($B63,BO$2),Database!$B:$E,4,0)="L",6,5),"")</f>
        <v/>
      </c>
      <c r="BP63" s="29" t="str">
        <f>IFERROR(IF(VLOOKUP(CONCATENATE($B63,BP$2),Database!$B:$E,4,0)="L",6,5),"")</f>
        <v/>
      </c>
      <c r="BQ63" s="29" t="str">
        <f>IFERROR(IF(VLOOKUP(CONCATENATE($B63,BQ$2),Database!$B:$E,4,0)="L",6,5),"")</f>
        <v/>
      </c>
      <c r="BR63" s="29" t="str">
        <f>IFERROR(IF(VLOOKUP(CONCATENATE($B63,BR$2),Database!$B:$E,4,0)="L",6,5),"")</f>
        <v/>
      </c>
      <c r="BS63" s="29" t="str">
        <f>IFERROR(IF(VLOOKUP(CONCATENATE($B63,BS$2),Database!$B:$E,4,0)="L",6,5),"")</f>
        <v/>
      </c>
      <c r="BT63" s="29" t="str">
        <f>IFERROR(IF(VLOOKUP(CONCATENATE($B63,BT$2),Database!$B:$E,4,0)="L",6,5),"")</f>
        <v/>
      </c>
      <c r="BU63" s="29" t="str">
        <f>IFERROR(IF(VLOOKUP(CONCATENATE($B63,BU$2),Database!$B:$E,4,0)="L",6,5),"")</f>
        <v/>
      </c>
      <c r="BV63" s="29" t="str">
        <f>IFERROR(IF(VLOOKUP(CONCATENATE($B63,BV$2),Database!$B:$E,4,0)="L",6,5),"")</f>
        <v/>
      </c>
      <c r="BW63" s="29" t="str">
        <f>IFERROR(IF(VLOOKUP(CONCATENATE($B63,BW$2),Database!$B:$E,4,0)="L",6,5),"")</f>
        <v/>
      </c>
      <c r="BX63" s="29" t="str">
        <f>IFERROR(IF(VLOOKUP(CONCATENATE($B63,BX$2),Database!$B:$E,4,0)="L",6,5),"")</f>
        <v/>
      </c>
      <c r="BY63" s="29" t="str">
        <f>IFERROR(IF(VLOOKUP(CONCATENATE($B63,BY$2),Database!$B:$E,4,0)="L",6,5),"")</f>
        <v/>
      </c>
      <c r="BZ63" s="29" t="str">
        <f>IFERROR(IF(VLOOKUP(CONCATENATE($B63,BZ$2),Database!$B:$E,4,0)="L",6,5),"")</f>
        <v/>
      </c>
    </row>
    <row r="64" spans="2:78" ht="14.3" x14ac:dyDescent="0.3">
      <c r="B64" s="20" t="s">
        <v>52</v>
      </c>
      <c r="C64" s="133">
        <f>COUNTIFS(Database!$D:$D,$B64,Database!$C:$C,"&gt;1/1/25")</f>
        <v>1</v>
      </c>
      <c r="D64" s="134">
        <f>COUNTIFS(Database!$D:$D,$B64,Database!$E:$E,"W",Database!$C:$C,"&gt;1/1/25")</f>
        <v>0</v>
      </c>
      <c r="E64" s="134">
        <f>COUNTIFS(Database!$D:$D,$B64,Database!$E:$E,"L",Database!$C:$C,"&gt;1/1/25")</f>
        <v>1</v>
      </c>
      <c r="F64" s="17">
        <f t="shared" si="9"/>
        <v>-1</v>
      </c>
      <c r="G64" s="36">
        <f t="shared" si="10"/>
        <v>0</v>
      </c>
      <c r="H64" s="15">
        <f t="shared" si="11"/>
        <v>1</v>
      </c>
      <c r="J64" s="133">
        <f>COUNTIF(Database!$D:$D,$B64)</f>
        <v>10</v>
      </c>
      <c r="K64" s="134">
        <f>COUNTIFS(Database!$D:$D,$B64,Database!$E:$E,"W")</f>
        <v>6</v>
      </c>
      <c r="L64" s="134">
        <f>COUNTIFS(Database!$D:$D,$B64,Database!$E:$E,"L")</f>
        <v>4</v>
      </c>
      <c r="M64" s="17">
        <f t="shared" si="12"/>
        <v>2</v>
      </c>
      <c r="N64" s="36">
        <f t="shared" si="13"/>
        <v>0.6</v>
      </c>
      <c r="O64" s="15">
        <f t="shared" si="14"/>
        <v>0.4</v>
      </c>
      <c r="Q64" s="30">
        <f>IFERROR(IF(VLOOKUP(CONCATENATE($B64,Q$2),Database!$B:$E,4,0)="L",6,5),"")</f>
        <v>5</v>
      </c>
      <c r="R64" s="31">
        <f>IFERROR(IF(VLOOKUP(CONCATENATE($B64,R$2),Database!$B:$E,4,0)="L",6,5),"")</f>
        <v>5</v>
      </c>
      <c r="S64" s="31">
        <f>IFERROR(IF(VLOOKUP(CONCATENATE($B64,S$2),Database!$B:$E,4,0)="L",6,5),"")</f>
        <v>5</v>
      </c>
      <c r="T64" s="31">
        <f>IFERROR(IF(VLOOKUP(CONCATENATE($B64,T$2),Database!$B:$E,4,0)="L",6,5),"")</f>
        <v>6</v>
      </c>
      <c r="U64" s="31">
        <f>IFERROR(IF(VLOOKUP(CONCATENATE($B64,U$2),Database!$B:$E,4,0)="L",6,5),"")</f>
        <v>6</v>
      </c>
      <c r="V64" s="135"/>
      <c r="W64" s="136" t="s">
        <v>14</v>
      </c>
      <c r="X64" s="137" t="s">
        <v>14</v>
      </c>
      <c r="Z64" s="129" t="str">
        <f t="shared" si="8"/>
        <v>Y</v>
      </c>
      <c r="AB64" s="29">
        <f>IFERROR(IF(VLOOKUP(CONCATENATE($B64,AB$2),Database!$B:$E,4,0)="L",6,5),"")</f>
        <v>6</v>
      </c>
      <c r="AC64" s="29">
        <f>IFERROR(IF(VLOOKUP(CONCATENATE($B64,AC$2),Database!$B:$E,4,0)="L",6,5),"")</f>
        <v>6</v>
      </c>
      <c r="AD64" s="29">
        <f>IFERROR(IF(VLOOKUP(CONCATENATE($B64,AD$2),Database!$B:$E,4,0)="L",6,5),"")</f>
        <v>5</v>
      </c>
      <c r="AE64" s="29">
        <f>IFERROR(IF(VLOOKUP(CONCATENATE($B64,AE$2),Database!$B:$E,4,0)="L",6,5),"")</f>
        <v>5</v>
      </c>
      <c r="AF64" s="29">
        <f>IFERROR(IF(VLOOKUP(CONCATENATE($B64,AF$2),Database!$B:$E,4,0)="L",6,5),"")</f>
        <v>5</v>
      </c>
      <c r="AG64" s="29">
        <f>IFERROR(IF(VLOOKUP(CONCATENATE($B64,AG$2),Database!$B:$E,4,0)="L",6,5),"")</f>
        <v>5</v>
      </c>
      <c r="AH64" s="29">
        <f>IFERROR(IF(VLOOKUP(CONCATENATE($B64,AH$2),Database!$B:$E,4,0)="L",6,5),"")</f>
        <v>5</v>
      </c>
      <c r="AI64" s="29">
        <f>IFERROR(IF(VLOOKUP(CONCATENATE($B64,AI$2),Database!$B:$E,4,0)="L",6,5),"")</f>
        <v>5</v>
      </c>
      <c r="AJ64" s="29">
        <f>IFERROR(IF(VLOOKUP(CONCATENATE($B64,AJ$2),Database!$B:$E,4,0)="L",6,5),"")</f>
        <v>6</v>
      </c>
      <c r="AK64" s="29">
        <f>IFERROR(IF(VLOOKUP(CONCATENATE($B64,AK$2),Database!$B:$E,4,0)="L",6,5),"")</f>
        <v>6</v>
      </c>
      <c r="AL64" s="29" t="str">
        <f>IFERROR(IF(VLOOKUP(CONCATENATE($B64,AL$2),Database!$B:$E,4,0)="L",6,5),"")</f>
        <v/>
      </c>
      <c r="AM64" s="29" t="str">
        <f>IFERROR(IF(VLOOKUP(CONCATENATE($B64,AM$2),Database!$B:$E,4,0)="L",6,5),"")</f>
        <v/>
      </c>
      <c r="AN64" s="29" t="str">
        <f>IFERROR(IF(VLOOKUP(CONCATENATE($B64,AN$2),Database!$B:$E,4,0)="L",6,5),"")</f>
        <v/>
      </c>
      <c r="AO64" s="29" t="str">
        <f>IFERROR(IF(VLOOKUP(CONCATENATE($B64,AO$2),Database!$B:$E,4,0)="L",6,5),"")</f>
        <v/>
      </c>
      <c r="AP64" s="29" t="str">
        <f>IFERROR(IF(VLOOKUP(CONCATENATE($B64,AP$2),Database!$B:$E,4,0)="L",6,5),"")</f>
        <v/>
      </c>
      <c r="AQ64" s="29" t="str">
        <f>IFERROR(IF(VLOOKUP(CONCATENATE($B64,AQ$2),Database!$B:$E,4,0)="L",6,5),"")</f>
        <v/>
      </c>
      <c r="AR64" s="29" t="str">
        <f>IFERROR(IF(VLOOKUP(CONCATENATE($B64,AR$2),Database!$B:$E,4,0)="L",6,5),"")</f>
        <v/>
      </c>
      <c r="AS64" s="29" t="str">
        <f>IFERROR(IF(VLOOKUP(CONCATENATE($B64,AS$2),Database!$B:$E,4,0)="L",6,5),"")</f>
        <v/>
      </c>
      <c r="AT64" s="29" t="str">
        <f>IFERROR(IF(VLOOKUP(CONCATENATE($B64,AT$2),Database!$B:$E,4,0)="L",6,5),"")</f>
        <v/>
      </c>
      <c r="AU64" s="29" t="str">
        <f>IFERROR(IF(VLOOKUP(CONCATENATE($B64,AU$2),Database!$B:$E,4,0)="L",6,5),"")</f>
        <v/>
      </c>
      <c r="AV64" s="29" t="str">
        <f>IFERROR(IF(VLOOKUP(CONCATENATE($B64,AV$2),Database!$B:$E,4,0)="L",6,5),"")</f>
        <v/>
      </c>
      <c r="AW64" s="29" t="str">
        <f>IFERROR(IF(VLOOKUP(CONCATENATE($B64,AW$2),Database!$B:$E,4,0)="L",6,5),"")</f>
        <v/>
      </c>
      <c r="AX64" s="29" t="str">
        <f>IFERROR(IF(VLOOKUP(CONCATENATE($B64,AX$2),Database!$B:$E,4,0)="L",6,5),"")</f>
        <v/>
      </c>
      <c r="AY64" s="29" t="str">
        <f>IFERROR(IF(VLOOKUP(CONCATENATE($B64,AY$2),Database!$B:$E,4,0)="L",6,5),"")</f>
        <v/>
      </c>
      <c r="AZ64" s="29" t="str">
        <f>IFERROR(IF(VLOOKUP(CONCATENATE($B64,AZ$2),Database!$B:$E,4,0)="L",6,5),"")</f>
        <v/>
      </c>
      <c r="BA64" s="29" t="str">
        <f>IFERROR(IF(VLOOKUP(CONCATENATE($B64,BA$2),Database!$B:$E,4,0)="L",6,5),"")</f>
        <v/>
      </c>
      <c r="BB64" s="29" t="str">
        <f>IFERROR(IF(VLOOKUP(CONCATENATE($B64,BB$2),Database!$B:$E,4,0)="L",6,5),"")</f>
        <v/>
      </c>
      <c r="BC64" s="29" t="str">
        <f>IFERROR(IF(VLOOKUP(CONCATENATE($B64,BC$2),Database!$B:$E,4,0)="L",6,5),"")</f>
        <v/>
      </c>
      <c r="BD64" s="29" t="str">
        <f>IFERROR(IF(VLOOKUP(CONCATENATE($B64,BD$2),Database!$B:$E,4,0)="L",6,5),"")</f>
        <v/>
      </c>
      <c r="BE64" s="29" t="str">
        <f>IFERROR(IF(VLOOKUP(CONCATENATE($B64,BE$2),Database!$B:$E,4,0)="L",6,5),"")</f>
        <v/>
      </c>
      <c r="BF64" s="29" t="str">
        <f>IFERROR(IF(VLOOKUP(CONCATENATE($B64,BF$2),Database!$B:$E,4,0)="L",6,5),"")</f>
        <v/>
      </c>
      <c r="BG64" s="29" t="str">
        <f>IFERROR(IF(VLOOKUP(CONCATENATE($B64,BG$2),Database!$B:$E,4,0)="L",6,5),"")</f>
        <v/>
      </c>
      <c r="BH64" s="29" t="str">
        <f>IFERROR(IF(VLOOKUP(CONCATENATE($B64,BH$2),Database!$B:$E,4,0)="L",6,5),"")</f>
        <v/>
      </c>
      <c r="BI64" s="29" t="str">
        <f>IFERROR(IF(VLOOKUP(CONCATENATE($B64,BI$2),Database!$B:$E,4,0)="L",6,5),"")</f>
        <v/>
      </c>
      <c r="BJ64" s="29" t="str">
        <f>IFERROR(IF(VLOOKUP(CONCATENATE($B64,BJ$2),Database!$B:$E,4,0)="L",6,5),"")</f>
        <v/>
      </c>
      <c r="BK64" s="29" t="str">
        <f>IFERROR(IF(VLOOKUP(CONCATENATE($B64,BK$2),Database!$B:$E,4,0)="L",6,5),"")</f>
        <v/>
      </c>
      <c r="BL64" s="29" t="str">
        <f>IFERROR(IF(VLOOKUP(CONCATENATE($B64,BL$2),Database!$B:$E,4,0)="L",6,5),"")</f>
        <v/>
      </c>
      <c r="BM64" s="29" t="str">
        <f>IFERROR(IF(VLOOKUP(CONCATENATE($B64,BM$2),Database!$B:$E,4,0)="L",6,5),"")</f>
        <v/>
      </c>
      <c r="BN64" s="29" t="str">
        <f>IFERROR(IF(VLOOKUP(CONCATENATE($B64,BN$2),Database!$B:$E,4,0)="L",6,5),"")</f>
        <v/>
      </c>
      <c r="BO64" s="29" t="str">
        <f>IFERROR(IF(VLOOKUP(CONCATENATE($B64,BO$2),Database!$B:$E,4,0)="L",6,5),"")</f>
        <v/>
      </c>
      <c r="BP64" s="29" t="str">
        <f>IFERROR(IF(VLOOKUP(CONCATENATE($B64,BP$2),Database!$B:$E,4,0)="L",6,5),"")</f>
        <v/>
      </c>
      <c r="BQ64" s="29" t="str">
        <f>IFERROR(IF(VLOOKUP(CONCATENATE($B64,BQ$2),Database!$B:$E,4,0)="L",6,5),"")</f>
        <v/>
      </c>
      <c r="BR64" s="29" t="str">
        <f>IFERROR(IF(VLOOKUP(CONCATENATE($B64,BR$2),Database!$B:$E,4,0)="L",6,5),"")</f>
        <v/>
      </c>
      <c r="BS64" s="29" t="str">
        <f>IFERROR(IF(VLOOKUP(CONCATENATE($B64,BS$2),Database!$B:$E,4,0)="L",6,5),"")</f>
        <v/>
      </c>
      <c r="BT64" s="29" t="str">
        <f>IFERROR(IF(VLOOKUP(CONCATENATE($B64,BT$2),Database!$B:$E,4,0)="L",6,5),"")</f>
        <v/>
      </c>
      <c r="BU64" s="29" t="str">
        <f>IFERROR(IF(VLOOKUP(CONCATENATE($B64,BU$2),Database!$B:$E,4,0)="L",6,5),"")</f>
        <v/>
      </c>
      <c r="BV64" s="29" t="str">
        <f>IFERROR(IF(VLOOKUP(CONCATENATE($B64,BV$2),Database!$B:$E,4,0)="L",6,5),"")</f>
        <v/>
      </c>
      <c r="BW64" s="29" t="str">
        <f>IFERROR(IF(VLOOKUP(CONCATENATE($B64,BW$2),Database!$B:$E,4,0)="L",6,5),"")</f>
        <v/>
      </c>
      <c r="BX64" s="29" t="str">
        <f>IFERROR(IF(VLOOKUP(CONCATENATE($B64,BX$2),Database!$B:$E,4,0)="L",6,5),"")</f>
        <v/>
      </c>
      <c r="BY64" s="29" t="str">
        <f>IFERROR(IF(VLOOKUP(CONCATENATE($B64,BY$2),Database!$B:$E,4,0)="L",6,5),"")</f>
        <v/>
      </c>
      <c r="BZ64" s="29" t="str">
        <f>IFERROR(IF(VLOOKUP(CONCATENATE($B64,BZ$2),Database!$B:$E,4,0)="L",6,5),"")</f>
        <v/>
      </c>
    </row>
    <row r="65" spans="2:27" ht="3.25" customHeight="1" x14ac:dyDescent="0.25"/>
    <row r="66" spans="2:27" ht="14.3" customHeight="1" x14ac:dyDescent="0.25">
      <c r="B66" s="25" t="s">
        <v>62</v>
      </c>
      <c r="C66" s="25"/>
      <c r="D66" s="143" t="s">
        <v>2</v>
      </c>
      <c r="E66" s="143"/>
      <c r="F66" s="12" t="s">
        <v>63</v>
      </c>
      <c r="U66" s="40" t="s">
        <v>64</v>
      </c>
    </row>
    <row r="67" spans="2:27" ht="14.3" customHeight="1" x14ac:dyDescent="0.3">
      <c r="B67" s="45" t="s">
        <v>65</v>
      </c>
      <c r="C67" s="4"/>
      <c r="D67" s="142" t="s">
        <v>47</v>
      </c>
      <c r="E67" s="142"/>
      <c r="F67" s="46">
        <v>10</v>
      </c>
    </row>
    <row r="68" spans="2:27" ht="14.3" x14ac:dyDescent="0.3">
      <c r="B68" s="59" t="s">
        <v>66</v>
      </c>
      <c r="C68" s="60"/>
      <c r="D68" s="144" t="s">
        <v>55</v>
      </c>
      <c r="E68" s="144"/>
      <c r="F68" s="61">
        <v>8</v>
      </c>
    </row>
    <row r="69" spans="2:27" ht="14.3" customHeight="1" x14ac:dyDescent="0.25">
      <c r="X69" s="35"/>
      <c r="Z69" s="35"/>
      <c r="AA69" s="35"/>
    </row>
    <row r="70" spans="2:27" ht="14.3" customHeight="1" x14ac:dyDescent="0.25">
      <c r="X70" s="35"/>
      <c r="Z70" s="35"/>
      <c r="AA70" s="35"/>
    </row>
    <row r="71" spans="2:27" ht="14.3" customHeight="1" x14ac:dyDescent="0.25">
      <c r="X71" s="35"/>
      <c r="Z71" s="35"/>
      <c r="AA71" s="35"/>
    </row>
    <row r="72" spans="2:27" ht="14.3" customHeight="1" x14ac:dyDescent="0.25">
      <c r="X72" s="35"/>
      <c r="Z72" s="35"/>
      <c r="AA72" s="35"/>
    </row>
    <row r="73" spans="2:27" ht="14.3" customHeight="1" x14ac:dyDescent="0.25">
      <c r="X73" s="35"/>
      <c r="Z73" s="35"/>
      <c r="AA73" s="35"/>
    </row>
    <row r="74" spans="2:27" ht="14.3" customHeight="1" x14ac:dyDescent="0.25"/>
    <row r="75" spans="2:27" ht="14.3" customHeight="1" x14ac:dyDescent="0.25">
      <c r="X75" s="35"/>
      <c r="Z75" s="35"/>
      <c r="AA75" s="35"/>
    </row>
    <row r="76" spans="2:27" ht="14.3" customHeight="1" x14ac:dyDescent="0.25">
      <c r="X76" s="35"/>
      <c r="Z76" s="35"/>
      <c r="AA76" s="35"/>
    </row>
    <row r="77" spans="2:27" ht="14.3" customHeight="1" x14ac:dyDescent="0.25">
      <c r="X77" s="35"/>
      <c r="Z77" s="35"/>
      <c r="AA77" s="35"/>
    </row>
    <row r="78" spans="2:27" ht="14.3" customHeight="1" x14ac:dyDescent="0.25">
      <c r="X78" s="35"/>
      <c r="Z78" s="35"/>
      <c r="AA78" s="35"/>
    </row>
    <row r="79" spans="2:27" ht="14.3" customHeight="1" x14ac:dyDescent="0.25">
      <c r="X79" s="35"/>
      <c r="Z79" s="35"/>
      <c r="AA79" s="35"/>
    </row>
    <row r="80" spans="2:27" ht="14.3" customHeight="1" x14ac:dyDescent="0.25">
      <c r="X80" s="35"/>
      <c r="Z80" s="35"/>
      <c r="AA80" s="35"/>
    </row>
    <row r="81" spans="24:27" ht="14.3" customHeight="1" x14ac:dyDescent="0.25">
      <c r="X81" s="35"/>
      <c r="Z81" s="35"/>
      <c r="AA81" s="35"/>
    </row>
    <row r="82" spans="24:27" ht="14.3" customHeight="1" x14ac:dyDescent="0.25">
      <c r="X82" s="35"/>
      <c r="Z82" s="35"/>
      <c r="AA82" s="35"/>
    </row>
    <row r="83" spans="24:27" ht="14.3" customHeight="1" x14ac:dyDescent="0.25">
      <c r="X83" s="35"/>
      <c r="Z83" s="35"/>
      <c r="AA83" s="35"/>
    </row>
    <row r="84" spans="24:27" ht="14.3" customHeight="1" x14ac:dyDescent="0.25">
      <c r="X84" s="35"/>
      <c r="Z84" s="35"/>
      <c r="AA84" s="35"/>
    </row>
    <row r="85" spans="24:27" ht="14.3" customHeight="1" x14ac:dyDescent="0.25">
      <c r="X85" s="35"/>
      <c r="Z85" s="35"/>
      <c r="AA85" s="35"/>
    </row>
    <row r="86" spans="24:27" ht="14.3" customHeight="1" x14ac:dyDescent="0.25">
      <c r="X86" s="35"/>
      <c r="Z86" s="35"/>
      <c r="AA86" s="35"/>
    </row>
    <row r="87" spans="24:27" ht="14.3" customHeight="1" x14ac:dyDescent="0.25">
      <c r="X87" s="35"/>
      <c r="Z87" s="35"/>
      <c r="AA87" s="35"/>
    </row>
    <row r="88" spans="24:27" ht="14.3" customHeight="1" x14ac:dyDescent="0.25">
      <c r="X88" s="35"/>
      <c r="Z88" s="35"/>
      <c r="AA88" s="35"/>
    </row>
    <row r="89" spans="24:27" ht="14.3" customHeight="1" x14ac:dyDescent="0.25"/>
    <row r="90" spans="24:27" ht="14.3" customHeight="1" x14ac:dyDescent="0.25"/>
    <row r="91" spans="24:27" ht="14.3" customHeight="1" x14ac:dyDescent="0.25"/>
    <row r="92" spans="24:27" ht="14.3" customHeight="1" x14ac:dyDescent="0.25"/>
    <row r="93" spans="24:27" ht="14.3" customHeight="1" x14ac:dyDescent="0.25"/>
    <row r="94" spans="24:27" ht="14.3" customHeight="1" x14ac:dyDescent="0.25"/>
    <row r="95" spans="24:27" ht="14.3" customHeight="1" x14ac:dyDescent="0.25"/>
    <row r="96" spans="24:27" ht="14.3" customHeight="1" x14ac:dyDescent="0.25"/>
    <row r="97" ht="14.3" customHeight="1" x14ac:dyDescent="0.25"/>
    <row r="98" ht="14.3" customHeight="1" x14ac:dyDescent="0.25"/>
    <row r="99" ht="14.3" customHeight="1" x14ac:dyDescent="0.25"/>
    <row r="100" ht="14.3" customHeight="1" x14ac:dyDescent="0.25"/>
    <row r="101" ht="14.3" customHeight="1" x14ac:dyDescent="0.25"/>
    <row r="102" ht="14.3" customHeight="1" x14ac:dyDescent="0.25"/>
    <row r="103" ht="14.3" customHeight="1" x14ac:dyDescent="0.25"/>
    <row r="104" ht="14.3" customHeight="1" x14ac:dyDescent="0.25"/>
    <row r="105" ht="14.3" customHeight="1" x14ac:dyDescent="0.25"/>
    <row r="106" ht="14.3" customHeight="1" x14ac:dyDescent="0.25"/>
    <row r="107" ht="14.3" customHeight="1" x14ac:dyDescent="0.25"/>
    <row r="108" ht="14.3" customHeight="1" x14ac:dyDescent="0.25"/>
    <row r="109" ht="14.3" customHeight="1" x14ac:dyDescent="0.25"/>
    <row r="110" ht="14.3" customHeight="1" x14ac:dyDescent="0.25"/>
    <row r="111" ht="14.3" customHeight="1" x14ac:dyDescent="0.25"/>
    <row r="112" ht="14.3" customHeight="1" x14ac:dyDescent="0.25"/>
    <row r="113" ht="14.3" customHeight="1" x14ac:dyDescent="0.25"/>
    <row r="114" ht="14.3" customHeight="1" x14ac:dyDescent="0.25"/>
    <row r="115" ht="14.3" customHeight="1" x14ac:dyDescent="0.25"/>
  </sheetData>
  <autoFilter ref="Z3:Z64" xr:uid="{00000000-0001-0000-0000-000000000000}">
    <filterColumn colId="0">
      <filters>
        <filter val="Y"/>
      </filters>
    </filterColumn>
  </autoFilter>
  <sortState xmlns:xlrd2="http://schemas.microsoft.com/office/spreadsheetml/2017/richdata2" ref="B4:Y64">
    <sortCondition descending="1" ref="Y4:Y64"/>
    <sortCondition descending="1" ref="F4:F64"/>
  </sortState>
  <mergeCells count="3">
    <mergeCell ref="D67:E67"/>
    <mergeCell ref="D66:E66"/>
    <mergeCell ref="D68:E68"/>
  </mergeCells>
  <conditionalFormatting sqref="Q4:W33 Z4:Z64 B4:H64 Q36:W41 Q34:V35 Q43:W43 Q42:U42 W42 Q45:W46 Q44:V44 Q63:W63 Q60:V62 Q57:W57 Q64:U64 W64 Q55:U56 W55:W56 Q58:U59 W58:W59 Q48:W54 Q47:U47 W47">
    <cfRule type="expression" dxfId="72" priority="63">
      <formula>MOD(ROW(),2)=1</formula>
    </cfRule>
  </conditionalFormatting>
  <conditionalFormatting sqref="AB4:BZ65">
    <cfRule type="cellIs" dxfId="71" priority="313" operator="equal">
      <formula>6</formula>
    </cfRule>
  </conditionalFormatting>
  <conditionalFormatting sqref="G4:G64">
    <cfRule type="dataBar" priority="385">
      <dataBar>
        <cfvo type="min"/>
        <cfvo type="max"/>
        <color rgb="FFC0D7B7"/>
      </dataBar>
      <extLst>
        <ext xmlns:x14="http://schemas.microsoft.com/office/spreadsheetml/2009/9/main" uri="{B025F937-C7B1-47D3-B67F-A62EFF666E3E}">
          <x14:id>{19EB97A5-69D3-4E23-8501-A6E248102B7A}</x14:id>
        </ext>
      </extLst>
    </cfRule>
  </conditionalFormatting>
  <conditionalFormatting sqref="H4:H64">
    <cfRule type="dataBar" priority="387">
      <dataBar>
        <cfvo type="min"/>
        <cfvo type="max"/>
        <color rgb="FFFFBDBF"/>
      </dataBar>
      <extLst>
        <ext xmlns:x14="http://schemas.microsoft.com/office/spreadsheetml/2009/9/main" uri="{B025F937-C7B1-47D3-B67F-A62EFF666E3E}">
          <x14:id>{23AB5A52-72D5-42FB-89E9-FE9CB5A1B873}</x14:id>
        </ext>
      </extLst>
    </cfRule>
  </conditionalFormatting>
  <conditionalFormatting sqref="Q4:U64">
    <cfRule type="iconSet" priority="389">
      <iconSet iconSet="3Symbols" reverse="1">
        <cfvo type="percent" val="0"/>
        <cfvo type="percent" val="33"/>
        <cfvo type="percent" val="67"/>
      </iconSet>
    </cfRule>
    <cfRule type="cellIs" dxfId="70" priority="390" operator="equal">
      <formula>6</formula>
    </cfRule>
    <cfRule type="cellIs" dxfId="69" priority="391" operator="equal">
      <formula>5</formula>
    </cfRule>
  </conditionalFormatting>
  <conditionalFormatting sqref="AB4:BZ64">
    <cfRule type="iconSet" priority="395">
      <iconSet iconSet="3Symbols" reverse="1">
        <cfvo type="percent" val="0"/>
        <cfvo type="percent" val="33"/>
        <cfvo type="percent" val="67"/>
      </iconSet>
    </cfRule>
    <cfRule type="cellIs" dxfId="68" priority="396" operator="equal">
      <formula>5</formula>
    </cfRule>
  </conditionalFormatting>
  <conditionalFormatting sqref="X22 X6:X10 X19:X20 X26:X33 X41 X17 X12:X15 X38 X62:X64 X43:X55 X59:X60">
    <cfRule type="expression" dxfId="67" priority="38">
      <formula>MOD(ROW(),2)=1</formula>
    </cfRule>
  </conditionalFormatting>
  <conditionalFormatting sqref="X4">
    <cfRule type="expression" dxfId="66" priority="37">
      <formula>MOD(ROW(),2)=1</formula>
    </cfRule>
  </conditionalFormatting>
  <conditionalFormatting sqref="X21">
    <cfRule type="expression" dxfId="65" priority="34">
      <formula>MOD(ROW(),2)=1</formula>
    </cfRule>
  </conditionalFormatting>
  <conditionalFormatting sqref="X23:X25">
    <cfRule type="expression" dxfId="64" priority="33">
      <formula>MOD(ROW(),2)=1</formula>
    </cfRule>
  </conditionalFormatting>
  <conditionalFormatting sqref="X40">
    <cfRule type="expression" dxfId="63" priority="32">
      <formula>MOD(ROW(),2)=1</formula>
    </cfRule>
  </conditionalFormatting>
  <conditionalFormatting sqref="X18">
    <cfRule type="expression" dxfId="62" priority="31">
      <formula>MOD(ROW(),2)=1</formula>
    </cfRule>
  </conditionalFormatting>
  <conditionalFormatting sqref="J4:O64">
    <cfRule type="expression" dxfId="61" priority="28">
      <formula>MOD(ROW(),2)=1</formula>
    </cfRule>
  </conditionalFormatting>
  <conditionalFormatting sqref="N4:N64">
    <cfRule type="dataBar" priority="29">
      <dataBar>
        <cfvo type="min"/>
        <cfvo type="max"/>
        <color rgb="FFC0D7B7"/>
      </dataBar>
      <extLst>
        <ext xmlns:x14="http://schemas.microsoft.com/office/spreadsheetml/2009/9/main" uri="{B025F937-C7B1-47D3-B67F-A62EFF666E3E}">
          <x14:id>{91A26571-BF9F-415C-8A16-3587C467700D}</x14:id>
        </ext>
      </extLst>
    </cfRule>
  </conditionalFormatting>
  <conditionalFormatting sqref="O4:O64">
    <cfRule type="dataBar" priority="30">
      <dataBar>
        <cfvo type="min"/>
        <cfvo type="max"/>
        <color rgb="FFFFBDBF"/>
      </dataBar>
      <extLst>
        <ext xmlns:x14="http://schemas.microsoft.com/office/spreadsheetml/2009/9/main" uri="{B025F937-C7B1-47D3-B67F-A62EFF666E3E}">
          <x14:id>{B1B3AE0C-A98A-48A6-A3C3-F154B94C2BFF}</x14:id>
        </ext>
      </extLst>
    </cfRule>
  </conditionalFormatting>
  <conditionalFormatting sqref="X5">
    <cfRule type="expression" dxfId="60" priority="27">
      <formula>MOD(ROW(),2)=1</formula>
    </cfRule>
  </conditionalFormatting>
  <conditionalFormatting sqref="X16">
    <cfRule type="expression" dxfId="59" priority="26">
      <formula>MOD(ROW(),2)=1</formula>
    </cfRule>
  </conditionalFormatting>
  <conditionalFormatting sqref="X11">
    <cfRule type="expression" dxfId="58" priority="25">
      <formula>MOD(ROW(),2)=1</formula>
    </cfRule>
  </conditionalFormatting>
  <conditionalFormatting sqref="X34">
    <cfRule type="expression" dxfId="57" priority="24">
      <formula>MOD(ROW(),2)=1</formula>
    </cfRule>
  </conditionalFormatting>
  <conditionalFormatting sqref="W34">
    <cfRule type="expression" dxfId="56" priority="22">
      <formula>MOD(ROW(),2)=1</formula>
    </cfRule>
  </conditionalFormatting>
  <conditionalFormatting sqref="W60:W61">
    <cfRule type="expression" dxfId="55" priority="21">
      <formula>MOD(ROW(),2)=1</formula>
    </cfRule>
  </conditionalFormatting>
  <conditionalFormatting sqref="W35">
    <cfRule type="expression" dxfId="54" priority="20">
      <formula>MOD(ROW(),2)=1</formula>
    </cfRule>
  </conditionalFormatting>
  <conditionalFormatting sqref="X35">
    <cfRule type="expression" dxfId="53" priority="19">
      <formula>MOD(ROW(),2)=1</formula>
    </cfRule>
  </conditionalFormatting>
  <conditionalFormatting sqref="X36">
    <cfRule type="expression" dxfId="52" priority="18">
      <formula>MOD(ROW(),2)=1</formula>
    </cfRule>
  </conditionalFormatting>
  <conditionalFormatting sqref="X61">
    <cfRule type="expression" dxfId="51" priority="17">
      <formula>MOD(ROW(),2)=1</formula>
    </cfRule>
  </conditionalFormatting>
  <conditionalFormatting sqref="X37">
    <cfRule type="expression" dxfId="50" priority="16">
      <formula>MOD(ROW(),2)=1</formula>
    </cfRule>
  </conditionalFormatting>
  <conditionalFormatting sqref="X39">
    <cfRule type="expression" dxfId="49" priority="15">
      <formula>MOD(ROW(),2)=1</formula>
    </cfRule>
  </conditionalFormatting>
  <conditionalFormatting sqref="X42">
    <cfRule type="expression" dxfId="48" priority="14">
      <formula>MOD(ROW(),2)=1</formula>
    </cfRule>
  </conditionalFormatting>
  <conditionalFormatting sqref="V42">
    <cfRule type="expression" dxfId="47" priority="13">
      <formula>MOD(ROW(),2)=1</formula>
    </cfRule>
  </conditionalFormatting>
  <conditionalFormatting sqref="W44">
    <cfRule type="expression" dxfId="46" priority="12">
      <formula>MOD(ROW(),2)=1</formula>
    </cfRule>
  </conditionalFormatting>
  <conditionalFormatting sqref="W62">
    <cfRule type="expression" dxfId="45" priority="11">
      <formula>MOD(ROW(),2)=1</formula>
    </cfRule>
  </conditionalFormatting>
  <conditionalFormatting sqref="V55">
    <cfRule type="expression" dxfId="44" priority="10">
      <formula>MOD(ROW(),2)=1</formula>
    </cfRule>
  </conditionalFormatting>
  <conditionalFormatting sqref="V56">
    <cfRule type="expression" dxfId="43" priority="8">
      <formula>MOD(ROW(),2)=1</formula>
    </cfRule>
  </conditionalFormatting>
  <conditionalFormatting sqref="V58">
    <cfRule type="expression" dxfId="42" priority="7">
      <formula>MOD(ROW(),2)=1</formula>
    </cfRule>
  </conditionalFormatting>
  <conditionalFormatting sqref="V59">
    <cfRule type="expression" dxfId="41" priority="6">
      <formula>MOD(ROW(),2)=1</formula>
    </cfRule>
  </conditionalFormatting>
  <conditionalFormatting sqref="V47">
    <cfRule type="expression" dxfId="40" priority="5">
      <formula>MOD(ROW(),2)=1</formula>
    </cfRule>
  </conditionalFormatting>
  <conditionalFormatting sqref="V64">
    <cfRule type="expression" dxfId="39" priority="4">
      <formula>MOD(ROW(),2)=1</formula>
    </cfRule>
  </conditionalFormatting>
  <conditionalFormatting sqref="X58">
    <cfRule type="expression" dxfId="38" priority="3">
      <formula>MOD(ROW(),2)=1</formula>
    </cfRule>
  </conditionalFormatting>
  <conditionalFormatting sqref="X57">
    <cfRule type="expression" dxfId="37" priority="2">
      <formula>MOD(ROW(),2)=1</formula>
    </cfRule>
  </conditionalFormatting>
  <conditionalFormatting sqref="X56">
    <cfRule type="expression" dxfId="36" priority="1">
      <formula>MOD(ROW(),2)=1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ortStats">
                <anchor moveWithCells="1" sizeWithCells="1">
                  <from>
                    <xdr:col>27</xdr:col>
                    <xdr:colOff>25879</xdr:colOff>
                    <xdr:row>66</xdr:row>
                    <xdr:rowOff>51758</xdr:rowOff>
                  </from>
                  <to>
                    <xdr:col>33</xdr:col>
                    <xdr:colOff>112143</xdr:colOff>
                    <xdr:row>69</xdr:row>
                    <xdr:rowOff>8626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9EB97A5-69D3-4E23-8501-A6E248102B7A}">
            <x14:dataBar minLength="0" maxLength="100" border="1" negativeBarBorderColorSameAsPositive="0">
              <x14:cfvo type="autoMin"/>
              <x14:cfvo type="autoMax"/>
              <x14:borderColor rgb="FF86B274"/>
              <x14:negativeFillColor rgb="FFFF0000"/>
              <x14:negativeBorderColor rgb="FFFF0000"/>
              <x14:axisColor rgb="FF000000"/>
            </x14:dataBar>
          </x14:cfRule>
          <xm:sqref>G4:G64</xm:sqref>
        </x14:conditionalFormatting>
        <x14:conditionalFormatting xmlns:xm="http://schemas.microsoft.com/office/excel/2006/main">
          <x14:cfRule type="dataBar" id="{23AB5A52-72D5-42FB-89E9-FE9CB5A1B8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H4:H64</xm:sqref>
        </x14:conditionalFormatting>
        <x14:conditionalFormatting xmlns:xm="http://schemas.microsoft.com/office/excel/2006/main">
          <x14:cfRule type="dataBar" id="{91A26571-BF9F-415C-8A16-3587C467700D}">
            <x14:dataBar minLength="0" maxLength="100" border="1" negativeBarBorderColorSameAsPositive="0">
              <x14:cfvo type="autoMin"/>
              <x14:cfvo type="autoMax"/>
              <x14:borderColor rgb="FF86B274"/>
              <x14:negativeFillColor rgb="FFFF0000"/>
              <x14:negativeBorderColor rgb="FFFF0000"/>
              <x14:axisColor rgb="FF000000"/>
            </x14:dataBar>
          </x14:cfRule>
          <xm:sqref>N4:N64</xm:sqref>
        </x14:conditionalFormatting>
        <x14:conditionalFormatting xmlns:xm="http://schemas.microsoft.com/office/excel/2006/main">
          <x14:cfRule type="dataBar" id="{B1B3AE0C-A98A-48A6-A3C3-F154B94C2BF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O4:O64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700"/>
  <sheetViews>
    <sheetView showGridLines="0" zoomScaleNormal="100" workbookViewId="0">
      <pane xSplit="1" ySplit="2" topLeftCell="B663" activePane="bottomRight" state="frozen"/>
      <selection pane="topRight" activeCell="B1" sqref="B1"/>
      <selection pane="bottomLeft" activeCell="A3" sqref="A3"/>
      <selection pane="bottomRight" activeCell="D701" sqref="D701"/>
    </sheetView>
  </sheetViews>
  <sheetFormatPr defaultColWidth="9.140625" defaultRowHeight="13.6" x14ac:dyDescent="0.25"/>
  <cols>
    <col min="1" max="1" width="1.140625" customWidth="1"/>
    <col min="2" max="2" width="12.85546875" bestFit="1" customWidth="1"/>
    <col min="3" max="3" width="11.140625" bestFit="1" customWidth="1"/>
    <col min="4" max="5" width="11.85546875" bestFit="1" customWidth="1"/>
    <col min="6" max="6" width="19.140625" bestFit="1" customWidth="1"/>
    <col min="7" max="7" width="16.5703125" bestFit="1" customWidth="1"/>
    <col min="8" max="8" width="16.140625" bestFit="1" customWidth="1"/>
    <col min="9" max="10" width="16.140625" customWidth="1"/>
  </cols>
  <sheetData>
    <row r="1" spans="1:10" ht="5.3" customHeight="1" x14ac:dyDescent="0.25"/>
    <row r="2" spans="1:10" x14ac:dyDescent="0.25">
      <c r="B2" s="10" t="s">
        <v>67</v>
      </c>
      <c r="C2" s="10" t="s">
        <v>68</v>
      </c>
      <c r="D2" s="11" t="s">
        <v>2</v>
      </c>
      <c r="E2" s="11" t="s">
        <v>69</v>
      </c>
      <c r="F2" s="25" t="s">
        <v>70</v>
      </c>
      <c r="G2" s="26"/>
      <c r="H2" s="26"/>
      <c r="I2" s="27"/>
      <c r="J2" s="27" t="s">
        <v>71</v>
      </c>
    </row>
    <row r="3" spans="1:10" x14ac:dyDescent="0.25">
      <c r="A3" s="22"/>
      <c r="B3" s="3" t="str">
        <f>CONCATENATE($D3,((COUNTIFS($D:$D,$D3)-COUNTIF($D$3:$D3,$D3))+1))</f>
        <v>Sizwe33</v>
      </c>
      <c r="C3" s="3">
        <v>45321</v>
      </c>
      <c r="D3" s="4" t="s">
        <v>44</v>
      </c>
      <c r="E3" s="4" t="s">
        <v>72</v>
      </c>
      <c r="F3" s="32" t="str">
        <f>CONCATENATE(D3,D4,E3)</f>
        <v>SizweAkbarW</v>
      </c>
      <c r="I3" s="5"/>
      <c r="J3" s="5" t="str">
        <f>VLOOKUP(D3,Stats!B:B,1,0)</f>
        <v>Sizwe</v>
      </c>
    </row>
    <row r="4" spans="1:10" x14ac:dyDescent="0.25">
      <c r="A4" s="22"/>
      <c r="B4" s="6" t="str">
        <f>CONCATENATE($D4,((COUNTIFS($D:$D,$D4)-COUNTIF($D$3:$D4,$D4))+1))</f>
        <v>Akbar27</v>
      </c>
      <c r="C4" s="6">
        <v>45321</v>
      </c>
      <c r="D4" t="s">
        <v>54</v>
      </c>
      <c r="E4" t="s">
        <v>72</v>
      </c>
      <c r="F4" s="32" t="str">
        <f>CONCATENATE(D3,D5,E3)</f>
        <v>SizweAdiW</v>
      </c>
      <c r="G4" t="str">
        <f>CONCATENATE(D4,D5,E4)</f>
        <v>AkbarAdiW</v>
      </c>
      <c r="I4" s="7"/>
      <c r="J4" s="7" t="str">
        <f>VLOOKUP(D4,Stats!B:B,1,0)</f>
        <v>Akbar</v>
      </c>
    </row>
    <row r="5" spans="1:10" x14ac:dyDescent="0.25">
      <c r="A5" s="22"/>
      <c r="B5" s="6" t="str">
        <f>CONCATENATE($D5,((COUNTIFS($D:$D,$D5)-COUNTIF($D$3:$D5,$D5))+1))</f>
        <v>Adi32</v>
      </c>
      <c r="C5" s="6">
        <v>45321</v>
      </c>
      <c r="D5" t="s">
        <v>47</v>
      </c>
      <c r="E5" t="s">
        <v>72</v>
      </c>
      <c r="F5" s="32" t="str">
        <f>CONCATENATE(D3,D6,E3)</f>
        <v>SizweFilipW</v>
      </c>
      <c r="G5" t="str">
        <f>CONCATENATE(D4,D6,E4)</f>
        <v>AkbarFilipW</v>
      </c>
      <c r="H5" t="str">
        <f>CONCATENATE(D5,D6,E5)</f>
        <v>AdiFilipW</v>
      </c>
      <c r="I5" s="7"/>
      <c r="J5" s="7" t="str">
        <f>VLOOKUP(D5,Stats!B:B,1,0)</f>
        <v>Adi</v>
      </c>
    </row>
    <row r="6" spans="1:10" x14ac:dyDescent="0.25">
      <c r="A6" s="22"/>
      <c r="B6" s="6" t="str">
        <f>CONCATENATE($D6,((COUNTIFS($D:$D,$D6)-COUNTIF($D$3:$D6,$D6))+1))</f>
        <v>Filip11</v>
      </c>
      <c r="C6" s="6">
        <v>45321</v>
      </c>
      <c r="D6" t="s">
        <v>59</v>
      </c>
      <c r="E6" t="s">
        <v>72</v>
      </c>
      <c r="F6" s="32" t="str">
        <f>CONCATENATE(D3,D7,E3)</f>
        <v>SizweWouterW</v>
      </c>
      <c r="G6" t="str">
        <f>CONCATENATE(D4,D7,E4)</f>
        <v>AkbarWouterW</v>
      </c>
      <c r="H6" t="str">
        <f>CONCATENATE(D5,D7,E5)</f>
        <v>AdiWouterW</v>
      </c>
      <c r="I6" s="7" t="str">
        <f>CONCATENATE(D6,D7,E6)</f>
        <v>FilipWouterW</v>
      </c>
      <c r="J6" s="7" t="str">
        <f>VLOOKUP(D6,Stats!B:B,1,0)</f>
        <v>Filip</v>
      </c>
    </row>
    <row r="7" spans="1:10" x14ac:dyDescent="0.25">
      <c r="A7" s="22"/>
      <c r="B7" s="6" t="str">
        <f>CONCATENATE($D7,((COUNTIFS($D:$D,$D7)-COUNTIF($D$3:$D7,$D7))+1))</f>
        <v>Wouter27</v>
      </c>
      <c r="C7" s="6">
        <v>45321</v>
      </c>
      <c r="D7" t="s">
        <v>36</v>
      </c>
      <c r="E7" t="s">
        <v>72</v>
      </c>
      <c r="F7" s="32"/>
      <c r="I7" s="7"/>
      <c r="J7" s="7" t="str">
        <f>VLOOKUP(D7,Stats!B:B,1,0)</f>
        <v>Wouter</v>
      </c>
    </row>
    <row r="8" spans="1:10" x14ac:dyDescent="0.25">
      <c r="A8" s="22"/>
      <c r="B8" s="6" t="str">
        <f>CONCATENATE($D8,((COUNTIFS($D:$D,$D8)-COUNTIF($D$3:$D8,$D8))+1))</f>
        <v>Adam52</v>
      </c>
      <c r="C8" s="6">
        <v>45321</v>
      </c>
      <c r="D8" t="s">
        <v>53</v>
      </c>
      <c r="E8" t="s">
        <v>73</v>
      </c>
      <c r="F8" s="32" t="str">
        <f>CONCATENATE(D8,D9,E8)</f>
        <v>AdamPablo OGL</v>
      </c>
      <c r="I8" s="7"/>
      <c r="J8" s="7" t="str">
        <f>VLOOKUP(D8,Stats!B:B,1,0)</f>
        <v>Adam</v>
      </c>
    </row>
    <row r="9" spans="1:10" x14ac:dyDescent="0.25">
      <c r="A9" s="22"/>
      <c r="B9" s="6" t="str">
        <f>CONCATENATE($D9,((COUNTIFS($D:$D,$D9)-COUNTIF($D$3:$D9,$D9))+1))</f>
        <v>Pablo OG32</v>
      </c>
      <c r="C9" s="6">
        <v>45321</v>
      </c>
      <c r="D9" t="s">
        <v>42</v>
      </c>
      <c r="E9" t="s">
        <v>73</v>
      </c>
      <c r="F9" s="32" t="str">
        <f>CONCATENATE(D8,D10,E8)</f>
        <v>AdamVictorL</v>
      </c>
      <c r="G9" t="str">
        <f>CONCATENATE(D9,D10,E9)</f>
        <v>Pablo OGVictorL</v>
      </c>
      <c r="I9" s="7"/>
      <c r="J9" s="7" t="str">
        <f>VLOOKUP(D9,Stats!B:B,1,0)</f>
        <v>Pablo OG</v>
      </c>
    </row>
    <row r="10" spans="1:10" x14ac:dyDescent="0.25">
      <c r="A10" s="22"/>
      <c r="B10" s="6" t="str">
        <f>CONCATENATE($D10,((COUNTIFS($D:$D,$D10)-COUNTIF($D$3:$D10,$D10))+1))</f>
        <v>Victor26</v>
      </c>
      <c r="C10" s="6">
        <v>45321</v>
      </c>
      <c r="D10" t="s">
        <v>31</v>
      </c>
      <c r="E10" t="s">
        <v>73</v>
      </c>
      <c r="F10" s="32" t="str">
        <f>CONCATENATE(D8,D11,E8)</f>
        <v>AdamGianlucaL</v>
      </c>
      <c r="G10" t="str">
        <f>CONCATENATE(D9,D11,E9)</f>
        <v>Pablo OGGianlucaL</v>
      </c>
      <c r="H10" t="str">
        <f>CONCATENATE(D10,D11,E10)</f>
        <v>VictorGianlucaL</v>
      </c>
      <c r="I10" s="7"/>
      <c r="J10" s="7" t="str">
        <f>VLOOKUP(D10,Stats!B:B,1,0)</f>
        <v>Victor</v>
      </c>
    </row>
    <row r="11" spans="1:10" x14ac:dyDescent="0.25">
      <c r="A11" s="22"/>
      <c r="B11" s="6" t="str">
        <f>CONCATENATE($D11,((COUNTIFS($D:$D,$D11)-COUNTIF($D$3:$D11,$D11))+1))</f>
        <v>Gianluca2</v>
      </c>
      <c r="C11" s="6">
        <v>45321</v>
      </c>
      <c r="D11" t="s">
        <v>30</v>
      </c>
      <c r="E11" t="s">
        <v>73</v>
      </c>
      <c r="F11" s="32" t="str">
        <f>CONCATENATE(D8,D12,E8)</f>
        <v>AdamMaartenL</v>
      </c>
      <c r="G11" t="str">
        <f>CONCATENATE(D9,D12,E9)</f>
        <v>Pablo OGMaartenL</v>
      </c>
      <c r="H11" t="str">
        <f>CONCATENATE(D10,D12,E10)</f>
        <v>VictorMaartenL</v>
      </c>
      <c r="I11" s="7" t="str">
        <f>CONCATENATE(D11,D12,E11)</f>
        <v>GianlucaMaartenL</v>
      </c>
      <c r="J11" s="7" t="str">
        <f>VLOOKUP(D11,Stats!B:B,1,0)</f>
        <v>Gianluca</v>
      </c>
    </row>
    <row r="12" spans="1:10" x14ac:dyDescent="0.25">
      <c r="A12" s="22"/>
      <c r="B12" s="8" t="str">
        <f>CONCATENATE($D12,((COUNTIFS($D:$D,$D12)-COUNTIF($D$3:$D12,$D12))+1))</f>
        <v>Maarten36</v>
      </c>
      <c r="C12" s="8">
        <v>45321</v>
      </c>
      <c r="D12" s="2" t="s">
        <v>58</v>
      </c>
      <c r="E12" s="2" t="s">
        <v>73</v>
      </c>
      <c r="F12" s="13"/>
      <c r="G12" s="2"/>
      <c r="H12" s="2"/>
      <c r="I12" s="9"/>
      <c r="J12" s="9" t="str">
        <f>VLOOKUP(D12,Stats!B:B,1,0)</f>
        <v>Maarten</v>
      </c>
    </row>
    <row r="13" spans="1:10" x14ac:dyDescent="0.25">
      <c r="A13" s="22"/>
      <c r="B13" s="3" t="str">
        <f>CONCATENATE($D13,((COUNTIFS($D:$D,$D13)-COUNTIF($D$3:$D13,$D13))+1))</f>
        <v>Victor25</v>
      </c>
      <c r="C13" s="3">
        <v>45328</v>
      </c>
      <c r="D13" s="4" t="s">
        <v>31</v>
      </c>
      <c r="E13" s="4" t="s">
        <v>72</v>
      </c>
      <c r="F13" s="32" t="str">
        <f>CONCATENATE(D13,D14,E13)</f>
        <v>VictorJayW</v>
      </c>
      <c r="I13" s="5"/>
      <c r="J13" s="5" t="str">
        <f>VLOOKUP(D13,Stats!B:B,1,0)</f>
        <v>Victor</v>
      </c>
    </row>
    <row r="14" spans="1:10" x14ac:dyDescent="0.25">
      <c r="A14" s="22"/>
      <c r="B14" s="6" t="str">
        <f>CONCATENATE($D14,((COUNTIFS($D:$D,$D14)-COUNTIF($D$3:$D14,$D14))+1))</f>
        <v>Jay10</v>
      </c>
      <c r="C14" s="6">
        <v>45328</v>
      </c>
      <c r="D14" t="s">
        <v>60</v>
      </c>
      <c r="E14" t="s">
        <v>72</v>
      </c>
      <c r="F14" s="32" t="str">
        <f>CONCATENATE(D13,D15,E13)</f>
        <v>VictorAdiW</v>
      </c>
      <c r="G14" t="str">
        <f>CONCATENATE(D14,D15,E14)</f>
        <v>JayAdiW</v>
      </c>
      <c r="I14" s="7"/>
      <c r="J14" s="7" t="str">
        <f>VLOOKUP(D14,Stats!B:B,1,0)</f>
        <v>Jay</v>
      </c>
    </row>
    <row r="15" spans="1:10" x14ac:dyDescent="0.25">
      <c r="A15" s="22"/>
      <c r="B15" s="6" t="str">
        <f>CONCATENATE($D15,((COUNTIFS($D:$D,$D15)-COUNTIF($D$3:$D15,$D15))+1))</f>
        <v>Adi31</v>
      </c>
      <c r="C15" s="6">
        <v>45328</v>
      </c>
      <c r="D15" t="s">
        <v>47</v>
      </c>
      <c r="E15" t="s">
        <v>72</v>
      </c>
      <c r="F15" s="32" t="str">
        <f>CONCATENATE(D13,D16,E13)</f>
        <v>VictorWouterW</v>
      </c>
      <c r="G15" t="str">
        <f>CONCATENATE(D14,D16,E14)</f>
        <v>JayWouterW</v>
      </c>
      <c r="H15" t="str">
        <f>CONCATENATE(D15,D16,E15)</f>
        <v>AdiWouterW</v>
      </c>
      <c r="I15" s="7"/>
      <c r="J15" s="7" t="str">
        <f>VLOOKUP(D15,Stats!B:B,1,0)</f>
        <v>Adi</v>
      </c>
    </row>
    <row r="16" spans="1:10" x14ac:dyDescent="0.25">
      <c r="A16" s="22"/>
      <c r="B16" s="6" t="str">
        <f>CONCATENATE($D16,((COUNTIFS($D:$D,$D16)-COUNTIF($D$3:$D16,$D16))+1))</f>
        <v>Wouter26</v>
      </c>
      <c r="C16" s="6">
        <v>45328</v>
      </c>
      <c r="D16" t="s">
        <v>36</v>
      </c>
      <c r="E16" t="s">
        <v>72</v>
      </c>
      <c r="F16" s="32" t="str">
        <f>CONCATENATE(D13,D17,E13)</f>
        <v>VictorSizweW</v>
      </c>
      <c r="G16" t="str">
        <f>CONCATENATE(D14,D17,E14)</f>
        <v>JaySizweW</v>
      </c>
      <c r="H16" t="str">
        <f>CONCATENATE(D15,D17,E15)</f>
        <v>AdiSizweW</v>
      </c>
      <c r="I16" s="7" t="str">
        <f>CONCATENATE(D16,D17,E16)</f>
        <v>WouterSizweW</v>
      </c>
      <c r="J16" s="7" t="str">
        <f>VLOOKUP(D16,Stats!B:B,1,0)</f>
        <v>Wouter</v>
      </c>
    </row>
    <row r="17" spans="1:10" x14ac:dyDescent="0.25">
      <c r="A17" s="22"/>
      <c r="B17" s="6" t="str">
        <f>CONCATENATE($D17,((COUNTIFS($D:$D,$D17)-COUNTIF($D$3:$D17,$D17))+1))</f>
        <v>Sizwe32</v>
      </c>
      <c r="C17" s="6">
        <v>45328</v>
      </c>
      <c r="D17" t="s">
        <v>44</v>
      </c>
      <c r="E17" t="s">
        <v>72</v>
      </c>
      <c r="F17" s="32"/>
      <c r="I17" s="7"/>
      <c r="J17" s="7" t="str">
        <f>VLOOKUP(D17,Stats!B:B,1,0)</f>
        <v>Sizwe</v>
      </c>
    </row>
    <row r="18" spans="1:10" x14ac:dyDescent="0.25">
      <c r="A18" s="22"/>
      <c r="B18" s="6" t="str">
        <f>CONCATENATE($D18,((COUNTIFS($D:$D,$D18)-COUNTIF($D$3:$D18,$D18))+1))</f>
        <v>Michiel3</v>
      </c>
      <c r="C18" s="6">
        <v>45328</v>
      </c>
      <c r="D18" t="s">
        <v>51</v>
      </c>
      <c r="E18" t="s">
        <v>73</v>
      </c>
      <c r="F18" s="32" t="str">
        <f>CONCATENATE(D18,D19,E18)</f>
        <v>MichielFilipL</v>
      </c>
      <c r="I18" s="7"/>
      <c r="J18" s="7" t="str">
        <f>VLOOKUP(D18,Stats!B:B,1,0)</f>
        <v>Michiel</v>
      </c>
    </row>
    <row r="19" spans="1:10" x14ac:dyDescent="0.25">
      <c r="A19" s="22"/>
      <c r="B19" s="6" t="str">
        <f>CONCATENATE($D19,((COUNTIFS($D:$D,$D19)-COUNTIF($D$3:$D19,$D19))+1))</f>
        <v>Filip10</v>
      </c>
      <c r="C19" s="6">
        <v>45328</v>
      </c>
      <c r="D19" t="s">
        <v>59</v>
      </c>
      <c r="E19" t="s">
        <v>73</v>
      </c>
      <c r="F19" s="32" t="str">
        <f>CONCATENATE(D18,D20,E18)</f>
        <v>MichielPablo OGL</v>
      </c>
      <c r="G19" t="str">
        <f>CONCATENATE(D19,D20,E19)</f>
        <v>FilipPablo OGL</v>
      </c>
      <c r="I19" s="7"/>
      <c r="J19" s="7" t="str">
        <f>VLOOKUP(D19,Stats!B:B,1,0)</f>
        <v>Filip</v>
      </c>
    </row>
    <row r="20" spans="1:10" x14ac:dyDescent="0.25">
      <c r="A20" s="22"/>
      <c r="B20" s="6" t="str">
        <f>CONCATENATE($D20,((COUNTIFS($D:$D,$D20)-COUNTIF($D$3:$D20,$D20))+1))</f>
        <v>Pablo OG31</v>
      </c>
      <c r="C20" s="6">
        <v>45328</v>
      </c>
      <c r="D20" t="s">
        <v>42</v>
      </c>
      <c r="E20" t="s">
        <v>73</v>
      </c>
      <c r="F20" s="32" t="str">
        <f>CONCATENATE(D18,D21,E18)</f>
        <v>MichielBishoyL</v>
      </c>
      <c r="G20" t="str">
        <f>CONCATENATE(D19,D21,E19)</f>
        <v>FilipBishoyL</v>
      </c>
      <c r="H20" t="str">
        <f>CONCATENATE(D20,D21,E20)</f>
        <v>Pablo OGBishoyL</v>
      </c>
      <c r="I20" s="7"/>
      <c r="J20" s="7" t="str">
        <f>VLOOKUP(D20,Stats!B:B,1,0)</f>
        <v>Pablo OG</v>
      </c>
    </row>
    <row r="21" spans="1:10" x14ac:dyDescent="0.25">
      <c r="A21" s="22"/>
      <c r="B21" s="6" t="str">
        <f>CONCATENATE($D21,((COUNTIFS($D:$D,$D21)-COUNTIF($D$3:$D21,$D21))+1))</f>
        <v>Bishoy33</v>
      </c>
      <c r="C21" s="6">
        <v>45328</v>
      </c>
      <c r="D21" t="s">
        <v>61</v>
      </c>
      <c r="E21" t="s">
        <v>73</v>
      </c>
      <c r="F21" s="32" t="str">
        <f>CONCATENATE(D18,D22,E18)</f>
        <v>MichielDobroL</v>
      </c>
      <c r="G21" t="str">
        <f>CONCATENATE(D19,D22,E19)</f>
        <v>FilipDobroL</v>
      </c>
      <c r="H21" t="str">
        <f>CONCATENATE(D20,D22,E20)</f>
        <v>Pablo OGDobroL</v>
      </c>
      <c r="I21" s="7" t="str">
        <f>CONCATENATE(D21,D22,E21)</f>
        <v>BishoyDobroL</v>
      </c>
      <c r="J21" s="7" t="str">
        <f>VLOOKUP(D21,Stats!B:B,1,0)</f>
        <v>Bishoy</v>
      </c>
    </row>
    <row r="22" spans="1:10" x14ac:dyDescent="0.25">
      <c r="A22" s="22"/>
      <c r="B22" s="8" t="str">
        <f>CONCATENATE($D22,((COUNTIFS($D:$D,$D22)-COUNTIF($D$3:$D22,$D22))+1))</f>
        <v>Dobro37</v>
      </c>
      <c r="C22" s="8">
        <v>45328</v>
      </c>
      <c r="D22" s="2" t="s">
        <v>35</v>
      </c>
      <c r="E22" s="2" t="s">
        <v>73</v>
      </c>
      <c r="F22" s="13"/>
      <c r="G22" s="2"/>
      <c r="H22" s="2"/>
      <c r="I22" s="9"/>
      <c r="J22" s="9" t="str">
        <f>VLOOKUP(D22,Stats!B:B,1,0)</f>
        <v>Dobro</v>
      </c>
    </row>
    <row r="23" spans="1:10" x14ac:dyDescent="0.25">
      <c r="A23" s="22"/>
      <c r="B23" s="3" t="str">
        <f>CONCATENATE($D23,((COUNTIFS($D:$D,$D23)-COUNTIF($D$3:$D23,$D23))+1))</f>
        <v>Victor24</v>
      </c>
      <c r="C23" s="3">
        <v>45335</v>
      </c>
      <c r="D23" s="4" t="s">
        <v>31</v>
      </c>
      <c r="E23" s="4" t="s">
        <v>72</v>
      </c>
      <c r="F23" s="32" t="str">
        <f>CONCATENATE(D23,D24,E23)</f>
        <v>VictorTchiW</v>
      </c>
      <c r="I23" s="5"/>
      <c r="J23" s="5" t="str">
        <f>VLOOKUP(D23,Stats!B:B,1,0)</f>
        <v>Victor</v>
      </c>
    </row>
    <row r="24" spans="1:10" x14ac:dyDescent="0.25">
      <c r="A24" s="22"/>
      <c r="B24" s="6" t="str">
        <f>CONCATENATE($D24,((COUNTIFS($D:$D,$D24)-COUNTIF($D$3:$D24,$D24))+1))</f>
        <v>Tchi25</v>
      </c>
      <c r="C24" s="6">
        <v>45335</v>
      </c>
      <c r="D24" t="s">
        <v>37</v>
      </c>
      <c r="E24" t="s">
        <v>72</v>
      </c>
      <c r="F24" s="32" t="str">
        <f>CONCATENATE(D23,D25,E23)</f>
        <v>VictorJayW</v>
      </c>
      <c r="G24" t="str">
        <f>CONCATENATE(D24,D25,E24)</f>
        <v>TchiJayW</v>
      </c>
      <c r="I24" s="7"/>
      <c r="J24" s="7" t="str">
        <f>VLOOKUP(D24,Stats!B:B,1,0)</f>
        <v>Tchi</v>
      </c>
    </row>
    <row r="25" spans="1:10" x14ac:dyDescent="0.25">
      <c r="A25" s="22"/>
      <c r="B25" s="6" t="str">
        <f>CONCATENATE($D25,((COUNTIFS($D:$D,$D25)-COUNTIF($D$3:$D25,$D25))+1))</f>
        <v>Jay9</v>
      </c>
      <c r="C25" s="6">
        <v>45335</v>
      </c>
      <c r="D25" t="s">
        <v>60</v>
      </c>
      <c r="E25" t="s">
        <v>72</v>
      </c>
      <c r="F25" s="32" t="str">
        <f>CONCATENATE(D23,D26,E23)</f>
        <v>VictorAdamW</v>
      </c>
      <c r="G25" t="str">
        <f>CONCATENATE(D24,D26,E24)</f>
        <v>TchiAdamW</v>
      </c>
      <c r="H25" t="str">
        <f>CONCATENATE(D25,D26,E25)</f>
        <v>JayAdamW</v>
      </c>
      <c r="I25" s="7"/>
      <c r="J25" s="7" t="str">
        <f>VLOOKUP(D25,Stats!B:B,1,0)</f>
        <v>Jay</v>
      </c>
    </row>
    <row r="26" spans="1:10" x14ac:dyDescent="0.25">
      <c r="A26" s="22"/>
      <c r="B26" s="6" t="str">
        <f>CONCATENATE($D26,((COUNTIFS($D:$D,$D26)-COUNTIF($D$3:$D26,$D26))+1))</f>
        <v>Adam51</v>
      </c>
      <c r="C26" s="6">
        <v>45335</v>
      </c>
      <c r="D26" t="s">
        <v>53</v>
      </c>
      <c r="E26" t="s">
        <v>72</v>
      </c>
      <c r="F26" s="32" t="str">
        <f>CONCATENATE(D23,D27,E23)</f>
        <v>VictorMaartenW</v>
      </c>
      <c r="G26" t="str">
        <f>CONCATENATE(D24,D27,E24)</f>
        <v>TchiMaartenW</v>
      </c>
      <c r="H26" t="str">
        <f>CONCATENATE(D25,D27,E25)</f>
        <v>JayMaartenW</v>
      </c>
      <c r="I26" s="7" t="str">
        <f>CONCATENATE(D26,D27,E26)</f>
        <v>AdamMaartenW</v>
      </c>
      <c r="J26" s="7" t="str">
        <f>VLOOKUP(D26,Stats!B:B,1,0)</f>
        <v>Adam</v>
      </c>
    </row>
    <row r="27" spans="1:10" x14ac:dyDescent="0.25">
      <c r="A27" s="22"/>
      <c r="B27" s="6" t="str">
        <f>CONCATENATE($D27,((COUNTIFS($D:$D,$D27)-COUNTIF($D$3:$D27,$D27))+1))</f>
        <v>Maarten35</v>
      </c>
      <c r="C27" s="6">
        <v>45335</v>
      </c>
      <c r="D27" t="s">
        <v>58</v>
      </c>
      <c r="E27" t="s">
        <v>72</v>
      </c>
      <c r="F27" s="32"/>
      <c r="I27" s="7"/>
      <c r="J27" s="7" t="str">
        <f>VLOOKUP(D27,Stats!B:B,1,0)</f>
        <v>Maarten</v>
      </c>
    </row>
    <row r="28" spans="1:10" x14ac:dyDescent="0.25">
      <c r="A28" s="22"/>
      <c r="B28" s="6" t="str">
        <f>CONCATENATE($D28,((COUNTIFS($D:$D,$D28)-COUNTIF($D$3:$D28,$D28))+1))</f>
        <v>Bishoy32</v>
      </c>
      <c r="C28" s="6">
        <v>45335</v>
      </c>
      <c r="D28" t="s">
        <v>61</v>
      </c>
      <c r="E28" t="s">
        <v>73</v>
      </c>
      <c r="F28" s="32" t="str">
        <f>CONCATENATE(D28,D29,E28)</f>
        <v>BishoyAkbarL</v>
      </c>
      <c r="I28" s="7"/>
      <c r="J28" s="7" t="str">
        <f>VLOOKUP(D28,Stats!B:B,1,0)</f>
        <v>Bishoy</v>
      </c>
    </row>
    <row r="29" spans="1:10" x14ac:dyDescent="0.25">
      <c r="A29" s="22"/>
      <c r="B29" s="6" t="str">
        <f>CONCATENATE($D29,((COUNTIFS($D:$D,$D29)-COUNTIF($D$3:$D29,$D29))+1))</f>
        <v>Akbar26</v>
      </c>
      <c r="C29" s="6">
        <v>45335</v>
      </c>
      <c r="D29" t="s">
        <v>54</v>
      </c>
      <c r="E29" t="s">
        <v>73</v>
      </c>
      <c r="F29" s="32" t="str">
        <f>CONCATENATE(D28,D30,E28)</f>
        <v>BishoySizweL</v>
      </c>
      <c r="G29" t="str">
        <f>CONCATENATE(D29,D30,E29)</f>
        <v>AkbarSizweL</v>
      </c>
      <c r="I29" s="7"/>
      <c r="J29" s="7" t="str">
        <f>VLOOKUP(D29,Stats!B:B,1,0)</f>
        <v>Akbar</v>
      </c>
    </row>
    <row r="30" spans="1:10" x14ac:dyDescent="0.25">
      <c r="A30" s="22"/>
      <c r="B30" s="6" t="str">
        <f>CONCATENATE($D30,((COUNTIFS($D:$D,$D30)-COUNTIF($D$3:$D30,$D30))+1))</f>
        <v>Sizwe31</v>
      </c>
      <c r="C30" s="6">
        <v>45335</v>
      </c>
      <c r="D30" t="s">
        <v>44</v>
      </c>
      <c r="E30" t="s">
        <v>73</v>
      </c>
      <c r="F30" s="32" t="str">
        <f>CONCATENATE(D28,D31,E28)</f>
        <v>BishoyDobroL</v>
      </c>
      <c r="G30" t="str">
        <f>CONCATENATE(D29,D31,E29)</f>
        <v>AkbarDobroL</v>
      </c>
      <c r="H30" t="str">
        <f>CONCATENATE(D30,D31,E30)</f>
        <v>SizweDobroL</v>
      </c>
      <c r="I30" s="7"/>
      <c r="J30" s="7" t="str">
        <f>VLOOKUP(D30,Stats!B:B,1,0)</f>
        <v>Sizwe</v>
      </c>
    </row>
    <row r="31" spans="1:10" x14ac:dyDescent="0.25">
      <c r="A31" s="22"/>
      <c r="B31" s="6" t="str">
        <f>CONCATENATE($D31,((COUNTIFS($D:$D,$D31)-COUNTIF($D$3:$D31,$D31))+1))</f>
        <v>Dobro36</v>
      </c>
      <c r="C31" s="6">
        <v>45335</v>
      </c>
      <c r="D31" t="s">
        <v>35</v>
      </c>
      <c r="E31" t="s">
        <v>73</v>
      </c>
      <c r="F31" s="32" t="str">
        <f>CONCATENATE(D28,D32,E28)</f>
        <v>BishoyLucaL</v>
      </c>
      <c r="G31" t="str">
        <f>CONCATENATE(D29,D32,E29)</f>
        <v>AkbarLucaL</v>
      </c>
      <c r="H31" t="str">
        <f>CONCATENATE(D30,D32,E30)</f>
        <v>SizweLucaL</v>
      </c>
      <c r="I31" s="7" t="str">
        <f>CONCATENATE(D31,D32,E31)</f>
        <v>DobroLucaL</v>
      </c>
      <c r="J31" s="7" t="str">
        <f>VLOOKUP(D31,Stats!B:B,1,0)</f>
        <v>Dobro</v>
      </c>
    </row>
    <row r="32" spans="1:10" x14ac:dyDescent="0.25">
      <c r="A32" s="22"/>
      <c r="B32" s="8" t="str">
        <f>CONCATENATE($D32,((COUNTIFS($D:$D,$D32)-COUNTIF($D$3:$D32,$D32))+1))</f>
        <v>Luca35</v>
      </c>
      <c r="C32" s="8">
        <v>45335</v>
      </c>
      <c r="D32" s="2" t="s">
        <v>46</v>
      </c>
      <c r="E32" s="2" t="s">
        <v>73</v>
      </c>
      <c r="F32" s="13"/>
      <c r="G32" s="2"/>
      <c r="H32" s="2"/>
      <c r="I32" s="9"/>
      <c r="J32" s="9" t="str">
        <f>VLOOKUP(D32,Stats!B:B,1,0)</f>
        <v>Luca</v>
      </c>
    </row>
    <row r="33" spans="1:10" x14ac:dyDescent="0.25">
      <c r="A33" s="22"/>
      <c r="B33" s="3" t="str">
        <f>CONCATENATE($D33,((COUNTIFS($D:$D,$D33)-COUNTIF($D$3:$D33,$D33))+1))</f>
        <v>Adam50</v>
      </c>
      <c r="C33" s="3">
        <v>45337</v>
      </c>
      <c r="D33" s="4" t="s">
        <v>53</v>
      </c>
      <c r="E33" s="4" t="s">
        <v>72</v>
      </c>
      <c r="F33" s="32" t="str">
        <f>CONCATENATE(D33,D34,E33)</f>
        <v>AdamPablo PW</v>
      </c>
      <c r="I33" s="5"/>
      <c r="J33" s="5" t="str">
        <f>VLOOKUP(D33,Stats!B:B,1,0)</f>
        <v>Adam</v>
      </c>
    </row>
    <row r="34" spans="1:10" x14ac:dyDescent="0.25">
      <c r="A34" s="22"/>
      <c r="B34" s="6" t="str">
        <f>CONCATENATE($D34,((COUNTIFS($D:$D,$D34)-COUNTIF($D$3:$D34,$D34))+1))</f>
        <v>Pablo P11</v>
      </c>
      <c r="C34" s="6">
        <v>45337</v>
      </c>
      <c r="D34" t="s">
        <v>48</v>
      </c>
      <c r="E34" t="s">
        <v>72</v>
      </c>
      <c r="F34" s="32" t="str">
        <f>CONCATENATE(D33,D35,E33)</f>
        <v>AdamMarcoW</v>
      </c>
      <c r="G34" t="str">
        <f>CONCATENATE(D34,D35,E34)</f>
        <v>Pablo PMarcoW</v>
      </c>
      <c r="I34" s="7"/>
      <c r="J34" s="7" t="str">
        <f>VLOOKUP(D34,Stats!B:B,1,0)</f>
        <v>Pablo P</v>
      </c>
    </row>
    <row r="35" spans="1:10" x14ac:dyDescent="0.25">
      <c r="A35" s="22"/>
      <c r="B35" s="6" t="str">
        <f>CONCATENATE($D35,((COUNTIFS($D:$D,$D35)-COUNTIF($D$3:$D35,$D35))+1))</f>
        <v>Marco7</v>
      </c>
      <c r="C35" s="6">
        <v>45337</v>
      </c>
      <c r="D35" t="s">
        <v>38</v>
      </c>
      <c r="E35" t="s">
        <v>72</v>
      </c>
      <c r="F35" s="32" t="str">
        <f>CONCATENATE(D33,D36,E33)</f>
        <v>AdamVictorW</v>
      </c>
      <c r="G35" t="str">
        <f>CONCATENATE(D34,D36,E34)</f>
        <v>Pablo PVictorW</v>
      </c>
      <c r="H35" t="str">
        <f>CONCATENATE(D35,D36,E35)</f>
        <v>MarcoVictorW</v>
      </c>
      <c r="I35" s="7"/>
      <c r="J35" s="7" t="str">
        <f>VLOOKUP(D35,Stats!B:B,1,0)</f>
        <v>Marco</v>
      </c>
    </row>
    <row r="36" spans="1:10" x14ac:dyDescent="0.25">
      <c r="A36" s="22"/>
      <c r="B36" s="6" t="str">
        <f>CONCATENATE($D36,((COUNTIFS($D:$D,$D36)-COUNTIF($D$3:$D36,$D36))+1))</f>
        <v>Victor23</v>
      </c>
      <c r="C36" s="6">
        <v>45337</v>
      </c>
      <c r="D36" t="s">
        <v>31</v>
      </c>
      <c r="E36" t="s">
        <v>72</v>
      </c>
      <c r="F36" s="32" t="str">
        <f>CONCATENATE(D33,D37,E33)</f>
        <v>AdamAlexW</v>
      </c>
      <c r="G36" t="str">
        <f>CONCATENATE(D34,D37,E34)</f>
        <v>Pablo PAlexW</v>
      </c>
      <c r="H36" t="str">
        <f>CONCATENATE(D35,D37,E35)</f>
        <v>MarcoAlexW</v>
      </c>
      <c r="I36" s="7" t="str">
        <f>CONCATENATE(D36,D37,E36)</f>
        <v>VictorAlexW</v>
      </c>
      <c r="J36" s="7" t="str">
        <f>VLOOKUP(D36,Stats!B:B,1,0)</f>
        <v>Victor</v>
      </c>
    </row>
    <row r="37" spans="1:10" x14ac:dyDescent="0.25">
      <c r="A37" s="22"/>
      <c r="B37" s="6" t="str">
        <f>CONCATENATE($D37,((COUNTIFS($D:$D,$D37)-COUNTIF($D$3:$D37,$D37))+1))</f>
        <v>Alex5</v>
      </c>
      <c r="C37" s="6">
        <v>45337</v>
      </c>
      <c r="D37" t="s">
        <v>18</v>
      </c>
      <c r="E37" t="s">
        <v>72</v>
      </c>
      <c r="F37" s="32"/>
      <c r="I37" s="7"/>
      <c r="J37" s="7" t="str">
        <f>VLOOKUP(D37,Stats!B:B,1,0)</f>
        <v>Alex</v>
      </c>
    </row>
    <row r="38" spans="1:10" x14ac:dyDescent="0.25">
      <c r="A38" s="22"/>
      <c r="B38" s="6" t="str">
        <f>CONCATENATE($D38,((COUNTIFS($D:$D,$D38)-COUNTIF($D$3:$D38,$D38))+1))</f>
        <v>Giosafat5</v>
      </c>
      <c r="C38" s="6">
        <v>45337</v>
      </c>
      <c r="D38" t="s">
        <v>56</v>
      </c>
      <c r="E38" t="s">
        <v>73</v>
      </c>
      <c r="F38" s="32" t="str">
        <f>CONCATENATE(D38,D39,E38)</f>
        <v>GiosafatGianlucaL</v>
      </c>
      <c r="I38" s="7"/>
      <c r="J38" s="7" t="str">
        <f>VLOOKUP(D38,Stats!B:B,1,0)</f>
        <v>Giosafat</v>
      </c>
    </row>
    <row r="39" spans="1:10" x14ac:dyDescent="0.25">
      <c r="A39" s="22"/>
      <c r="B39" s="6" t="str">
        <f>CONCATENATE($D39,((COUNTIFS($D:$D,$D39)-COUNTIF($D$3:$D39,$D39))+1))</f>
        <v>Gianluca1</v>
      </c>
      <c r="C39" s="6">
        <v>45337</v>
      </c>
      <c r="D39" t="s">
        <v>30</v>
      </c>
      <c r="E39" t="s">
        <v>73</v>
      </c>
      <c r="F39" s="32" t="str">
        <f>CONCATENATE(D38,D40,E38)</f>
        <v>GiosafatSanderoL</v>
      </c>
      <c r="G39" t="str">
        <f>CONCATENATE(D39,D40,E39)</f>
        <v>GianlucaSanderoL</v>
      </c>
      <c r="I39" s="7"/>
      <c r="J39" s="7" t="str">
        <f>VLOOKUP(D39,Stats!B:B,1,0)</f>
        <v>Gianluca</v>
      </c>
    </row>
    <row r="40" spans="1:10" x14ac:dyDescent="0.25">
      <c r="A40" s="22"/>
      <c r="B40" s="6" t="str">
        <f>CONCATENATE($D40,((COUNTIFS($D:$D,$D40)-COUNTIF($D$3:$D40,$D40))+1))</f>
        <v>Sandero12</v>
      </c>
      <c r="C40" s="6">
        <v>45337</v>
      </c>
      <c r="D40" t="s">
        <v>57</v>
      </c>
      <c r="E40" t="s">
        <v>73</v>
      </c>
      <c r="F40" s="32" t="str">
        <f>CONCATENATE(D38,D41,E38)</f>
        <v>GiosafatGiovanniL</v>
      </c>
      <c r="G40" t="str">
        <f>CONCATENATE(D39,D41,E39)</f>
        <v>GianlucaGiovanniL</v>
      </c>
      <c r="H40" t="str">
        <f>CONCATENATE(D40,D41,E40)</f>
        <v>SanderoGiovanniL</v>
      </c>
      <c r="I40" s="7"/>
      <c r="J40" s="7" t="str">
        <f>VLOOKUP(D40,Stats!B:B,1,0)</f>
        <v>Sandero</v>
      </c>
    </row>
    <row r="41" spans="1:10" x14ac:dyDescent="0.25">
      <c r="A41" s="22"/>
      <c r="B41" s="6" t="str">
        <f>CONCATENATE($D41,((COUNTIFS($D:$D,$D41)-COUNTIF($D$3:$D41,$D41))+1))</f>
        <v>Giovanni38</v>
      </c>
      <c r="C41" s="6">
        <v>45337</v>
      </c>
      <c r="D41" t="s">
        <v>45</v>
      </c>
      <c r="E41" t="s">
        <v>73</v>
      </c>
      <c r="F41" s="32" t="str">
        <f>CONCATENATE(D38,D42,E38)</f>
        <v>GiosafatMaartenL</v>
      </c>
      <c r="G41" t="str">
        <f>CONCATENATE(D39,D42,E39)</f>
        <v>GianlucaMaartenL</v>
      </c>
      <c r="H41" t="str">
        <f>CONCATENATE(D40,D42,E40)</f>
        <v>SanderoMaartenL</v>
      </c>
      <c r="I41" s="7" t="str">
        <f>CONCATENATE(D41,D42,E41)</f>
        <v>GiovanniMaartenL</v>
      </c>
      <c r="J41" s="7" t="str">
        <f>VLOOKUP(D41,Stats!B:B,1,0)</f>
        <v>Giovanni</v>
      </c>
    </row>
    <row r="42" spans="1:10" x14ac:dyDescent="0.25">
      <c r="A42" s="22"/>
      <c r="B42" s="8" t="str">
        <f>CONCATENATE($D42,((COUNTIFS($D:$D,$D42)-COUNTIF($D$3:$D42,$D42))+1))</f>
        <v>Maarten34</v>
      </c>
      <c r="C42" s="8">
        <v>45337</v>
      </c>
      <c r="D42" s="2" t="s">
        <v>58</v>
      </c>
      <c r="E42" s="2" t="s">
        <v>73</v>
      </c>
      <c r="F42" s="13"/>
      <c r="G42" s="2"/>
      <c r="H42" s="2"/>
      <c r="I42" s="9"/>
      <c r="J42" s="9" t="str">
        <f>VLOOKUP(D42,Stats!B:B,1,0)</f>
        <v>Maarten</v>
      </c>
    </row>
    <row r="43" spans="1:10" x14ac:dyDescent="0.25">
      <c r="A43" s="22"/>
      <c r="B43" s="3" t="str">
        <f>CONCATENATE($D43,((COUNTIFS($D:$D,$D43)-COUNTIF($D$3:$D43,$D43))+1))</f>
        <v>Victor22</v>
      </c>
      <c r="C43" s="3">
        <v>45342</v>
      </c>
      <c r="D43" s="4" t="s">
        <v>31</v>
      </c>
      <c r="E43" s="4" t="s">
        <v>72</v>
      </c>
      <c r="F43" s="32" t="str">
        <f>CONCATENATE(D43,D44,E43)</f>
        <v>VictorLucaW</v>
      </c>
      <c r="I43" s="5"/>
      <c r="J43" s="5" t="str">
        <f>VLOOKUP(D43,Stats!B:B,1,0)</f>
        <v>Victor</v>
      </c>
    </row>
    <row r="44" spans="1:10" x14ac:dyDescent="0.25">
      <c r="A44" s="22"/>
      <c r="B44" s="6" t="str">
        <f>CONCATENATE($D44,((COUNTIFS($D:$D,$D44)-COUNTIF($D$3:$D44,$D44))+1))</f>
        <v>Luca34</v>
      </c>
      <c r="C44" s="6">
        <v>45342</v>
      </c>
      <c r="D44" t="s">
        <v>46</v>
      </c>
      <c r="E44" t="s">
        <v>72</v>
      </c>
      <c r="F44" s="32" t="str">
        <f>CONCATENATE(D43,D45,E43)</f>
        <v>VictorGiovanniW</v>
      </c>
      <c r="G44" t="str">
        <f>CONCATENATE(D44,D45,E44)</f>
        <v>LucaGiovanniW</v>
      </c>
      <c r="I44" s="7"/>
      <c r="J44" s="7" t="str">
        <f>VLOOKUP(D44,Stats!B:B,1,0)</f>
        <v>Luca</v>
      </c>
    </row>
    <row r="45" spans="1:10" x14ac:dyDescent="0.25">
      <c r="A45" s="22"/>
      <c r="B45" s="6" t="str">
        <f>CONCATENATE($D45,((COUNTIFS($D:$D,$D45)-COUNTIF($D$3:$D45,$D45))+1))</f>
        <v>Giovanni37</v>
      </c>
      <c r="C45" s="6">
        <v>45342</v>
      </c>
      <c r="D45" t="s">
        <v>45</v>
      </c>
      <c r="E45" t="s">
        <v>72</v>
      </c>
      <c r="F45" s="32" t="str">
        <f>CONCATENATE(D43,D46,E43)</f>
        <v>VictorAdamW</v>
      </c>
      <c r="G45" t="str">
        <f>CONCATENATE(D44,D46,E44)</f>
        <v>LucaAdamW</v>
      </c>
      <c r="H45" t="str">
        <f>CONCATENATE(D45,D46,E45)</f>
        <v>GiovanniAdamW</v>
      </c>
      <c r="I45" s="7"/>
      <c r="J45" s="7" t="str">
        <f>VLOOKUP(D45,Stats!B:B,1,0)</f>
        <v>Giovanni</v>
      </c>
    </row>
    <row r="46" spans="1:10" x14ac:dyDescent="0.25">
      <c r="A46" s="22"/>
      <c r="B46" s="6" t="str">
        <f>CONCATENATE($D46,((COUNTIFS($D:$D,$D46)-COUNTIF($D$3:$D46,$D46))+1))</f>
        <v>Adam49</v>
      </c>
      <c r="C46" s="6">
        <v>45342</v>
      </c>
      <c r="D46" t="s">
        <v>53</v>
      </c>
      <c r="E46" t="s">
        <v>72</v>
      </c>
      <c r="F46" s="32" t="str">
        <f>CONCATENATE(D43,D47,E43)</f>
        <v>VictorWouterW</v>
      </c>
      <c r="G46" t="str">
        <f>CONCATENATE(D44,D47,E44)</f>
        <v>LucaWouterW</v>
      </c>
      <c r="H46" t="str">
        <f>CONCATENATE(D45,D47,E45)</f>
        <v>GiovanniWouterW</v>
      </c>
      <c r="I46" s="7" t="str">
        <f>CONCATENATE(D46,D47,E46)</f>
        <v>AdamWouterW</v>
      </c>
      <c r="J46" s="7" t="str">
        <f>VLOOKUP(D46,Stats!B:B,1,0)</f>
        <v>Adam</v>
      </c>
    </row>
    <row r="47" spans="1:10" x14ac:dyDescent="0.25">
      <c r="A47" s="22"/>
      <c r="B47" s="6" t="str">
        <f>CONCATENATE($D47,((COUNTIFS($D:$D,$D47)-COUNTIF($D$3:$D47,$D47))+1))</f>
        <v>Wouter25</v>
      </c>
      <c r="C47" s="6">
        <v>45342</v>
      </c>
      <c r="D47" t="s">
        <v>36</v>
      </c>
      <c r="E47" t="s">
        <v>72</v>
      </c>
      <c r="F47" s="32"/>
      <c r="I47" s="7"/>
      <c r="J47" s="7" t="str">
        <f>VLOOKUP(D47,Stats!B:B,1,0)</f>
        <v>Wouter</v>
      </c>
    </row>
    <row r="48" spans="1:10" x14ac:dyDescent="0.25">
      <c r="A48" s="22"/>
      <c r="B48" s="6" t="str">
        <f>CONCATENATE($D48,((COUNTIFS($D:$D,$D48)-COUNTIF($D$3:$D48,$D48))+1))</f>
        <v>Dobro35</v>
      </c>
      <c r="C48" s="6">
        <v>45342</v>
      </c>
      <c r="D48" t="s">
        <v>35</v>
      </c>
      <c r="E48" t="s">
        <v>73</v>
      </c>
      <c r="F48" s="32" t="str">
        <f>CONCATENATE(D48,D49,E48)</f>
        <v>DobroAkbarL</v>
      </c>
      <c r="I48" s="7"/>
      <c r="J48" s="7" t="str">
        <f>VLOOKUP(D48,Stats!B:B,1,0)</f>
        <v>Dobro</v>
      </c>
    </row>
    <row r="49" spans="1:10" x14ac:dyDescent="0.25">
      <c r="A49" s="22"/>
      <c r="B49" s="6" t="str">
        <f>CONCATENATE($D49,((COUNTIFS($D:$D,$D49)-COUNTIF($D$3:$D49,$D49))+1))</f>
        <v>Akbar25</v>
      </c>
      <c r="C49" s="6">
        <v>45342</v>
      </c>
      <c r="D49" t="s">
        <v>54</v>
      </c>
      <c r="E49" t="s">
        <v>73</v>
      </c>
      <c r="F49" s="32" t="str">
        <f>CONCATENATE(D48,D50,E48)</f>
        <v>DobroAdiL</v>
      </c>
      <c r="G49" t="str">
        <f>CONCATENATE(D49,D50,E49)</f>
        <v>AkbarAdiL</v>
      </c>
      <c r="I49" s="7"/>
      <c r="J49" s="7" t="str">
        <f>VLOOKUP(D49,Stats!B:B,1,0)</f>
        <v>Akbar</v>
      </c>
    </row>
    <row r="50" spans="1:10" x14ac:dyDescent="0.25">
      <c r="A50" s="22"/>
      <c r="B50" s="6" t="str">
        <f>CONCATENATE($D50,((COUNTIFS($D:$D,$D50)-COUNTIF($D$3:$D50,$D50))+1))</f>
        <v>Adi30</v>
      </c>
      <c r="C50" s="6">
        <v>45342</v>
      </c>
      <c r="D50" t="s">
        <v>47</v>
      </c>
      <c r="E50" t="s">
        <v>73</v>
      </c>
      <c r="F50" s="32" t="str">
        <f>CONCATENATE(D48,D51,E48)</f>
        <v>DobroOnurL</v>
      </c>
      <c r="G50" t="str">
        <f>CONCATENATE(D49,D51,E49)</f>
        <v>AkbarOnurL</v>
      </c>
      <c r="H50" t="str">
        <f>CONCATENATE(D50,D51,E50)</f>
        <v>AdiOnurL</v>
      </c>
      <c r="I50" s="7"/>
      <c r="J50" s="7" t="str">
        <f>VLOOKUP(D50,Stats!B:B,1,0)</f>
        <v>Adi</v>
      </c>
    </row>
    <row r="51" spans="1:10" x14ac:dyDescent="0.25">
      <c r="A51" s="22"/>
      <c r="B51" s="6" t="str">
        <f>CONCATENATE($D51,((COUNTIFS($D:$D,$D51)-COUNTIF($D$3:$D51,$D51))+1))</f>
        <v>Onur10</v>
      </c>
      <c r="C51" s="6">
        <v>45342</v>
      </c>
      <c r="D51" t="s">
        <v>39</v>
      </c>
      <c r="E51" t="s">
        <v>73</v>
      </c>
      <c r="F51" s="32" t="str">
        <f>CONCATENATE(D48,D52,E48)</f>
        <v>DobroFilipL</v>
      </c>
      <c r="G51" t="str">
        <f>CONCATENATE(D49,D52,E49)</f>
        <v>AkbarFilipL</v>
      </c>
      <c r="H51" t="str">
        <f>CONCATENATE(D50,D52,E50)</f>
        <v>AdiFilipL</v>
      </c>
      <c r="I51" s="7" t="str">
        <f>CONCATENATE(D51,D52,E51)</f>
        <v>OnurFilipL</v>
      </c>
      <c r="J51" s="7" t="str">
        <f>VLOOKUP(D51,Stats!B:B,1,0)</f>
        <v>Onur</v>
      </c>
    </row>
    <row r="52" spans="1:10" x14ac:dyDescent="0.25">
      <c r="A52" s="22"/>
      <c r="B52" s="8" t="str">
        <f>CONCATENATE($D52,((COUNTIFS($D:$D,$D52)-COUNTIF($D$3:$D52,$D52))+1))</f>
        <v>Filip9</v>
      </c>
      <c r="C52" s="8">
        <v>45342</v>
      </c>
      <c r="D52" s="2" t="s">
        <v>59</v>
      </c>
      <c r="E52" s="2" t="s">
        <v>73</v>
      </c>
      <c r="F52" s="13"/>
      <c r="G52" s="2"/>
      <c r="H52" s="2"/>
      <c r="I52" s="9"/>
      <c r="J52" s="9" t="str">
        <f>VLOOKUP(D52,Stats!B:B,1,0)</f>
        <v>Filip</v>
      </c>
    </row>
    <row r="53" spans="1:10" x14ac:dyDescent="0.25">
      <c r="A53" s="22"/>
      <c r="B53" s="3" t="str">
        <f>CONCATENATE($D53,((COUNTIFS($D:$D,$D53)-COUNTIF($D$3:$D53,$D53))+1))</f>
        <v>Victor21</v>
      </c>
      <c r="C53" s="3">
        <v>45349</v>
      </c>
      <c r="D53" s="4" t="s">
        <v>31</v>
      </c>
      <c r="E53" s="4" t="s">
        <v>72</v>
      </c>
      <c r="F53" s="32" t="str">
        <f>CONCATENATE(D53,D54,E53)</f>
        <v>VictorOnurW</v>
      </c>
      <c r="I53" s="5"/>
      <c r="J53" s="5" t="str">
        <f>VLOOKUP(D53,Stats!B:B,1,0)</f>
        <v>Victor</v>
      </c>
    </row>
    <row r="54" spans="1:10" x14ac:dyDescent="0.25">
      <c r="A54" s="22"/>
      <c r="B54" s="6" t="str">
        <f>CONCATENATE($D54,((COUNTIFS($D:$D,$D54)-COUNTIF($D$3:$D54,$D54))+1))</f>
        <v>Onur9</v>
      </c>
      <c r="C54" s="6">
        <v>45349</v>
      </c>
      <c r="D54" t="s">
        <v>39</v>
      </c>
      <c r="E54" t="s">
        <v>72</v>
      </c>
      <c r="F54" s="32" t="str">
        <f>CONCATENATE(D53,D55,E53)</f>
        <v>VictorAkbarW</v>
      </c>
      <c r="G54" t="str">
        <f>CONCATENATE(D54,D55,E54)</f>
        <v>OnurAkbarW</v>
      </c>
      <c r="I54" s="7"/>
      <c r="J54" s="7" t="str">
        <f>VLOOKUP(D54,Stats!B:B,1,0)</f>
        <v>Onur</v>
      </c>
    </row>
    <row r="55" spans="1:10" x14ac:dyDescent="0.25">
      <c r="A55" s="22"/>
      <c r="B55" s="6" t="str">
        <f>CONCATENATE($D55,((COUNTIFS($D:$D,$D55)-COUNTIF($D$3:$D55,$D55))+1))</f>
        <v>Akbar24</v>
      </c>
      <c r="C55" s="6">
        <v>45349</v>
      </c>
      <c r="D55" t="s">
        <v>54</v>
      </c>
      <c r="E55" t="s">
        <v>72</v>
      </c>
      <c r="F55" s="32" t="str">
        <f>CONCATENATE(D53,D56,E53)</f>
        <v>VictorTchiW</v>
      </c>
      <c r="G55" t="str">
        <f>CONCATENATE(D54,D56,E54)</f>
        <v>OnurTchiW</v>
      </c>
      <c r="H55" t="str">
        <f>CONCATENATE(D55,D56,E55)</f>
        <v>AkbarTchiW</v>
      </c>
      <c r="I55" s="7"/>
      <c r="J55" s="7" t="str">
        <f>VLOOKUP(D55,Stats!B:B,1,0)</f>
        <v>Akbar</v>
      </c>
    </row>
    <row r="56" spans="1:10" x14ac:dyDescent="0.25">
      <c r="A56" s="22"/>
      <c r="B56" s="6" t="str">
        <f>CONCATENATE($D56,((COUNTIFS($D:$D,$D56)-COUNTIF($D$3:$D56,$D56))+1))</f>
        <v>Tchi24</v>
      </c>
      <c r="C56" s="6">
        <v>45349</v>
      </c>
      <c r="D56" t="s">
        <v>37</v>
      </c>
      <c r="E56" t="s">
        <v>72</v>
      </c>
      <c r="F56" s="32" t="str">
        <f>CONCATENATE(D53,D57,E53)</f>
        <v>VictorLucaW</v>
      </c>
      <c r="G56" t="str">
        <f>CONCATENATE(D54,D57,E54)</f>
        <v>OnurLucaW</v>
      </c>
      <c r="H56" t="str">
        <f>CONCATENATE(D55,D57,E55)</f>
        <v>AkbarLucaW</v>
      </c>
      <c r="I56" s="7" t="str">
        <f>CONCATENATE(D56,D57,E56)</f>
        <v>TchiLucaW</v>
      </c>
      <c r="J56" s="7" t="str">
        <f>VLOOKUP(D56,Stats!B:B,1,0)</f>
        <v>Tchi</v>
      </c>
    </row>
    <row r="57" spans="1:10" x14ac:dyDescent="0.25">
      <c r="A57" s="22"/>
      <c r="B57" s="6" t="str">
        <f>CONCATENATE($D57,((COUNTIFS($D:$D,$D57)-COUNTIF($D$3:$D57,$D57))+1))</f>
        <v>Luca33</v>
      </c>
      <c r="C57" s="6">
        <v>45349</v>
      </c>
      <c r="D57" t="s">
        <v>46</v>
      </c>
      <c r="E57" t="s">
        <v>72</v>
      </c>
      <c r="F57" s="32"/>
      <c r="I57" s="7"/>
      <c r="J57" s="7" t="str">
        <f>VLOOKUP(D57,Stats!B:B,1,0)</f>
        <v>Luca</v>
      </c>
    </row>
    <row r="58" spans="1:10" x14ac:dyDescent="0.25">
      <c r="A58" s="22"/>
      <c r="B58" s="6" t="str">
        <f>CONCATENATE($D58,((COUNTIFS($D:$D,$D58)-COUNTIF($D$3:$D58,$D58))+1))</f>
        <v>Giovanni36</v>
      </c>
      <c r="C58" s="6">
        <v>45349</v>
      </c>
      <c r="D58" t="s">
        <v>45</v>
      </c>
      <c r="E58" t="s">
        <v>73</v>
      </c>
      <c r="F58" s="32" t="str">
        <f>CONCATENATE(D58,D59,E58)</f>
        <v>GiovanniAdamL</v>
      </c>
      <c r="I58" s="7"/>
      <c r="J58" s="7" t="str">
        <f>VLOOKUP(D58,Stats!B:B,1,0)</f>
        <v>Giovanni</v>
      </c>
    </row>
    <row r="59" spans="1:10" x14ac:dyDescent="0.25">
      <c r="A59" s="22"/>
      <c r="B59" s="6" t="str">
        <f>CONCATENATE($D59,((COUNTIFS($D:$D,$D59)-COUNTIF($D$3:$D59,$D59))+1))</f>
        <v>Adam48</v>
      </c>
      <c r="C59" s="6">
        <v>45349</v>
      </c>
      <c r="D59" t="s">
        <v>53</v>
      </c>
      <c r="E59" t="s">
        <v>73</v>
      </c>
      <c r="F59" s="32" t="str">
        <f>CONCATENATE(D58,D60,E58)</f>
        <v>GiovanniGiosafatL</v>
      </c>
      <c r="G59" t="str">
        <f>CONCATENATE(D59,D60,E59)</f>
        <v>AdamGiosafatL</v>
      </c>
      <c r="I59" s="7"/>
      <c r="J59" s="7" t="str">
        <f>VLOOKUP(D59,Stats!B:B,1,0)</f>
        <v>Adam</v>
      </c>
    </row>
    <row r="60" spans="1:10" x14ac:dyDescent="0.25">
      <c r="A60" s="22"/>
      <c r="B60" s="6" t="str">
        <f>CONCATENATE($D60,((COUNTIFS($D:$D,$D60)-COUNTIF($D$3:$D60,$D60))+1))</f>
        <v>Giosafat4</v>
      </c>
      <c r="C60" s="6">
        <v>45349</v>
      </c>
      <c r="D60" t="s">
        <v>56</v>
      </c>
      <c r="E60" t="s">
        <v>73</v>
      </c>
      <c r="F60" s="32" t="str">
        <f>CONCATENATE(D58,D61,E58)</f>
        <v>GiovanniSizweL</v>
      </c>
      <c r="G60" t="str">
        <f>CONCATENATE(D59,D61,E59)</f>
        <v>AdamSizweL</v>
      </c>
      <c r="H60" t="str">
        <f>CONCATENATE(D60,D61,E60)</f>
        <v>GiosafatSizweL</v>
      </c>
      <c r="I60" s="7"/>
      <c r="J60" s="7" t="str">
        <f>VLOOKUP(D60,Stats!B:B,1,0)</f>
        <v>Giosafat</v>
      </c>
    </row>
    <row r="61" spans="1:10" x14ac:dyDescent="0.25">
      <c r="A61" s="22"/>
      <c r="B61" s="6" t="str">
        <f>CONCATENATE($D61,((COUNTIFS($D:$D,$D61)-COUNTIF($D$3:$D61,$D61))+1))</f>
        <v>Sizwe30</v>
      </c>
      <c r="C61" s="6">
        <v>45349</v>
      </c>
      <c r="D61" t="s">
        <v>44</v>
      </c>
      <c r="E61" t="s">
        <v>73</v>
      </c>
      <c r="F61" s="32" t="str">
        <f>CONCATENATE(D58,D62,E58)</f>
        <v>GiovanniAdiL</v>
      </c>
      <c r="G61" t="str">
        <f>CONCATENATE(D59,D62,E59)</f>
        <v>AdamAdiL</v>
      </c>
      <c r="H61" t="str">
        <f>CONCATENATE(D60,D62,E60)</f>
        <v>GiosafatAdiL</v>
      </c>
      <c r="I61" s="7" t="str">
        <f>CONCATENATE(D61,D62,E61)</f>
        <v>SizweAdiL</v>
      </c>
      <c r="J61" s="7" t="str">
        <f>VLOOKUP(D61,Stats!B:B,1,0)</f>
        <v>Sizwe</v>
      </c>
    </row>
    <row r="62" spans="1:10" x14ac:dyDescent="0.25">
      <c r="A62" s="22"/>
      <c r="B62" s="8" t="str">
        <f>CONCATENATE($D62,((COUNTIFS($D:$D,$D62)-COUNTIF($D$3:$D62,$D62))+1))</f>
        <v>Adi29</v>
      </c>
      <c r="C62" s="8">
        <v>45349</v>
      </c>
      <c r="D62" s="2" t="s">
        <v>47</v>
      </c>
      <c r="E62" s="2" t="s">
        <v>73</v>
      </c>
      <c r="F62" s="13"/>
      <c r="G62" s="2"/>
      <c r="H62" s="2"/>
      <c r="I62" s="9"/>
      <c r="J62" s="9" t="str">
        <f>VLOOKUP(D62,Stats!B:B,1,0)</f>
        <v>Adi</v>
      </c>
    </row>
    <row r="63" spans="1:10" x14ac:dyDescent="0.25">
      <c r="A63" s="22"/>
      <c r="B63" s="3" t="str">
        <f>CONCATENATE($D63,((COUNTIFS($D:$D,$D63)-COUNTIF($D$3:$D63,$D63))+1))</f>
        <v>Giosafat3</v>
      </c>
      <c r="C63" s="3">
        <f>C53+2</f>
        <v>45351</v>
      </c>
      <c r="D63" s="4" t="s">
        <v>56</v>
      </c>
      <c r="E63" s="4" t="s">
        <v>72</v>
      </c>
      <c r="F63" s="32" t="str">
        <f>CONCATENATE(D63,D64,E63)</f>
        <v>GiosafatSizweW</v>
      </c>
      <c r="I63" s="5"/>
      <c r="J63" s="5" t="str">
        <f>VLOOKUP(D63,Stats!B:B,1,0)</f>
        <v>Giosafat</v>
      </c>
    </row>
    <row r="64" spans="1:10" x14ac:dyDescent="0.25">
      <c r="A64" s="22"/>
      <c r="B64" s="6" t="str">
        <f>CONCATENATE($D64,((COUNTIFS($D:$D,$D64)-COUNTIF($D$3:$D64,$D64))+1))</f>
        <v>Sizwe29</v>
      </c>
      <c r="C64" s="6">
        <f t="shared" ref="C64:C72" si="0">C54+2</f>
        <v>45351</v>
      </c>
      <c r="D64" t="s">
        <v>44</v>
      </c>
      <c r="E64" t="s">
        <v>72</v>
      </c>
      <c r="F64" s="32" t="str">
        <f>CONCATENATE(D63,D65,E63)</f>
        <v>GiosafatPablo OGW</v>
      </c>
      <c r="G64" t="str">
        <f>CONCATENATE(D64,D65,E64)</f>
        <v>SizwePablo OGW</v>
      </c>
      <c r="I64" s="7"/>
      <c r="J64" s="7" t="str">
        <f>VLOOKUP(D64,Stats!B:B,1,0)</f>
        <v>Sizwe</v>
      </c>
    </row>
    <row r="65" spans="1:10" x14ac:dyDescent="0.25">
      <c r="A65" s="22"/>
      <c r="B65" s="6" t="str">
        <f>CONCATENATE($D65,((COUNTIFS($D:$D,$D65)-COUNTIF($D$3:$D65,$D65))+1))</f>
        <v>Pablo OG30</v>
      </c>
      <c r="C65" s="6">
        <f t="shared" si="0"/>
        <v>45351</v>
      </c>
      <c r="D65" t="s">
        <v>42</v>
      </c>
      <c r="E65" t="s">
        <v>72</v>
      </c>
      <c r="F65" s="32" t="str">
        <f>CONCATENATE(D63,D66,E63)</f>
        <v>GiosafatBarisW</v>
      </c>
      <c r="G65" t="str">
        <f>CONCATENATE(D64,D66,E64)</f>
        <v>SizweBarisW</v>
      </c>
      <c r="H65" t="str">
        <f>CONCATENATE(D65,D66,E65)</f>
        <v>Pablo OGBarisW</v>
      </c>
      <c r="I65" s="7"/>
      <c r="J65" s="7" t="str">
        <f>VLOOKUP(D65,Stats!B:B,1,0)</f>
        <v>Pablo OG</v>
      </c>
    </row>
    <row r="66" spans="1:10" x14ac:dyDescent="0.25">
      <c r="A66" s="22"/>
      <c r="B66" s="6" t="str">
        <f>CONCATENATE($D66,((COUNTIFS($D:$D,$D66)-COUNTIF($D$3:$D66,$D66))+1))</f>
        <v>Baris19</v>
      </c>
      <c r="C66" s="6">
        <f t="shared" si="0"/>
        <v>45351</v>
      </c>
      <c r="D66" t="s">
        <v>55</v>
      </c>
      <c r="E66" t="s">
        <v>72</v>
      </c>
      <c r="F66" s="32" t="str">
        <f>CONCATENATE(D63,D67,E63)</f>
        <v>GiosafatMarcoW</v>
      </c>
      <c r="G66" t="str">
        <f>CONCATENATE(D64,D67,E64)</f>
        <v>SizweMarcoW</v>
      </c>
      <c r="H66" t="str">
        <f>CONCATENATE(D65,D67,E65)</f>
        <v>Pablo OGMarcoW</v>
      </c>
      <c r="I66" s="7" t="str">
        <f>CONCATENATE(D66,D67,E66)</f>
        <v>BarisMarcoW</v>
      </c>
      <c r="J66" s="7" t="str">
        <f>VLOOKUP(D66,Stats!B:B,1,0)</f>
        <v>Baris</v>
      </c>
    </row>
    <row r="67" spans="1:10" x14ac:dyDescent="0.25">
      <c r="A67" s="22"/>
      <c r="B67" s="6" t="str">
        <f>CONCATENATE($D67,((COUNTIFS($D:$D,$D67)-COUNTIF($D$3:$D67,$D67))+1))</f>
        <v>Marco6</v>
      </c>
      <c r="C67" s="6">
        <f t="shared" si="0"/>
        <v>45351</v>
      </c>
      <c r="D67" t="s">
        <v>38</v>
      </c>
      <c r="E67" t="s">
        <v>72</v>
      </c>
      <c r="F67" s="32"/>
      <c r="I67" s="7"/>
      <c r="J67" s="7" t="str">
        <f>VLOOKUP(D67,Stats!B:B,1,0)</f>
        <v>Marco</v>
      </c>
    </row>
    <row r="68" spans="1:10" x14ac:dyDescent="0.25">
      <c r="A68" s="22"/>
      <c r="B68" s="6" t="str">
        <f>CONCATENATE($D68,((COUNTIFS($D:$D,$D68)-COUNTIF($D$3:$D68,$D68))+1))</f>
        <v>Adam47</v>
      </c>
      <c r="C68" s="6">
        <f t="shared" si="0"/>
        <v>45351</v>
      </c>
      <c r="D68" t="s">
        <v>53</v>
      </c>
      <c r="E68" t="s">
        <v>73</v>
      </c>
      <c r="F68" s="32" t="str">
        <f>CONCATENATE(D68,D69,E68)</f>
        <v>AdamWouterL</v>
      </c>
      <c r="I68" s="7"/>
      <c r="J68" s="7" t="str">
        <f>VLOOKUP(D68,Stats!B:B,1,0)</f>
        <v>Adam</v>
      </c>
    </row>
    <row r="69" spans="1:10" x14ac:dyDescent="0.25">
      <c r="A69" s="22"/>
      <c r="B69" s="6" t="str">
        <f>CONCATENATE($D69,((COUNTIFS($D:$D,$D69)-COUNTIF($D$3:$D69,$D69))+1))</f>
        <v>Wouter24</v>
      </c>
      <c r="C69" s="6">
        <f t="shared" si="0"/>
        <v>45351</v>
      </c>
      <c r="D69" t="s">
        <v>36</v>
      </c>
      <c r="E69" t="s">
        <v>73</v>
      </c>
      <c r="F69" s="32" t="str">
        <f>CONCATENATE(D68,D70,E68)</f>
        <v>AdamBishoyL</v>
      </c>
      <c r="G69" t="str">
        <f>CONCATENATE(D69,D70,E69)</f>
        <v>WouterBishoyL</v>
      </c>
      <c r="I69" s="7"/>
      <c r="J69" s="7" t="str">
        <f>VLOOKUP(D69,Stats!B:B,1,0)</f>
        <v>Wouter</v>
      </c>
    </row>
    <row r="70" spans="1:10" x14ac:dyDescent="0.25">
      <c r="A70" s="22"/>
      <c r="B70" s="6" t="str">
        <f>CONCATENATE($D70,((COUNTIFS($D:$D,$D70)-COUNTIF($D$3:$D70,$D70))+1))</f>
        <v>Bishoy31</v>
      </c>
      <c r="C70" s="6">
        <f t="shared" si="0"/>
        <v>45351</v>
      </c>
      <c r="D70" t="s">
        <v>61</v>
      </c>
      <c r="E70" t="s">
        <v>73</v>
      </c>
      <c r="F70" s="32" t="str">
        <f>CONCATENATE(D68,D71,E68)</f>
        <v>AdamVictorL</v>
      </c>
      <c r="G70" t="str">
        <f>CONCATENATE(D69,D71,E69)</f>
        <v>WouterVictorL</v>
      </c>
      <c r="H70" t="str">
        <f>CONCATENATE(D70,D71,E70)</f>
        <v>BishoyVictorL</v>
      </c>
      <c r="I70" s="7"/>
      <c r="J70" s="7" t="str">
        <f>VLOOKUP(D70,Stats!B:B,1,0)</f>
        <v>Bishoy</v>
      </c>
    </row>
    <row r="71" spans="1:10" x14ac:dyDescent="0.25">
      <c r="A71" s="22"/>
      <c r="B71" s="6" t="str">
        <f>CONCATENATE($D71,((COUNTIFS($D:$D,$D71)-COUNTIF($D$3:$D71,$D71))+1))</f>
        <v>Victor20</v>
      </c>
      <c r="C71" s="6">
        <f t="shared" si="0"/>
        <v>45351</v>
      </c>
      <c r="D71" t="s">
        <v>31</v>
      </c>
      <c r="E71" t="s">
        <v>73</v>
      </c>
      <c r="F71" s="32" t="str">
        <f>CONCATENATE(D68,D72,E68)</f>
        <v>AdamPablo PL</v>
      </c>
      <c r="G71" t="str">
        <f>CONCATENATE(D69,D72,E69)</f>
        <v>WouterPablo PL</v>
      </c>
      <c r="H71" t="str">
        <f>CONCATENATE(D70,D72,E70)</f>
        <v>BishoyPablo PL</v>
      </c>
      <c r="I71" s="7" t="str">
        <f>CONCATENATE(D71,D72,E71)</f>
        <v>VictorPablo PL</v>
      </c>
      <c r="J71" s="7" t="str">
        <f>VLOOKUP(D71,Stats!B:B,1,0)</f>
        <v>Victor</v>
      </c>
    </row>
    <row r="72" spans="1:10" x14ac:dyDescent="0.25">
      <c r="A72" s="22"/>
      <c r="B72" s="8" t="str">
        <f>CONCATENATE($D72,((COUNTIFS($D:$D,$D72)-COUNTIF($D$3:$D72,$D72))+1))</f>
        <v>Pablo P10</v>
      </c>
      <c r="C72" s="8">
        <f t="shared" si="0"/>
        <v>45351</v>
      </c>
      <c r="D72" s="2" t="s">
        <v>48</v>
      </c>
      <c r="E72" s="2" t="s">
        <v>73</v>
      </c>
      <c r="F72" s="13"/>
      <c r="G72" s="2"/>
      <c r="H72" s="2"/>
      <c r="I72" s="9"/>
      <c r="J72" s="9" t="str">
        <f>VLOOKUP(D72,Stats!B:B,1,0)</f>
        <v>Pablo P</v>
      </c>
    </row>
    <row r="73" spans="1:10" x14ac:dyDescent="0.25">
      <c r="A73" s="22"/>
      <c r="B73" s="3" t="str">
        <f>CONCATENATE($D73,((COUNTIFS($D:$D,$D73)-COUNTIF($D$3:$D73,$D73))+1))</f>
        <v>Victor19</v>
      </c>
      <c r="C73" s="3">
        <f>C63+5</f>
        <v>45356</v>
      </c>
      <c r="D73" s="4" t="s">
        <v>31</v>
      </c>
      <c r="E73" s="4" t="s">
        <v>72</v>
      </c>
      <c r="F73" s="32" t="str">
        <f>CONCATENATE(D73,D74,E73)</f>
        <v>VictorLucaW</v>
      </c>
      <c r="I73" s="5"/>
      <c r="J73" s="5" t="str">
        <f>VLOOKUP(D73,Stats!B:B,1,0)</f>
        <v>Victor</v>
      </c>
    </row>
    <row r="74" spans="1:10" x14ac:dyDescent="0.25">
      <c r="A74" s="22"/>
      <c r="B74" s="6" t="str">
        <f>CONCATENATE($D74,((COUNTIFS($D:$D,$D74)-COUNTIF($D$3:$D74,$D74))+1))</f>
        <v>Luca32</v>
      </c>
      <c r="C74" s="6">
        <f>C73</f>
        <v>45356</v>
      </c>
      <c r="D74" t="s">
        <v>46</v>
      </c>
      <c r="E74" t="s">
        <v>72</v>
      </c>
      <c r="F74" s="32" t="str">
        <f>CONCATENATE(D73,D75,E73)</f>
        <v>VictorAdamW</v>
      </c>
      <c r="G74" t="str">
        <f>CONCATENATE(D74,D75,E74)</f>
        <v>LucaAdamW</v>
      </c>
      <c r="I74" s="7"/>
      <c r="J74" s="7" t="str">
        <f>VLOOKUP(D74,Stats!B:B,1,0)</f>
        <v>Luca</v>
      </c>
    </row>
    <row r="75" spans="1:10" x14ac:dyDescent="0.25">
      <c r="A75" s="22"/>
      <c r="B75" s="6" t="str">
        <f>CONCATENATE($D75,((COUNTIFS($D:$D,$D75)-COUNTIF($D$3:$D75,$D75))+1))</f>
        <v>Adam46</v>
      </c>
      <c r="C75" s="6">
        <f t="shared" ref="C75:C82" si="1">C74</f>
        <v>45356</v>
      </c>
      <c r="D75" t="s">
        <v>53</v>
      </c>
      <c r="E75" t="s">
        <v>72</v>
      </c>
      <c r="F75" s="32" t="str">
        <f>CONCATENATE(D73,D76,E73)</f>
        <v>VictorDobroW</v>
      </c>
      <c r="G75" t="str">
        <f>CONCATENATE(D74,D76,E74)</f>
        <v>LucaDobroW</v>
      </c>
      <c r="H75" t="str">
        <f>CONCATENATE(D75,D76,E75)</f>
        <v>AdamDobroW</v>
      </c>
      <c r="I75" s="7"/>
      <c r="J75" s="7" t="str">
        <f>VLOOKUP(D75,Stats!B:B,1,0)</f>
        <v>Adam</v>
      </c>
    </row>
    <row r="76" spans="1:10" x14ac:dyDescent="0.25">
      <c r="A76" s="22"/>
      <c r="B76" s="6" t="str">
        <f>CONCATENATE($D76,((COUNTIFS($D:$D,$D76)-COUNTIF($D$3:$D76,$D76))+1))</f>
        <v>Dobro34</v>
      </c>
      <c r="C76" s="6">
        <f t="shared" si="1"/>
        <v>45356</v>
      </c>
      <c r="D76" t="s">
        <v>35</v>
      </c>
      <c r="E76" t="s">
        <v>72</v>
      </c>
      <c r="F76" s="32" t="str">
        <f>CONCATENATE(D73,D77,E73)</f>
        <v>VictorSamirW</v>
      </c>
      <c r="G76" t="str">
        <f>CONCATENATE(D74,D77,E74)</f>
        <v>LucaSamirW</v>
      </c>
      <c r="H76" t="str">
        <f>CONCATENATE(D75,D77,E75)</f>
        <v>AdamSamirW</v>
      </c>
      <c r="I76" s="7" t="str">
        <f>CONCATENATE(D76,D77,E76)</f>
        <v>DobroSamirW</v>
      </c>
      <c r="J76" s="7" t="str">
        <f>VLOOKUP(D76,Stats!B:B,1,0)</f>
        <v>Dobro</v>
      </c>
    </row>
    <row r="77" spans="1:10" x14ac:dyDescent="0.25">
      <c r="A77" s="22"/>
      <c r="B77" s="6" t="str">
        <f>CONCATENATE($D77,((COUNTIFS($D:$D,$D77)-COUNTIF($D$3:$D77,$D77))+1))</f>
        <v>Samir3</v>
      </c>
      <c r="C77" s="6">
        <f t="shared" si="1"/>
        <v>45356</v>
      </c>
      <c r="D77" t="s">
        <v>40</v>
      </c>
      <c r="E77" t="s">
        <v>72</v>
      </c>
      <c r="F77" s="32"/>
      <c r="I77" s="7"/>
      <c r="J77" s="7" t="str">
        <f>VLOOKUP(D77,Stats!B:B,1,0)</f>
        <v>Samir</v>
      </c>
    </row>
    <row r="78" spans="1:10" x14ac:dyDescent="0.25">
      <c r="A78" s="22"/>
      <c r="B78" s="6" t="str">
        <f>CONCATENATE($D78,((COUNTIFS($D:$D,$D78)-COUNTIF($D$3:$D78,$D78))+1))</f>
        <v>Filip8</v>
      </c>
      <c r="C78" s="6">
        <f t="shared" si="1"/>
        <v>45356</v>
      </c>
      <c r="D78" t="s">
        <v>59</v>
      </c>
      <c r="E78" t="s">
        <v>73</v>
      </c>
      <c r="F78" s="32" t="str">
        <f>CONCATENATE(D78,D79,E78)</f>
        <v>FilipMaartenL</v>
      </c>
      <c r="I78" s="7"/>
      <c r="J78" s="7" t="str">
        <f>VLOOKUP(D78,Stats!B:B,1,0)</f>
        <v>Filip</v>
      </c>
    </row>
    <row r="79" spans="1:10" x14ac:dyDescent="0.25">
      <c r="A79" s="22"/>
      <c r="B79" s="6" t="str">
        <f>CONCATENATE($D79,((COUNTIFS($D:$D,$D79)-COUNTIF($D$3:$D79,$D79))+1))</f>
        <v>Maarten33</v>
      </c>
      <c r="C79" s="6">
        <f t="shared" si="1"/>
        <v>45356</v>
      </c>
      <c r="D79" t="s">
        <v>58</v>
      </c>
      <c r="E79" t="s">
        <v>73</v>
      </c>
      <c r="F79" s="32" t="str">
        <f>CONCATENATE(D78,D80,E78)</f>
        <v>FilipOnurL</v>
      </c>
      <c r="G79" t="str">
        <f>CONCATENATE(D79,D80,E79)</f>
        <v>MaartenOnurL</v>
      </c>
      <c r="I79" s="7"/>
      <c r="J79" s="7" t="str">
        <f>VLOOKUP(D79,Stats!B:B,1,0)</f>
        <v>Maarten</v>
      </c>
    </row>
    <row r="80" spans="1:10" x14ac:dyDescent="0.25">
      <c r="A80" s="22"/>
      <c r="B80" s="6" t="str">
        <f>CONCATENATE($D80,((COUNTIFS($D:$D,$D80)-COUNTIF($D$3:$D80,$D80))+1))</f>
        <v>Onur8</v>
      </c>
      <c r="C80" s="6">
        <f t="shared" si="1"/>
        <v>45356</v>
      </c>
      <c r="D80" t="s">
        <v>39</v>
      </c>
      <c r="E80" t="s">
        <v>73</v>
      </c>
      <c r="F80" s="32" t="str">
        <f>CONCATENATE(D78,D81,E78)</f>
        <v>FilipAdiL</v>
      </c>
      <c r="G80" t="str">
        <f>CONCATENATE(D79,D81,E79)</f>
        <v>MaartenAdiL</v>
      </c>
      <c r="H80" t="str">
        <f>CONCATENATE(D80,D81,E80)</f>
        <v>OnurAdiL</v>
      </c>
      <c r="I80" s="7"/>
      <c r="J80" s="7" t="str">
        <f>VLOOKUP(D80,Stats!B:B,1,0)</f>
        <v>Onur</v>
      </c>
    </row>
    <row r="81" spans="1:10" x14ac:dyDescent="0.25">
      <c r="A81" s="22"/>
      <c r="B81" s="6" t="str">
        <f>CONCATENATE($D81,((COUNTIFS($D:$D,$D81)-COUNTIF($D$3:$D81,$D81))+1))</f>
        <v>Adi28</v>
      </c>
      <c r="C81" s="6">
        <f t="shared" si="1"/>
        <v>45356</v>
      </c>
      <c r="D81" t="s">
        <v>47</v>
      </c>
      <c r="E81" t="s">
        <v>73</v>
      </c>
      <c r="F81" s="32" t="str">
        <f>CONCATENATE(D78,D82,E78)</f>
        <v>FilipGiovanniL</v>
      </c>
      <c r="G81" t="str">
        <f>CONCATENATE(D79,D82,E79)</f>
        <v>MaartenGiovanniL</v>
      </c>
      <c r="H81" t="str">
        <f>CONCATENATE(D80,D82,E80)</f>
        <v>OnurGiovanniL</v>
      </c>
      <c r="I81" s="7" t="str">
        <f>CONCATENATE(D81,D82,E81)</f>
        <v>AdiGiovanniL</v>
      </c>
      <c r="J81" s="7" t="str">
        <f>VLOOKUP(D81,Stats!B:B,1,0)</f>
        <v>Adi</v>
      </c>
    </row>
    <row r="82" spans="1:10" x14ac:dyDescent="0.25">
      <c r="A82" s="22"/>
      <c r="B82" s="8" t="str">
        <f>CONCATENATE($D82,((COUNTIFS($D:$D,$D82)-COUNTIF($D$3:$D82,$D82))+1))</f>
        <v>Giovanni35</v>
      </c>
      <c r="C82" s="8">
        <f t="shared" si="1"/>
        <v>45356</v>
      </c>
      <c r="D82" s="2" t="s">
        <v>45</v>
      </c>
      <c r="E82" s="2" t="s">
        <v>73</v>
      </c>
      <c r="F82" s="13"/>
      <c r="G82" s="2"/>
      <c r="H82" s="2"/>
      <c r="I82" s="9"/>
      <c r="J82" s="9" t="str">
        <f>VLOOKUP(D82,Stats!B:B,1,0)</f>
        <v>Giovanni</v>
      </c>
    </row>
    <row r="83" spans="1:10" x14ac:dyDescent="0.25">
      <c r="A83" s="22"/>
      <c r="B83" s="3" t="str">
        <f>CONCATENATE($D83,((COUNTIFS($D:$D,$D83)-COUNTIF($D$3:$D83,$D83))+1))</f>
        <v>Victor18</v>
      </c>
      <c r="C83" s="3">
        <f>C73+2</f>
        <v>45358</v>
      </c>
      <c r="D83" s="4" t="s">
        <v>31</v>
      </c>
      <c r="E83" s="4" t="s">
        <v>72</v>
      </c>
      <c r="F83" s="32" t="str">
        <f>CONCATENATE(D83,D84,E83)</f>
        <v>VictorAdamW</v>
      </c>
      <c r="I83" s="5"/>
      <c r="J83" s="5" t="str">
        <f>VLOOKUP(D83,Stats!B:B,1,0)</f>
        <v>Victor</v>
      </c>
    </row>
    <row r="84" spans="1:10" x14ac:dyDescent="0.25">
      <c r="A84" s="22"/>
      <c r="B84" s="6" t="str">
        <f>CONCATENATE($D84,((COUNTIFS($D:$D,$D84)-COUNTIF($D$3:$D84,$D84))+1))</f>
        <v>Adam45</v>
      </c>
      <c r="C84" s="6">
        <f>C83</f>
        <v>45358</v>
      </c>
      <c r="D84" t="s">
        <v>53</v>
      </c>
      <c r="E84" t="s">
        <v>72</v>
      </c>
      <c r="F84" s="32" t="str">
        <f>CONCATENATE(D83,D85,E83)</f>
        <v>VictorSizweW</v>
      </c>
      <c r="G84" t="str">
        <f>CONCATENATE(D84,D85,E84)</f>
        <v>AdamSizweW</v>
      </c>
      <c r="I84" s="7"/>
      <c r="J84" s="7" t="str">
        <f>VLOOKUP(D84,Stats!B:B,1,0)</f>
        <v>Adam</v>
      </c>
    </row>
    <row r="85" spans="1:10" x14ac:dyDescent="0.25">
      <c r="A85" s="22"/>
      <c r="B85" s="6" t="str">
        <f>CONCATENATE($D85,((COUNTIFS($D:$D,$D85)-COUNTIF($D$3:$D85,$D85))+1))</f>
        <v>Sizwe28</v>
      </c>
      <c r="C85" s="6">
        <f t="shared" ref="C85:C91" si="2">C84</f>
        <v>45358</v>
      </c>
      <c r="D85" t="s">
        <v>44</v>
      </c>
      <c r="E85" t="s">
        <v>72</v>
      </c>
      <c r="F85" s="32" t="str">
        <f>CONCATENATE(D83,D86,E83)</f>
        <v>VictorGiovanniW</v>
      </c>
      <c r="G85" t="str">
        <f>CONCATENATE(D84,D86,E84)</f>
        <v>AdamGiovanniW</v>
      </c>
      <c r="H85" t="str">
        <f>CONCATENATE(D85,D86,E85)</f>
        <v>SizweGiovanniW</v>
      </c>
      <c r="I85" s="7"/>
      <c r="J85" s="7" t="str">
        <f>VLOOKUP(D85,Stats!B:B,1,0)</f>
        <v>Sizwe</v>
      </c>
    </row>
    <row r="86" spans="1:10" x14ac:dyDescent="0.25">
      <c r="A86" s="22"/>
      <c r="B86" s="6" t="str">
        <f>CONCATENATE($D86,((COUNTIFS($D:$D,$D86)-COUNTIF($D$3:$D86,$D86))+1))</f>
        <v>Giovanni34</v>
      </c>
      <c r="C86" s="6">
        <f t="shared" si="2"/>
        <v>45358</v>
      </c>
      <c r="D86" t="s">
        <v>45</v>
      </c>
      <c r="E86" t="s">
        <v>72</v>
      </c>
      <c r="F86" s="32" t="str">
        <f>CONCATENATE(D83,D87,E83)</f>
        <v>VictorTchiW</v>
      </c>
      <c r="G86" t="str">
        <f>CONCATENATE(D84,D87,E84)</f>
        <v>AdamTchiW</v>
      </c>
      <c r="H86" t="str">
        <f>CONCATENATE(D85,D87,E85)</f>
        <v>SizweTchiW</v>
      </c>
      <c r="I86" s="7" t="str">
        <f>CONCATENATE(D86,D87,E86)</f>
        <v>GiovanniTchiW</v>
      </c>
      <c r="J86" s="7" t="str">
        <f>VLOOKUP(D86,Stats!B:B,1,0)</f>
        <v>Giovanni</v>
      </c>
    </row>
    <row r="87" spans="1:10" x14ac:dyDescent="0.25">
      <c r="A87" s="22"/>
      <c r="B87" s="6" t="str">
        <f>CONCATENATE($D87,((COUNTIFS($D:$D,$D87)-COUNTIF($D$3:$D87,$D87))+1))</f>
        <v>Tchi23</v>
      </c>
      <c r="C87" s="6">
        <f t="shared" si="2"/>
        <v>45358</v>
      </c>
      <c r="D87" t="s">
        <v>37</v>
      </c>
      <c r="E87" t="s">
        <v>72</v>
      </c>
      <c r="F87" s="32"/>
      <c r="I87" s="7"/>
      <c r="J87" s="7" t="str">
        <f>VLOOKUP(D87,Stats!B:B,1,0)</f>
        <v>Tchi</v>
      </c>
    </row>
    <row r="88" spans="1:10" x14ac:dyDescent="0.25">
      <c r="A88" s="22"/>
      <c r="B88" s="6" t="str">
        <f>CONCATENATE($D88,((COUNTIFS($D:$D,$D88)-COUNTIF($D$3:$D88,$D88))+1))</f>
        <v>Wouter23</v>
      </c>
      <c r="C88" s="6">
        <f t="shared" si="2"/>
        <v>45358</v>
      </c>
      <c r="D88" t="s">
        <v>36</v>
      </c>
      <c r="E88" t="s">
        <v>73</v>
      </c>
      <c r="F88" s="32" t="str">
        <f>CONCATENATE(D88,D89,E88)</f>
        <v>WouterPablo PL</v>
      </c>
      <c r="I88" s="7"/>
      <c r="J88" s="7" t="str">
        <f>VLOOKUP(D88,Stats!B:B,1,0)</f>
        <v>Wouter</v>
      </c>
    </row>
    <row r="89" spans="1:10" x14ac:dyDescent="0.25">
      <c r="A89" s="22"/>
      <c r="B89" s="6" t="str">
        <f>CONCATENATE($D89,((COUNTIFS($D:$D,$D89)-COUNTIF($D$3:$D89,$D89))+1))</f>
        <v>Pablo P9</v>
      </c>
      <c r="C89" s="6">
        <f t="shared" si="2"/>
        <v>45358</v>
      </c>
      <c r="D89" t="s">
        <v>48</v>
      </c>
      <c r="E89" t="s">
        <v>73</v>
      </c>
      <c r="F89" s="32" t="str">
        <f>CONCATENATE(D88,D90,E88)</f>
        <v>WouterAkbarL</v>
      </c>
      <c r="G89" t="str">
        <f>CONCATENATE(D89,D90,E89)</f>
        <v>Pablo PAkbarL</v>
      </c>
      <c r="I89" s="7"/>
      <c r="J89" s="7" t="str">
        <f>VLOOKUP(D89,Stats!B:B,1,0)</f>
        <v>Pablo P</v>
      </c>
    </row>
    <row r="90" spans="1:10" x14ac:dyDescent="0.25">
      <c r="A90" s="22"/>
      <c r="B90" s="6" t="str">
        <f>CONCATENATE($D90,((COUNTIFS($D:$D,$D90)-COUNTIF($D$3:$D90,$D90))+1))</f>
        <v>Akbar23</v>
      </c>
      <c r="C90" s="6">
        <f t="shared" si="2"/>
        <v>45358</v>
      </c>
      <c r="D90" t="s">
        <v>54</v>
      </c>
      <c r="E90" t="s">
        <v>73</v>
      </c>
      <c r="F90" s="32" t="str">
        <f>CONCATENATE(D88,D91,E88)</f>
        <v>WouterMaartenL</v>
      </c>
      <c r="G90" t="str">
        <f>CONCATENATE(D89,D91,E89)</f>
        <v>Pablo PMaartenL</v>
      </c>
      <c r="H90" t="str">
        <f>CONCATENATE(D90,D91,E90)</f>
        <v>AkbarMaartenL</v>
      </c>
      <c r="I90" s="7"/>
      <c r="J90" s="7" t="str">
        <f>VLOOKUP(D90,Stats!B:B,1,0)</f>
        <v>Akbar</v>
      </c>
    </row>
    <row r="91" spans="1:10" x14ac:dyDescent="0.25">
      <c r="A91" s="22"/>
      <c r="B91" s="6" t="str">
        <f>CONCATENATE($D91,((COUNTIFS($D:$D,$D91)-COUNTIF($D$3:$D91,$D91))+1))</f>
        <v>Maarten32</v>
      </c>
      <c r="C91" s="6">
        <f t="shared" si="2"/>
        <v>45358</v>
      </c>
      <c r="D91" t="s">
        <v>58</v>
      </c>
      <c r="E91" t="s">
        <v>73</v>
      </c>
      <c r="F91" s="32" t="str">
        <f>CONCATENATE(D88,D92,E88)</f>
        <v>WouterMarcoL</v>
      </c>
      <c r="G91" t="str">
        <f>CONCATENATE(D89,D92,E89)</f>
        <v>Pablo PMarcoL</v>
      </c>
      <c r="H91" t="str">
        <f>CONCATENATE(D90,D92,E90)</f>
        <v>AkbarMarcoL</v>
      </c>
      <c r="I91" s="7" t="str">
        <f>CONCATENATE(D91,D92,E91)</f>
        <v>MaartenMarcoL</v>
      </c>
      <c r="J91" s="7" t="str">
        <f>VLOOKUP(D91,Stats!B:B,1,0)</f>
        <v>Maarten</v>
      </c>
    </row>
    <row r="92" spans="1:10" x14ac:dyDescent="0.25">
      <c r="A92" s="22"/>
      <c r="B92" s="8" t="str">
        <f>CONCATENATE($D92,((COUNTIFS($D:$D,$D92)-COUNTIF($D$3:$D92,$D92))+1))</f>
        <v>Marco5</v>
      </c>
      <c r="C92" s="8">
        <f>C91</f>
        <v>45358</v>
      </c>
      <c r="D92" s="2" t="s">
        <v>38</v>
      </c>
      <c r="E92" s="2" t="s">
        <v>73</v>
      </c>
      <c r="F92" s="13"/>
      <c r="G92" s="2"/>
      <c r="H92" s="2"/>
      <c r="I92" s="9"/>
      <c r="J92" s="9" t="str">
        <f>VLOOKUP(D92,Stats!B:B,1,0)</f>
        <v>Marco</v>
      </c>
    </row>
    <row r="93" spans="1:10" x14ac:dyDescent="0.25">
      <c r="A93" s="22"/>
      <c r="B93" s="3" t="str">
        <f>CONCATENATE($D93,((COUNTIFS($D:$D,$D93)-COUNTIF($D$3:$D93,$D93))+1))</f>
        <v>Adam44</v>
      </c>
      <c r="C93" s="3">
        <f>C83+5</f>
        <v>45363</v>
      </c>
      <c r="D93" s="4" t="s">
        <v>53</v>
      </c>
      <c r="E93" s="4" t="s">
        <v>72</v>
      </c>
      <c r="F93" s="32" t="str">
        <f>CONCATENATE(D93,D94,E93)</f>
        <v>AdamLucaW</v>
      </c>
      <c r="I93" s="5"/>
      <c r="J93" s="5" t="str">
        <f>VLOOKUP(D93,Stats!B:B,1,0)</f>
        <v>Adam</v>
      </c>
    </row>
    <row r="94" spans="1:10" x14ac:dyDescent="0.25">
      <c r="A94" s="22"/>
      <c r="B94" s="6" t="str">
        <f>CONCATENATE($D94,((COUNTIFS($D:$D,$D94)-COUNTIF($D$3:$D94,$D94))+1))</f>
        <v>Luca31</v>
      </c>
      <c r="C94" s="6">
        <f>C93</f>
        <v>45363</v>
      </c>
      <c r="D94" t="s">
        <v>46</v>
      </c>
      <c r="E94" t="s">
        <v>72</v>
      </c>
      <c r="F94" s="32" t="str">
        <f>CONCATENATE(D93,D95,E93)</f>
        <v>AdamAkbarW</v>
      </c>
      <c r="G94" t="str">
        <f>CONCATENATE(D94,D95,E94)</f>
        <v>LucaAkbarW</v>
      </c>
      <c r="I94" s="7"/>
      <c r="J94" s="7" t="str">
        <f>VLOOKUP(D94,Stats!B:B,1,0)</f>
        <v>Luca</v>
      </c>
    </row>
    <row r="95" spans="1:10" x14ac:dyDescent="0.25">
      <c r="A95" s="22"/>
      <c r="B95" s="6" t="str">
        <f>CONCATENATE($D95,((COUNTIFS($D:$D,$D95)-COUNTIF($D$3:$D95,$D95))+1))</f>
        <v>Akbar22</v>
      </c>
      <c r="C95" s="6">
        <f t="shared" ref="C95:C101" si="3">C94</f>
        <v>45363</v>
      </c>
      <c r="D95" t="s">
        <v>54</v>
      </c>
      <c r="E95" t="s">
        <v>72</v>
      </c>
      <c r="F95" s="32" t="str">
        <f>CONCATENATE(D93,D96,E93)</f>
        <v>AdamMaartenW</v>
      </c>
      <c r="G95" t="str">
        <f>CONCATENATE(D94,D96,E94)</f>
        <v>LucaMaartenW</v>
      </c>
      <c r="H95" t="str">
        <f>CONCATENATE(D95,D96,E95)</f>
        <v>AkbarMaartenW</v>
      </c>
      <c r="I95" s="7"/>
      <c r="J95" s="7" t="str">
        <f>VLOOKUP(D95,Stats!B:B,1,0)</f>
        <v>Akbar</v>
      </c>
    </row>
    <row r="96" spans="1:10" x14ac:dyDescent="0.25">
      <c r="A96" s="22"/>
      <c r="B96" s="6" t="str">
        <f>CONCATENATE($D96,((COUNTIFS($D:$D,$D96)-COUNTIF($D$3:$D96,$D96))+1))</f>
        <v>Maarten31</v>
      </c>
      <c r="C96" s="6">
        <f t="shared" si="3"/>
        <v>45363</v>
      </c>
      <c r="D96" t="s">
        <v>58</v>
      </c>
      <c r="E96" t="s">
        <v>72</v>
      </c>
      <c r="F96" s="32" t="str">
        <f>CONCATENATE(D93,D97,E93)</f>
        <v>AdamSizweW</v>
      </c>
      <c r="G96" t="str">
        <f>CONCATENATE(D94,D97,E94)</f>
        <v>LucaSizweW</v>
      </c>
      <c r="H96" t="str">
        <f>CONCATENATE(D95,D97,E95)</f>
        <v>AkbarSizweW</v>
      </c>
      <c r="I96" s="7" t="str">
        <f>CONCATENATE(D96,D97,E96)</f>
        <v>MaartenSizweW</v>
      </c>
      <c r="J96" s="7" t="str">
        <f>VLOOKUP(D96,Stats!B:B,1,0)</f>
        <v>Maarten</v>
      </c>
    </row>
    <row r="97" spans="1:10" x14ac:dyDescent="0.25">
      <c r="A97" s="22"/>
      <c r="B97" s="6" t="str">
        <f>CONCATENATE($D97,((COUNTIFS($D:$D,$D97)-COUNTIF($D$3:$D97,$D97))+1))</f>
        <v>Sizwe27</v>
      </c>
      <c r="C97" s="6">
        <f t="shared" si="3"/>
        <v>45363</v>
      </c>
      <c r="D97" t="s">
        <v>44</v>
      </c>
      <c r="E97" t="s">
        <v>72</v>
      </c>
      <c r="F97" s="32"/>
      <c r="I97" s="7"/>
      <c r="J97" s="7" t="str">
        <f>VLOOKUP(D97,Stats!B:B,1,0)</f>
        <v>Sizwe</v>
      </c>
    </row>
    <row r="98" spans="1:10" x14ac:dyDescent="0.25">
      <c r="A98" s="22"/>
      <c r="B98" s="6" t="str">
        <f>CONCATENATE($D98,((COUNTIFS($D:$D,$D98)-COUNTIF($D$3:$D98,$D98))+1))</f>
        <v>Giovanni33</v>
      </c>
      <c r="C98" s="6">
        <f t="shared" si="3"/>
        <v>45363</v>
      </c>
      <c r="D98" t="s">
        <v>45</v>
      </c>
      <c r="E98" t="s">
        <v>73</v>
      </c>
      <c r="F98" s="32" t="str">
        <f>CONCATENATE(D98,D99,E98)</f>
        <v>GiovanniPablo OGL</v>
      </c>
      <c r="I98" s="7"/>
      <c r="J98" s="7" t="str">
        <f>VLOOKUP(D98,Stats!B:B,1,0)</f>
        <v>Giovanni</v>
      </c>
    </row>
    <row r="99" spans="1:10" x14ac:dyDescent="0.25">
      <c r="A99" s="22"/>
      <c r="B99" s="6" t="str">
        <f>CONCATENATE($D99,((COUNTIFS($D:$D,$D99)-COUNTIF($D$3:$D99,$D99))+1))</f>
        <v>Pablo OG29</v>
      </c>
      <c r="C99" s="6">
        <f t="shared" si="3"/>
        <v>45363</v>
      </c>
      <c r="D99" t="s">
        <v>42</v>
      </c>
      <c r="E99" t="s">
        <v>73</v>
      </c>
      <c r="F99" s="32" t="str">
        <f>CONCATENATE(D98,D100,E98)</f>
        <v>GiovanniFilipL</v>
      </c>
      <c r="G99" t="str">
        <f>CONCATENATE(D99,D100,E99)</f>
        <v>Pablo OGFilipL</v>
      </c>
      <c r="I99" s="7"/>
      <c r="J99" s="7" t="str">
        <f>VLOOKUP(D99,Stats!B:B,1,0)</f>
        <v>Pablo OG</v>
      </c>
    </row>
    <row r="100" spans="1:10" x14ac:dyDescent="0.25">
      <c r="A100" s="22"/>
      <c r="B100" s="6" t="str">
        <f>CONCATENATE($D100,((COUNTIFS($D:$D,$D100)-COUNTIF($D$3:$D100,$D100))+1))</f>
        <v>Filip7</v>
      </c>
      <c r="C100" s="6">
        <f t="shared" si="3"/>
        <v>45363</v>
      </c>
      <c r="D100" t="s">
        <v>59</v>
      </c>
      <c r="E100" t="s">
        <v>73</v>
      </c>
      <c r="F100" s="32" t="str">
        <f>CONCATENATE(D98,D101,E98)</f>
        <v>GiovanniGiosafatL</v>
      </c>
      <c r="G100" t="str">
        <f>CONCATENATE(D99,D101,E99)</f>
        <v>Pablo OGGiosafatL</v>
      </c>
      <c r="H100" t="str">
        <f>CONCATENATE(D100,D101,E100)</f>
        <v>FilipGiosafatL</v>
      </c>
      <c r="I100" s="7"/>
      <c r="J100" s="7" t="str">
        <f>VLOOKUP(D100,Stats!B:B,1,0)</f>
        <v>Filip</v>
      </c>
    </row>
    <row r="101" spans="1:10" x14ac:dyDescent="0.25">
      <c r="A101" s="22"/>
      <c r="B101" s="6" t="str">
        <f>CONCATENATE($D101,((COUNTIFS($D:$D,$D101)-COUNTIF($D$3:$D101,$D101))+1))</f>
        <v>Giosafat2</v>
      </c>
      <c r="C101" s="6">
        <f t="shared" si="3"/>
        <v>45363</v>
      </c>
      <c r="D101" t="s">
        <v>56</v>
      </c>
      <c r="E101" t="s">
        <v>73</v>
      </c>
      <c r="F101" s="32" t="str">
        <f>CONCATENATE(D98,D102,E98)</f>
        <v>GiovanniPetitL</v>
      </c>
      <c r="G101" t="str">
        <f>CONCATENATE(D99,D102,E99)</f>
        <v>Pablo OGPetitL</v>
      </c>
      <c r="H101" t="str">
        <f>CONCATENATE(D100,D102,E100)</f>
        <v>FilipPetitL</v>
      </c>
      <c r="I101" s="7" t="str">
        <f>CONCATENATE(D101,D102,E101)</f>
        <v>GiosafatPetitL</v>
      </c>
      <c r="J101" s="7" t="str">
        <f>VLOOKUP(D101,Stats!B:B,1,0)</f>
        <v>Giosafat</v>
      </c>
    </row>
    <row r="102" spans="1:10" x14ac:dyDescent="0.25">
      <c r="A102" s="22"/>
      <c r="B102" s="8" t="str">
        <f>CONCATENATE($D102,((COUNTIFS($D:$D,$D102)-COUNTIF($D$3:$D102,$D102))+1))</f>
        <v>Petit1</v>
      </c>
      <c r="C102" s="8">
        <f>C101</f>
        <v>45363</v>
      </c>
      <c r="D102" s="2" t="s">
        <v>25</v>
      </c>
      <c r="E102" s="2" t="s">
        <v>73</v>
      </c>
      <c r="F102" s="13"/>
      <c r="G102" s="2"/>
      <c r="H102" s="2"/>
      <c r="I102" s="9"/>
      <c r="J102" s="9" t="str">
        <f>VLOOKUP(D102,Stats!B:B,1,0)</f>
        <v>Petit</v>
      </c>
    </row>
    <row r="103" spans="1:10" x14ac:dyDescent="0.25">
      <c r="A103" s="22"/>
      <c r="B103" s="3" t="str">
        <f>CONCATENATE($D103,((COUNTIFS($D:$D,$D103)-COUNTIF($D$3:$D103,$D103))+1))</f>
        <v>Antoine1</v>
      </c>
      <c r="C103" s="3">
        <f>C93+7</f>
        <v>45370</v>
      </c>
      <c r="D103" s="4" t="s">
        <v>19</v>
      </c>
      <c r="E103" s="4" t="s">
        <v>72</v>
      </c>
      <c r="F103" s="32" t="str">
        <f>CONCATENATE(D103,D104,E103)</f>
        <v>AntoineMatthewW</v>
      </c>
      <c r="I103" s="5"/>
      <c r="J103" s="5" t="str">
        <f>VLOOKUP(D103,Stats!B:B,1,0)</f>
        <v>Antoine</v>
      </c>
    </row>
    <row r="104" spans="1:10" x14ac:dyDescent="0.25">
      <c r="A104" s="22"/>
      <c r="B104" s="6" t="str">
        <f>CONCATENATE($D104,((COUNTIFS($D:$D,$D104)-COUNTIF($D$3:$D104,$D104))+1))</f>
        <v>Matthew1</v>
      </c>
      <c r="C104" s="6">
        <f>C103</f>
        <v>45370</v>
      </c>
      <c r="D104" t="s">
        <v>20</v>
      </c>
      <c r="E104" t="s">
        <v>72</v>
      </c>
      <c r="F104" s="32" t="str">
        <f>CONCATENATE(D103,D105,E103)</f>
        <v>AntoineVictorW</v>
      </c>
      <c r="G104" t="str">
        <f>CONCATENATE(D104,D105,E104)</f>
        <v>MatthewVictorW</v>
      </c>
      <c r="I104" s="7"/>
      <c r="J104" s="7" t="str">
        <f>VLOOKUP(D104,Stats!B:B,1,0)</f>
        <v>Matthew</v>
      </c>
    </row>
    <row r="105" spans="1:10" x14ac:dyDescent="0.25">
      <c r="A105" s="22"/>
      <c r="B105" s="6" t="str">
        <f>CONCATENATE($D105,((COUNTIFS($D:$D,$D105)-COUNTIF($D$3:$D105,$D105))+1))</f>
        <v>Victor17</v>
      </c>
      <c r="C105" s="6">
        <f t="shared" ref="C105:C111" si="4">C104</f>
        <v>45370</v>
      </c>
      <c r="D105" t="s">
        <v>31</v>
      </c>
      <c r="E105" t="s">
        <v>72</v>
      </c>
      <c r="F105" s="32" t="str">
        <f>CONCATENATE(D103,D106,E103)</f>
        <v>AntoinePablo OGW</v>
      </c>
      <c r="G105" t="str">
        <f>CONCATENATE(D104,D106,E104)</f>
        <v>MatthewPablo OGW</v>
      </c>
      <c r="H105" t="str">
        <f>CONCATENATE(D105,D106,E105)</f>
        <v>VictorPablo OGW</v>
      </c>
      <c r="I105" s="7"/>
      <c r="J105" s="7" t="str">
        <f>VLOOKUP(D105,Stats!B:B,1,0)</f>
        <v>Victor</v>
      </c>
    </row>
    <row r="106" spans="1:10" x14ac:dyDescent="0.25">
      <c r="A106" s="22"/>
      <c r="B106" s="6" t="str">
        <f>CONCATENATE($D106,((COUNTIFS($D:$D,$D106)-COUNTIF($D$3:$D106,$D106))+1))</f>
        <v>Pablo OG28</v>
      </c>
      <c r="C106" s="6">
        <f t="shared" si="4"/>
        <v>45370</v>
      </c>
      <c r="D106" t="s">
        <v>42</v>
      </c>
      <c r="E106" t="s">
        <v>72</v>
      </c>
      <c r="F106" s="32" t="str">
        <f>CONCATENATE(D103,D107,E103)</f>
        <v>AntoineLucaW</v>
      </c>
      <c r="G106" t="str">
        <f>CONCATENATE(D104,D107,E104)</f>
        <v>MatthewLucaW</v>
      </c>
      <c r="H106" t="str">
        <f>CONCATENATE(D105,D107,E105)</f>
        <v>VictorLucaW</v>
      </c>
      <c r="I106" s="7" t="str">
        <f>CONCATENATE(D106,D107,E106)</f>
        <v>Pablo OGLucaW</v>
      </c>
      <c r="J106" s="7" t="str">
        <f>VLOOKUP(D106,Stats!B:B,1,0)</f>
        <v>Pablo OG</v>
      </c>
    </row>
    <row r="107" spans="1:10" x14ac:dyDescent="0.25">
      <c r="A107" s="22"/>
      <c r="B107" s="6" t="str">
        <f>CONCATENATE($D107,((COUNTIFS($D:$D,$D107)-COUNTIF($D$3:$D107,$D107))+1))</f>
        <v>Luca30</v>
      </c>
      <c r="C107" s="6">
        <f t="shared" si="4"/>
        <v>45370</v>
      </c>
      <c r="D107" t="s">
        <v>46</v>
      </c>
      <c r="E107" t="s">
        <v>72</v>
      </c>
      <c r="F107" s="32"/>
      <c r="I107" s="7"/>
      <c r="J107" s="7" t="str">
        <f>VLOOKUP(D107,Stats!B:B,1,0)</f>
        <v>Luca</v>
      </c>
    </row>
    <row r="108" spans="1:10" x14ac:dyDescent="0.25">
      <c r="A108" s="22"/>
      <c r="B108" s="6" t="str">
        <f>CONCATENATE($D108,((COUNTIFS($D:$D,$D108)-COUNTIF($D$3:$D108,$D108))+1))</f>
        <v>Filip6</v>
      </c>
      <c r="C108" s="6">
        <f t="shared" si="4"/>
        <v>45370</v>
      </c>
      <c r="D108" t="s">
        <v>59</v>
      </c>
      <c r="E108" t="s">
        <v>73</v>
      </c>
      <c r="F108" s="32" t="str">
        <f>CONCATENATE(D108,D109,E108)</f>
        <v>FilipAdamL</v>
      </c>
      <c r="I108" s="7"/>
      <c r="J108" s="7" t="str">
        <f>VLOOKUP(D108,Stats!B:B,1,0)</f>
        <v>Filip</v>
      </c>
    </row>
    <row r="109" spans="1:10" x14ac:dyDescent="0.25">
      <c r="A109" s="22"/>
      <c r="B109" s="6" t="str">
        <f>CONCATENATE($D109,((COUNTIFS($D:$D,$D109)-COUNTIF($D$3:$D109,$D109))+1))</f>
        <v>Adam43</v>
      </c>
      <c r="C109" s="6">
        <f t="shared" si="4"/>
        <v>45370</v>
      </c>
      <c r="D109" t="s">
        <v>53</v>
      </c>
      <c r="E109" t="s">
        <v>73</v>
      </c>
      <c r="F109" s="32" t="str">
        <f>CONCATENATE(D108,D110,E108)</f>
        <v>FilipMaartenL</v>
      </c>
      <c r="G109" t="str">
        <f>CONCATENATE(D109,D110,E109)</f>
        <v>AdamMaartenL</v>
      </c>
      <c r="I109" s="7"/>
      <c r="J109" s="7" t="str">
        <f>VLOOKUP(D109,Stats!B:B,1,0)</f>
        <v>Adam</v>
      </c>
    </row>
    <row r="110" spans="1:10" x14ac:dyDescent="0.25">
      <c r="A110" s="22"/>
      <c r="B110" s="6" t="str">
        <f>CONCATENATE($D110,((COUNTIFS($D:$D,$D110)-COUNTIF($D$3:$D110,$D110))+1))</f>
        <v>Maarten30</v>
      </c>
      <c r="C110" s="6">
        <f t="shared" si="4"/>
        <v>45370</v>
      </c>
      <c r="D110" t="s">
        <v>58</v>
      </c>
      <c r="E110" t="s">
        <v>73</v>
      </c>
      <c r="F110" s="32" t="str">
        <f>CONCATENATE(D108,D111,E108)</f>
        <v>FilipBramL</v>
      </c>
      <c r="G110" t="str">
        <f>CONCATENATE(D109,D111,E109)</f>
        <v>AdamBramL</v>
      </c>
      <c r="H110" t="str">
        <f>CONCATENATE(D110,D111,E110)</f>
        <v>MaartenBramL</v>
      </c>
      <c r="I110" s="7"/>
      <c r="J110" s="7" t="str">
        <f>VLOOKUP(D110,Stats!B:B,1,0)</f>
        <v>Maarten</v>
      </c>
    </row>
    <row r="111" spans="1:10" x14ac:dyDescent="0.25">
      <c r="A111" s="22"/>
      <c r="B111" s="6" t="str">
        <f>CONCATENATE($D111,((COUNTIFS($D:$D,$D111)-COUNTIF($D$3:$D111,$D111))+1))</f>
        <v>Bram10</v>
      </c>
      <c r="C111" s="6">
        <f t="shared" si="4"/>
        <v>45370</v>
      </c>
      <c r="D111" t="s">
        <v>52</v>
      </c>
      <c r="E111" t="s">
        <v>73</v>
      </c>
      <c r="F111" s="32" t="str">
        <f>CONCATENATE(D108,D112,E108)</f>
        <v>FilipAdiL</v>
      </c>
      <c r="G111" t="str">
        <f>CONCATENATE(D109,D112,E109)</f>
        <v>AdamAdiL</v>
      </c>
      <c r="H111" t="str">
        <f>CONCATENATE(D110,D112,E110)</f>
        <v>MaartenAdiL</v>
      </c>
      <c r="I111" s="7" t="str">
        <f>CONCATENATE(D111,D112,E111)</f>
        <v>BramAdiL</v>
      </c>
      <c r="J111" s="7" t="str">
        <f>VLOOKUP(D111,Stats!B:B,1,0)</f>
        <v>Bram</v>
      </c>
    </row>
    <row r="112" spans="1:10" x14ac:dyDescent="0.25">
      <c r="A112" s="22"/>
      <c r="B112" s="8" t="str">
        <f>CONCATENATE($D112,((COUNTIFS($D:$D,$D112)-COUNTIF($D$3:$D112,$D112))+1))</f>
        <v>Adi27</v>
      </c>
      <c r="C112" s="8">
        <f>C111</f>
        <v>45370</v>
      </c>
      <c r="D112" s="2" t="s">
        <v>47</v>
      </c>
      <c r="E112" s="2" t="s">
        <v>73</v>
      </c>
      <c r="F112" s="13"/>
      <c r="G112" s="2"/>
      <c r="H112" s="2"/>
      <c r="I112" s="9"/>
      <c r="J112" s="9" t="str">
        <f>VLOOKUP(D112,Stats!B:B,1,0)</f>
        <v>Adi</v>
      </c>
    </row>
    <row r="113" spans="1:10" x14ac:dyDescent="0.25">
      <c r="A113" s="22"/>
      <c r="B113" s="3" t="str">
        <f>CONCATENATE($D113,((COUNTIFS($D:$D,$D113)-COUNTIF($D$3:$D113,$D113))+1))</f>
        <v>Maarten29</v>
      </c>
      <c r="C113" s="3">
        <f>C103+2</f>
        <v>45372</v>
      </c>
      <c r="D113" s="4" t="s">
        <v>58</v>
      </c>
      <c r="E113" s="4" t="s">
        <v>72</v>
      </c>
      <c r="F113" s="32" t="str">
        <f>CONCATENATE(D113,D114,E113)</f>
        <v>MaartenImanW</v>
      </c>
      <c r="I113" s="5"/>
      <c r="J113" s="5" t="str">
        <f>VLOOKUP(D113,Stats!B:B,1,0)</f>
        <v>Maarten</v>
      </c>
    </row>
    <row r="114" spans="1:10" x14ac:dyDescent="0.25">
      <c r="A114" s="22"/>
      <c r="B114" s="6" t="str">
        <f>CONCATENATE($D114,((COUNTIFS($D:$D,$D114)-COUNTIF($D$3:$D114,$D114))+1))</f>
        <v>Iman4</v>
      </c>
      <c r="C114" s="6">
        <f>C113</f>
        <v>45372</v>
      </c>
      <c r="D114" t="s">
        <v>50</v>
      </c>
      <c r="E114" t="s">
        <v>72</v>
      </c>
      <c r="F114" s="32" t="str">
        <f>CONCATENATE(D113,D115,E113)</f>
        <v>MaartenVictorW</v>
      </c>
      <c r="G114" t="str">
        <f>CONCATENATE(D114,D115,E114)</f>
        <v>ImanVictorW</v>
      </c>
      <c r="I114" s="7"/>
      <c r="J114" s="7" t="str">
        <f>VLOOKUP(D114,Stats!B:B,1,0)</f>
        <v>Iman</v>
      </c>
    </row>
    <row r="115" spans="1:10" x14ac:dyDescent="0.25">
      <c r="A115" s="22"/>
      <c r="B115" s="6" t="str">
        <f>CONCATENATE($D115,((COUNTIFS($D:$D,$D115)-COUNTIF($D$3:$D115,$D115))+1))</f>
        <v>Victor16</v>
      </c>
      <c r="C115" s="6">
        <f t="shared" ref="C115:C121" si="5">C114</f>
        <v>45372</v>
      </c>
      <c r="D115" t="s">
        <v>31</v>
      </c>
      <c r="E115" t="s">
        <v>72</v>
      </c>
      <c r="F115" s="32" t="str">
        <f>CONCATENATE(D113,D116,E113)</f>
        <v>MaartenKwintenW</v>
      </c>
      <c r="G115" t="str">
        <f>CONCATENATE(D114,D116,E114)</f>
        <v>ImanKwintenW</v>
      </c>
      <c r="H115" t="str">
        <f>CONCATENATE(D115,D116,E115)</f>
        <v>VictorKwintenW</v>
      </c>
      <c r="I115" s="7"/>
      <c r="J115" s="7" t="str">
        <f>VLOOKUP(D115,Stats!B:B,1,0)</f>
        <v>Victor</v>
      </c>
    </row>
    <row r="116" spans="1:10" x14ac:dyDescent="0.25">
      <c r="A116" s="22"/>
      <c r="B116" s="6" t="str">
        <f>CONCATENATE($D116,((COUNTIFS($D:$D,$D116)-COUNTIF($D$3:$D116,$D116))+1))</f>
        <v>Kwinten6</v>
      </c>
      <c r="C116" s="6">
        <f t="shared" si="5"/>
        <v>45372</v>
      </c>
      <c r="D116" t="s">
        <v>34</v>
      </c>
      <c r="E116" t="s">
        <v>72</v>
      </c>
      <c r="F116" s="32" t="str">
        <f>CONCATENATE(D113,D117,E113)</f>
        <v>MaartenOnurW</v>
      </c>
      <c r="G116" t="str">
        <f>CONCATENATE(D114,D117,E114)</f>
        <v>ImanOnurW</v>
      </c>
      <c r="H116" t="str">
        <f>CONCATENATE(D115,D117,E115)</f>
        <v>VictorOnurW</v>
      </c>
      <c r="I116" s="7" t="str">
        <f>CONCATENATE(D116,D117,E116)</f>
        <v>KwintenOnurW</v>
      </c>
      <c r="J116" s="7" t="str">
        <f>VLOOKUP(D116,Stats!B:B,1,0)</f>
        <v>Kwinten</v>
      </c>
    </row>
    <row r="117" spans="1:10" x14ac:dyDescent="0.25">
      <c r="A117" s="22"/>
      <c r="B117" s="6" t="str">
        <f>CONCATENATE($D117,((COUNTIFS($D:$D,$D117)-COUNTIF($D$3:$D117,$D117))+1))</f>
        <v>Onur7</v>
      </c>
      <c r="C117" s="6">
        <f t="shared" si="5"/>
        <v>45372</v>
      </c>
      <c r="D117" t="s">
        <v>39</v>
      </c>
      <c r="E117" t="s">
        <v>72</v>
      </c>
      <c r="F117" s="32"/>
      <c r="I117" s="7"/>
      <c r="J117" s="7" t="str">
        <f>VLOOKUP(D117,Stats!B:B,1,0)</f>
        <v>Onur</v>
      </c>
    </row>
    <row r="118" spans="1:10" x14ac:dyDescent="0.25">
      <c r="A118" s="22"/>
      <c r="B118" s="6" t="str">
        <f>CONCATENATE($D118,((COUNTIFS($D:$D,$D118)-COUNTIF($D$3:$D118,$D118))+1))</f>
        <v>Sandero11</v>
      </c>
      <c r="C118" s="6">
        <f t="shared" si="5"/>
        <v>45372</v>
      </c>
      <c r="D118" t="s">
        <v>57</v>
      </c>
      <c r="E118" t="s">
        <v>73</v>
      </c>
      <c r="F118" s="32" t="str">
        <f>CONCATENATE(D118,D119,E118)</f>
        <v>SanderoPablo OGL</v>
      </c>
      <c r="I118" s="7"/>
      <c r="J118" s="7" t="str">
        <f>VLOOKUP(D118,Stats!B:B,1,0)</f>
        <v>Sandero</v>
      </c>
    </row>
    <row r="119" spans="1:10" x14ac:dyDescent="0.25">
      <c r="A119" s="22"/>
      <c r="B119" s="6" t="str">
        <f>CONCATENATE($D119,((COUNTIFS($D:$D,$D119)-COUNTIF($D$3:$D119,$D119))+1))</f>
        <v>Pablo OG27</v>
      </c>
      <c r="C119" s="6">
        <f t="shared" si="5"/>
        <v>45372</v>
      </c>
      <c r="D119" t="s">
        <v>42</v>
      </c>
      <c r="E119" t="s">
        <v>73</v>
      </c>
      <c r="F119" s="32" t="str">
        <f>CONCATENATE(D118,D120,E118)</f>
        <v>SanderoWouterL</v>
      </c>
      <c r="G119" t="str">
        <f>CONCATENATE(D119,D120,E119)</f>
        <v>Pablo OGWouterL</v>
      </c>
      <c r="I119" s="7"/>
      <c r="J119" s="7" t="str">
        <f>VLOOKUP(D119,Stats!B:B,1,0)</f>
        <v>Pablo OG</v>
      </c>
    </row>
    <row r="120" spans="1:10" x14ac:dyDescent="0.25">
      <c r="A120" s="22"/>
      <c r="B120" s="6" t="str">
        <f>CONCATENATE($D120,((COUNTIFS($D:$D,$D120)-COUNTIF($D$3:$D120,$D120))+1))</f>
        <v>Wouter22</v>
      </c>
      <c r="C120" s="6">
        <f t="shared" si="5"/>
        <v>45372</v>
      </c>
      <c r="D120" t="s">
        <v>36</v>
      </c>
      <c r="E120" t="s">
        <v>73</v>
      </c>
      <c r="F120" s="32" t="str">
        <f>CONCATENATE(D118,D121,E118)</f>
        <v>SanderoAdamL</v>
      </c>
      <c r="G120" t="str">
        <f>CONCATENATE(D119,D121,E119)</f>
        <v>Pablo OGAdamL</v>
      </c>
      <c r="H120" t="str">
        <f>CONCATENATE(D120,D121,E120)</f>
        <v>WouterAdamL</v>
      </c>
      <c r="I120" s="7"/>
      <c r="J120" s="7" t="str">
        <f>VLOOKUP(D120,Stats!B:B,1,0)</f>
        <v>Wouter</v>
      </c>
    </row>
    <row r="121" spans="1:10" x14ac:dyDescent="0.25">
      <c r="A121" s="22"/>
      <c r="B121" s="6" t="str">
        <f>CONCATENATE($D121,((COUNTIFS($D:$D,$D121)-COUNTIF($D$3:$D121,$D121))+1))</f>
        <v>Adam42</v>
      </c>
      <c r="C121" s="6">
        <f t="shared" si="5"/>
        <v>45372</v>
      </c>
      <c r="D121" t="s">
        <v>53</v>
      </c>
      <c r="E121" t="s">
        <v>73</v>
      </c>
      <c r="F121" s="32" t="str">
        <f>CONCATENATE(D118,D122,E118)</f>
        <v>SanderoSizweL</v>
      </c>
      <c r="G121" t="str">
        <f>CONCATENATE(D119,D122,E119)</f>
        <v>Pablo OGSizweL</v>
      </c>
      <c r="H121" t="str">
        <f>CONCATENATE(D120,D122,E120)</f>
        <v>WouterSizweL</v>
      </c>
      <c r="I121" s="7" t="str">
        <f>CONCATENATE(D121,D122,E121)</f>
        <v>AdamSizweL</v>
      </c>
      <c r="J121" s="7" t="str">
        <f>VLOOKUP(D121,Stats!B:B,1,0)</f>
        <v>Adam</v>
      </c>
    </row>
    <row r="122" spans="1:10" x14ac:dyDescent="0.25">
      <c r="A122" s="22"/>
      <c r="B122" s="8" t="str">
        <f>CONCATENATE($D122,((COUNTIFS($D:$D,$D122)-COUNTIF($D$3:$D122,$D122))+1))</f>
        <v>Sizwe26</v>
      </c>
      <c r="C122" s="8">
        <f>C121</f>
        <v>45372</v>
      </c>
      <c r="D122" s="2" t="s">
        <v>44</v>
      </c>
      <c r="E122" s="2" t="s">
        <v>73</v>
      </c>
      <c r="F122" s="13"/>
      <c r="G122" s="2"/>
      <c r="H122" s="2"/>
      <c r="I122" s="9"/>
      <c r="J122" s="9" t="str">
        <f>VLOOKUP(D122,Stats!B:B,1,0)</f>
        <v>Sizwe</v>
      </c>
    </row>
    <row r="123" spans="1:10" x14ac:dyDescent="0.25">
      <c r="A123" s="22"/>
      <c r="B123" s="3" t="str">
        <f>CONCATENATE($D123,((COUNTIFS($D:$D,$D123)-COUNTIF($D$3:$D123,$D123))+1))</f>
        <v>Adi26</v>
      </c>
      <c r="C123" s="3">
        <f>C113+5</f>
        <v>45377</v>
      </c>
      <c r="D123" s="4" t="s">
        <v>47</v>
      </c>
      <c r="E123" s="4" t="s">
        <v>72</v>
      </c>
      <c r="F123" s="32" t="str">
        <f>CONCATENATE(D123,D124,E123)</f>
        <v>AdiKwintenW</v>
      </c>
      <c r="I123" s="5"/>
      <c r="J123" s="5" t="str">
        <f>VLOOKUP(D123,Stats!B:B,1,0)</f>
        <v>Adi</v>
      </c>
    </row>
    <row r="124" spans="1:10" x14ac:dyDescent="0.25">
      <c r="A124" s="22"/>
      <c r="B124" s="6" t="str">
        <f>CONCATENATE($D124,((COUNTIFS($D:$D,$D124)-COUNTIF($D$3:$D124,$D124))+1))</f>
        <v>Kwinten5</v>
      </c>
      <c r="C124" s="6">
        <f>C123</f>
        <v>45377</v>
      </c>
      <c r="D124" t="s">
        <v>34</v>
      </c>
      <c r="E124" t="s">
        <v>72</v>
      </c>
      <c r="F124" s="32" t="str">
        <f>CONCATENATE(D123,D125,E123)</f>
        <v>AdiFilipW</v>
      </c>
      <c r="G124" t="str">
        <f>CONCATENATE(D124,D125,E124)</f>
        <v>KwintenFilipW</v>
      </c>
      <c r="I124" s="7"/>
      <c r="J124" s="7" t="str">
        <f>VLOOKUP(D124,Stats!B:B,1,0)</f>
        <v>Kwinten</v>
      </c>
    </row>
    <row r="125" spans="1:10" x14ac:dyDescent="0.25">
      <c r="A125" s="22"/>
      <c r="B125" s="6" t="str">
        <f>CONCATENATE($D125,((COUNTIFS($D:$D,$D125)-COUNTIF($D$3:$D125,$D125))+1))</f>
        <v>Filip5</v>
      </c>
      <c r="C125" s="6">
        <f t="shared" ref="C125:C131" si="6">C124</f>
        <v>45377</v>
      </c>
      <c r="D125" t="s">
        <v>59</v>
      </c>
      <c r="E125" t="s">
        <v>72</v>
      </c>
      <c r="F125" s="32" t="str">
        <f>CONCATENATE(D123,D126,E123)</f>
        <v>AdiSizweW</v>
      </c>
      <c r="G125" t="str">
        <f>CONCATENATE(D124,D126,E124)</f>
        <v>KwintenSizweW</v>
      </c>
      <c r="H125" t="str">
        <f>CONCATENATE(D125,D126,E125)</f>
        <v>FilipSizweW</v>
      </c>
      <c r="I125" s="7"/>
      <c r="J125" s="7" t="str">
        <f>VLOOKUP(D125,Stats!B:B,1,0)</f>
        <v>Filip</v>
      </c>
    </row>
    <row r="126" spans="1:10" x14ac:dyDescent="0.25">
      <c r="A126" s="22"/>
      <c r="B126" s="6" t="str">
        <f>CONCATENATE($D126,((COUNTIFS($D:$D,$D126)-COUNTIF($D$3:$D126,$D126))+1))</f>
        <v>Sizwe25</v>
      </c>
      <c r="C126" s="6">
        <f t="shared" si="6"/>
        <v>45377</v>
      </c>
      <c r="D126" t="s">
        <v>44</v>
      </c>
      <c r="E126" t="s">
        <v>72</v>
      </c>
      <c r="F126" s="32" t="str">
        <f>CONCATENATE(D123,D127,E123)</f>
        <v>AdiPablo OGW</v>
      </c>
      <c r="G126" t="str">
        <f>CONCATENATE(D124,D127,E124)</f>
        <v>KwintenPablo OGW</v>
      </c>
      <c r="H126" t="str">
        <f>CONCATENATE(D125,D127,E125)</f>
        <v>FilipPablo OGW</v>
      </c>
      <c r="I126" s="7" t="str">
        <f>CONCATENATE(D126,D127,E126)</f>
        <v>SizwePablo OGW</v>
      </c>
      <c r="J126" s="7" t="str">
        <f>VLOOKUP(D126,Stats!B:B,1,0)</f>
        <v>Sizwe</v>
      </c>
    </row>
    <row r="127" spans="1:10" x14ac:dyDescent="0.25">
      <c r="A127" s="22"/>
      <c r="B127" s="6" t="str">
        <f>CONCATENATE($D127,((COUNTIFS($D:$D,$D127)-COUNTIF($D$3:$D127,$D127))+1))</f>
        <v>Pablo OG26</v>
      </c>
      <c r="C127" s="6">
        <f t="shared" si="6"/>
        <v>45377</v>
      </c>
      <c r="D127" t="s">
        <v>42</v>
      </c>
      <c r="E127" t="s">
        <v>72</v>
      </c>
      <c r="F127" s="32"/>
      <c r="I127" s="7"/>
      <c r="J127" s="7" t="str">
        <f>VLOOKUP(D127,Stats!B:B,1,0)</f>
        <v>Pablo OG</v>
      </c>
    </row>
    <row r="128" spans="1:10" x14ac:dyDescent="0.25">
      <c r="A128" s="22"/>
      <c r="B128" s="6" t="str">
        <f>CONCATENATE($D128,((COUNTIFS($D:$D,$D128)-COUNTIF($D$3:$D128,$D128))+1))</f>
        <v>Victor15</v>
      </c>
      <c r="C128" s="6">
        <f t="shared" si="6"/>
        <v>45377</v>
      </c>
      <c r="D128" t="s">
        <v>31</v>
      </c>
      <c r="E128" t="s">
        <v>73</v>
      </c>
      <c r="F128" s="32" t="str">
        <f>CONCATENATE(D128,D129,E128)</f>
        <v>VictorBramL</v>
      </c>
      <c r="I128" s="7"/>
      <c r="J128" s="7" t="str">
        <f>VLOOKUP(D128,Stats!B:B,1,0)</f>
        <v>Victor</v>
      </c>
    </row>
    <row r="129" spans="1:10" x14ac:dyDescent="0.25">
      <c r="A129" s="22"/>
      <c r="B129" s="6" t="str">
        <f>CONCATENATE($D129,((COUNTIFS($D:$D,$D129)-COUNTIF($D$3:$D129,$D129))+1))</f>
        <v>Bram9</v>
      </c>
      <c r="C129" s="6">
        <f t="shared" si="6"/>
        <v>45377</v>
      </c>
      <c r="D129" t="s">
        <v>52</v>
      </c>
      <c r="E129" t="s">
        <v>73</v>
      </c>
      <c r="F129" s="32" t="str">
        <f>CONCATENATE(D128,D130,E128)</f>
        <v>VictorDobroL</v>
      </c>
      <c r="G129" t="str">
        <f>CONCATENATE(D129,D130,E129)</f>
        <v>BramDobroL</v>
      </c>
      <c r="I129" s="7"/>
      <c r="J129" s="7" t="str">
        <f>VLOOKUP(D129,Stats!B:B,1,0)</f>
        <v>Bram</v>
      </c>
    </row>
    <row r="130" spans="1:10" x14ac:dyDescent="0.25">
      <c r="A130" s="22"/>
      <c r="B130" s="6" t="str">
        <f>CONCATENATE($D130,((COUNTIFS($D:$D,$D130)-COUNTIF($D$3:$D130,$D130))+1))</f>
        <v>Dobro33</v>
      </c>
      <c r="C130" s="6">
        <f t="shared" si="6"/>
        <v>45377</v>
      </c>
      <c r="D130" t="s">
        <v>35</v>
      </c>
      <c r="E130" t="s">
        <v>73</v>
      </c>
      <c r="F130" s="32" t="str">
        <f>CONCATENATE(D128,D131,E128)</f>
        <v>VictorAkbarL</v>
      </c>
      <c r="G130" t="str">
        <f>CONCATENATE(D129,D131,E129)</f>
        <v>BramAkbarL</v>
      </c>
      <c r="H130" t="str">
        <f>CONCATENATE(D130,D131,E130)</f>
        <v>DobroAkbarL</v>
      </c>
      <c r="I130" s="7"/>
      <c r="J130" s="7" t="str">
        <f>VLOOKUP(D130,Stats!B:B,1,0)</f>
        <v>Dobro</v>
      </c>
    </row>
    <row r="131" spans="1:10" x14ac:dyDescent="0.25">
      <c r="A131" s="22"/>
      <c r="B131" s="6" t="str">
        <f>CONCATENATE($D131,((COUNTIFS($D:$D,$D131)-COUNTIF($D$3:$D131,$D131))+1))</f>
        <v>Akbar21</v>
      </c>
      <c r="C131" s="6">
        <f t="shared" si="6"/>
        <v>45377</v>
      </c>
      <c r="D131" t="s">
        <v>54</v>
      </c>
      <c r="E131" t="s">
        <v>73</v>
      </c>
      <c r="F131" s="32" t="str">
        <f>CONCATENATE(D128,D132,E128)</f>
        <v>VictorJayL</v>
      </c>
      <c r="G131" t="str">
        <f>CONCATENATE(D129,D132,E129)</f>
        <v>BramJayL</v>
      </c>
      <c r="H131" t="str">
        <f>CONCATENATE(D130,D132,E130)</f>
        <v>DobroJayL</v>
      </c>
      <c r="I131" s="7" t="str">
        <f>CONCATENATE(D131,D132,E131)</f>
        <v>AkbarJayL</v>
      </c>
      <c r="J131" s="7" t="str">
        <f>VLOOKUP(D131,Stats!B:B,1,0)</f>
        <v>Akbar</v>
      </c>
    </row>
    <row r="132" spans="1:10" x14ac:dyDescent="0.25">
      <c r="A132" s="22"/>
      <c r="B132" s="8" t="str">
        <f>CONCATENATE($D132,((COUNTIFS($D:$D,$D132)-COUNTIF($D$3:$D132,$D132))+1))</f>
        <v>Jay8</v>
      </c>
      <c r="C132" s="8">
        <f>C131</f>
        <v>45377</v>
      </c>
      <c r="D132" s="2" t="s">
        <v>60</v>
      </c>
      <c r="E132" s="2" t="s">
        <v>73</v>
      </c>
      <c r="F132" s="13"/>
      <c r="G132" s="2"/>
      <c r="H132" s="2"/>
      <c r="I132" s="9"/>
      <c r="J132" s="9" t="str">
        <f>VLOOKUP(D132,Stats!B:B,1,0)</f>
        <v>Jay</v>
      </c>
    </row>
    <row r="133" spans="1:10" x14ac:dyDescent="0.25">
      <c r="A133" s="22"/>
      <c r="B133" s="3" t="str">
        <f>CONCATENATE($D133,((COUNTIFS($D:$D,$D133)-COUNTIF($D$3:$D133,$D133))+1))</f>
        <v>Giovanni32</v>
      </c>
      <c r="C133" s="3">
        <f>C123+7</f>
        <v>45384</v>
      </c>
      <c r="D133" s="4" t="s">
        <v>45</v>
      </c>
      <c r="E133" s="4" t="s">
        <v>72</v>
      </c>
      <c r="F133" s="32" t="str">
        <f>CONCATENATE(D133,D134,E133)</f>
        <v>GiovanniLucaW</v>
      </c>
      <c r="I133" s="5"/>
      <c r="J133" s="5" t="str">
        <f>VLOOKUP(D133,Stats!B:B,1,0)</f>
        <v>Giovanni</v>
      </c>
    </row>
    <row r="134" spans="1:10" x14ac:dyDescent="0.25">
      <c r="A134" s="22"/>
      <c r="B134" s="6" t="str">
        <f>CONCATENATE($D134,((COUNTIFS($D:$D,$D134)-COUNTIF($D$3:$D134,$D134))+1))</f>
        <v>Luca29</v>
      </c>
      <c r="C134" s="6">
        <f>C133</f>
        <v>45384</v>
      </c>
      <c r="D134" t="s">
        <v>46</v>
      </c>
      <c r="E134" t="s">
        <v>72</v>
      </c>
      <c r="F134" s="32" t="str">
        <f>CONCATENATE(D133,D135,E133)</f>
        <v>GiovanniVictorW</v>
      </c>
      <c r="G134" t="str">
        <f>CONCATENATE(D134,D135,E134)</f>
        <v>LucaVictorW</v>
      </c>
      <c r="I134" s="7"/>
      <c r="J134" s="7" t="str">
        <f>VLOOKUP(D134,Stats!B:B,1,0)</f>
        <v>Luca</v>
      </c>
    </row>
    <row r="135" spans="1:10" x14ac:dyDescent="0.25">
      <c r="A135" s="22"/>
      <c r="B135" s="6" t="str">
        <f>CONCATENATE($D135,((COUNTIFS($D:$D,$D135)-COUNTIF($D$3:$D135,$D135))+1))</f>
        <v>Victor14</v>
      </c>
      <c r="C135" s="6">
        <f t="shared" ref="C135:C141" si="7">C134</f>
        <v>45384</v>
      </c>
      <c r="D135" t="s">
        <v>31</v>
      </c>
      <c r="E135" t="s">
        <v>72</v>
      </c>
      <c r="F135" s="32" t="str">
        <f>CONCATENATE(D133,D136,E133)</f>
        <v>GiovanniAdiW</v>
      </c>
      <c r="G135" t="str">
        <f>CONCATENATE(D134,D136,E134)</f>
        <v>LucaAdiW</v>
      </c>
      <c r="H135" t="str">
        <f>CONCATENATE(D135,D136,E135)</f>
        <v>VictorAdiW</v>
      </c>
      <c r="I135" s="7"/>
      <c r="J135" s="7" t="str">
        <f>VLOOKUP(D135,Stats!B:B,1,0)</f>
        <v>Victor</v>
      </c>
    </row>
    <row r="136" spans="1:10" x14ac:dyDescent="0.25">
      <c r="A136" s="22"/>
      <c r="B136" s="6" t="str">
        <f>CONCATENATE($D136,((COUNTIFS($D:$D,$D136)-COUNTIF($D$3:$D136,$D136))+1))</f>
        <v>Adi25</v>
      </c>
      <c r="C136" s="6">
        <f t="shared" si="7"/>
        <v>45384</v>
      </c>
      <c r="D136" t="s">
        <v>47</v>
      </c>
      <c r="E136" t="s">
        <v>72</v>
      </c>
      <c r="F136" s="32" t="str">
        <f>CONCATENATE(D133,D137,E133)</f>
        <v>GiovanniAdamW</v>
      </c>
      <c r="G136" t="str">
        <f>CONCATENATE(D134,D137,E134)</f>
        <v>LucaAdamW</v>
      </c>
      <c r="H136" t="str">
        <f>CONCATENATE(D135,D137,E135)</f>
        <v>VictorAdamW</v>
      </c>
      <c r="I136" s="7" t="str">
        <f>CONCATENATE(D136,D137,E136)</f>
        <v>AdiAdamW</v>
      </c>
      <c r="J136" s="7" t="str">
        <f>VLOOKUP(D136,Stats!B:B,1,0)</f>
        <v>Adi</v>
      </c>
    </row>
    <row r="137" spans="1:10" x14ac:dyDescent="0.25">
      <c r="A137" s="22"/>
      <c r="B137" s="6" t="str">
        <f>CONCATENATE($D137,((COUNTIFS($D:$D,$D137)-COUNTIF($D$3:$D137,$D137))+1))</f>
        <v>Adam41</v>
      </c>
      <c r="C137" s="6">
        <f t="shared" si="7"/>
        <v>45384</v>
      </c>
      <c r="D137" t="s">
        <v>53</v>
      </c>
      <c r="E137" t="s">
        <v>72</v>
      </c>
      <c r="F137" s="32"/>
      <c r="I137" s="7"/>
      <c r="J137" s="7" t="str">
        <f>VLOOKUP(D137,Stats!B:B,1,0)</f>
        <v>Adam</v>
      </c>
    </row>
    <row r="138" spans="1:10" x14ac:dyDescent="0.25">
      <c r="A138" s="22"/>
      <c r="B138" s="6" t="str">
        <f>CONCATENATE($D138,((COUNTIFS($D:$D,$D138)-COUNTIF($D$3:$D138,$D138))+1))</f>
        <v>Marco4</v>
      </c>
      <c r="C138" s="6">
        <f t="shared" si="7"/>
        <v>45384</v>
      </c>
      <c r="D138" t="s">
        <v>38</v>
      </c>
      <c r="E138" t="s">
        <v>73</v>
      </c>
      <c r="F138" s="32" t="str">
        <f>CONCATENATE(D138,D139,E138)</f>
        <v>MarcoAkbarL</v>
      </c>
      <c r="I138" s="7"/>
      <c r="J138" s="7" t="str">
        <f>VLOOKUP(D138,Stats!B:B,1,0)</f>
        <v>Marco</v>
      </c>
    </row>
    <row r="139" spans="1:10" x14ac:dyDescent="0.25">
      <c r="A139" s="22"/>
      <c r="B139" s="6" t="str">
        <f>CONCATENATE($D139,((COUNTIFS($D:$D,$D139)-COUNTIF($D$3:$D139,$D139))+1))</f>
        <v>Akbar20</v>
      </c>
      <c r="C139" s="6">
        <f t="shared" si="7"/>
        <v>45384</v>
      </c>
      <c r="D139" t="s">
        <v>54</v>
      </c>
      <c r="E139" t="s">
        <v>73</v>
      </c>
      <c r="F139" s="32" t="str">
        <f>CONCATENATE(D138,D140,E138)</f>
        <v>MarcoWouterL</v>
      </c>
      <c r="G139" t="str">
        <f>CONCATENATE(D139,D140,E139)</f>
        <v>AkbarWouterL</v>
      </c>
      <c r="I139" s="7"/>
      <c r="J139" s="7" t="str">
        <f>VLOOKUP(D139,Stats!B:B,1,0)</f>
        <v>Akbar</v>
      </c>
    </row>
    <row r="140" spans="1:10" x14ac:dyDescent="0.25">
      <c r="A140" s="22"/>
      <c r="B140" s="6" t="str">
        <f>CONCATENATE($D140,((COUNTIFS($D:$D,$D140)-COUNTIF($D$3:$D140,$D140))+1))</f>
        <v>Wouter21</v>
      </c>
      <c r="C140" s="6">
        <f t="shared" si="7"/>
        <v>45384</v>
      </c>
      <c r="D140" t="s">
        <v>36</v>
      </c>
      <c r="E140" t="s">
        <v>73</v>
      </c>
      <c r="F140" s="32" t="str">
        <f>CONCATENATE(D138,D141,E138)</f>
        <v>MarcoSizweL</v>
      </c>
      <c r="G140" t="str">
        <f>CONCATENATE(D139,D141,E139)</f>
        <v>AkbarSizweL</v>
      </c>
      <c r="H140" t="str">
        <f>CONCATENATE(D140,D141,E140)</f>
        <v>WouterSizweL</v>
      </c>
      <c r="I140" s="7"/>
      <c r="J140" s="7" t="str">
        <f>VLOOKUP(D140,Stats!B:B,1,0)</f>
        <v>Wouter</v>
      </c>
    </row>
    <row r="141" spans="1:10" x14ac:dyDescent="0.25">
      <c r="A141" s="22"/>
      <c r="B141" s="6" t="str">
        <f>CONCATENATE($D141,((COUNTIFS($D:$D,$D141)-COUNTIF($D$3:$D141,$D141))+1))</f>
        <v>Sizwe24</v>
      </c>
      <c r="C141" s="6">
        <f t="shared" si="7"/>
        <v>45384</v>
      </c>
      <c r="D141" t="s">
        <v>44</v>
      </c>
      <c r="E141" t="s">
        <v>73</v>
      </c>
      <c r="F141" s="32" t="str">
        <f>CONCATENATE(D138,D142,E138)</f>
        <v>MarcoStijnL</v>
      </c>
      <c r="G141" t="str">
        <f>CONCATENATE(D139,D142,E139)</f>
        <v>AkbarStijnL</v>
      </c>
      <c r="H141" t="str">
        <f>CONCATENATE(D140,D142,E140)</f>
        <v>WouterStijnL</v>
      </c>
      <c r="I141" s="7" t="str">
        <f>CONCATENATE(D141,D142,E141)</f>
        <v>SizweStijnL</v>
      </c>
      <c r="J141" s="7" t="str">
        <f>VLOOKUP(D141,Stats!B:B,1,0)</f>
        <v>Sizwe</v>
      </c>
    </row>
    <row r="142" spans="1:10" x14ac:dyDescent="0.25">
      <c r="A142" s="22"/>
      <c r="B142" s="8" t="str">
        <f>CONCATENATE($D142,((COUNTIFS($D:$D,$D142)-COUNTIF($D$3:$D142,$D142))+1))</f>
        <v>Stijn1</v>
      </c>
      <c r="C142" s="8">
        <f>C141</f>
        <v>45384</v>
      </c>
      <c r="D142" s="2" t="s">
        <v>26</v>
      </c>
      <c r="E142" s="2" t="s">
        <v>73</v>
      </c>
      <c r="F142" s="13"/>
      <c r="G142" s="2"/>
      <c r="H142" s="2"/>
      <c r="I142" s="9"/>
      <c r="J142" s="9" t="str">
        <f>VLOOKUP(D142,Stats!B:B,1,0)</f>
        <v>Stijn</v>
      </c>
    </row>
    <row r="143" spans="1:10" x14ac:dyDescent="0.25">
      <c r="A143" s="22"/>
      <c r="B143" s="3" t="str">
        <f>CONCATENATE($D143,((COUNTIFS($D:$D,$D143)-COUNTIF($D$3:$D143,$D143))+1))</f>
        <v>Sizwe23</v>
      </c>
      <c r="C143" s="3">
        <f>C133+7</f>
        <v>45391</v>
      </c>
      <c r="D143" s="4" t="s">
        <v>44</v>
      </c>
      <c r="E143" s="4" t="s">
        <v>72</v>
      </c>
      <c r="F143" s="32" t="str">
        <f>CONCATENATE(D143,D144,E143)</f>
        <v>SizweKwintenW</v>
      </c>
      <c r="I143" s="5"/>
      <c r="J143" s="5" t="str">
        <f>VLOOKUP(D143,Stats!B:B,1,0)</f>
        <v>Sizwe</v>
      </c>
    </row>
    <row r="144" spans="1:10" x14ac:dyDescent="0.25">
      <c r="A144" s="22"/>
      <c r="B144" s="6" t="str">
        <f>CONCATENATE($D144,((COUNTIFS($D:$D,$D144)-COUNTIF($D$3:$D144,$D144))+1))</f>
        <v>Kwinten4</v>
      </c>
      <c r="C144" s="6">
        <f>C143</f>
        <v>45391</v>
      </c>
      <c r="D144" t="s">
        <v>34</v>
      </c>
      <c r="E144" t="s">
        <v>72</v>
      </c>
      <c r="F144" s="32" t="str">
        <f>CONCATENATE(D143,D145,E143)</f>
        <v>SizweAdamW</v>
      </c>
      <c r="G144" t="str">
        <f>CONCATENATE(D144,D145,E144)</f>
        <v>KwintenAdamW</v>
      </c>
      <c r="I144" s="7"/>
      <c r="J144" s="7" t="str">
        <f>VLOOKUP(D144,Stats!B:B,1,0)</f>
        <v>Kwinten</v>
      </c>
    </row>
    <row r="145" spans="1:10" x14ac:dyDescent="0.25">
      <c r="A145" s="22"/>
      <c r="B145" s="6" t="str">
        <f>CONCATENATE($D145,((COUNTIFS($D:$D,$D145)-COUNTIF($D$3:$D145,$D145))+1))</f>
        <v>Adam40</v>
      </c>
      <c r="C145" s="6">
        <f t="shared" ref="C145:C151" si="8">C144</f>
        <v>45391</v>
      </c>
      <c r="D145" t="s">
        <v>53</v>
      </c>
      <c r="E145" t="s">
        <v>72</v>
      </c>
      <c r="F145" s="32" t="str">
        <f>CONCATENATE(D143,D146,E143)</f>
        <v>SizweGiovanniW</v>
      </c>
      <c r="G145" t="str">
        <f>CONCATENATE(D144,D146,E144)</f>
        <v>KwintenGiovanniW</v>
      </c>
      <c r="H145" t="str">
        <f>CONCATENATE(D145,D146,E145)</f>
        <v>AdamGiovanniW</v>
      </c>
      <c r="I145" s="7"/>
      <c r="J145" s="7" t="str">
        <f>VLOOKUP(D145,Stats!B:B,1,0)</f>
        <v>Adam</v>
      </c>
    </row>
    <row r="146" spans="1:10" x14ac:dyDescent="0.25">
      <c r="A146" s="22"/>
      <c r="B146" s="6" t="str">
        <f>CONCATENATE($D146,((COUNTIFS($D:$D,$D146)-COUNTIF($D$3:$D146,$D146))+1))</f>
        <v>Giovanni31</v>
      </c>
      <c r="C146" s="6">
        <f t="shared" si="8"/>
        <v>45391</v>
      </c>
      <c r="D146" t="s">
        <v>45</v>
      </c>
      <c r="E146" t="s">
        <v>72</v>
      </c>
      <c r="F146" s="32" t="str">
        <f>CONCATENATE(D143,D147,E143)</f>
        <v>SizweBramW</v>
      </c>
      <c r="G146" t="str">
        <f>CONCATENATE(D144,D147,E144)</f>
        <v>KwintenBramW</v>
      </c>
      <c r="H146" t="str">
        <f>CONCATENATE(D145,D147,E145)</f>
        <v>AdamBramW</v>
      </c>
      <c r="I146" s="7" t="str">
        <f>CONCATENATE(D146,D147,E146)</f>
        <v>GiovanniBramW</v>
      </c>
      <c r="J146" s="7" t="str">
        <f>VLOOKUP(D146,Stats!B:B,1,0)</f>
        <v>Giovanni</v>
      </c>
    </row>
    <row r="147" spans="1:10" x14ac:dyDescent="0.25">
      <c r="A147" s="22"/>
      <c r="B147" s="6" t="str">
        <f>CONCATENATE($D147,((COUNTIFS($D:$D,$D147)-COUNTIF($D$3:$D147,$D147))+1))</f>
        <v>Bram8</v>
      </c>
      <c r="C147" s="6">
        <f t="shared" si="8"/>
        <v>45391</v>
      </c>
      <c r="D147" t="s">
        <v>52</v>
      </c>
      <c r="E147" t="s">
        <v>72</v>
      </c>
      <c r="F147" s="32"/>
      <c r="I147" s="7"/>
      <c r="J147" s="7" t="str">
        <f>VLOOKUP(D147,Stats!B:B,1,0)</f>
        <v>Bram</v>
      </c>
    </row>
    <row r="148" spans="1:10" x14ac:dyDescent="0.25">
      <c r="A148" s="22"/>
      <c r="B148" s="6" t="str">
        <f>CONCATENATE($D148,((COUNTIFS($D:$D,$D148)-COUNTIF($D$3:$D148,$D148))+1))</f>
        <v>Pablo OG25</v>
      </c>
      <c r="C148" s="6">
        <f t="shared" si="8"/>
        <v>45391</v>
      </c>
      <c r="D148" t="s">
        <v>42</v>
      </c>
      <c r="E148" t="s">
        <v>73</v>
      </c>
      <c r="F148" s="32" t="str">
        <f>CONCATENATE(D148,D149,E148)</f>
        <v>Pablo OGAkbarL</v>
      </c>
      <c r="I148" s="7"/>
      <c r="J148" s="7" t="str">
        <f>VLOOKUP(D148,Stats!B:B,1,0)</f>
        <v>Pablo OG</v>
      </c>
    </row>
    <row r="149" spans="1:10" x14ac:dyDescent="0.25">
      <c r="A149" s="22"/>
      <c r="B149" s="6" t="str">
        <f>CONCATENATE($D149,((COUNTIFS($D:$D,$D149)-COUNTIF($D$3:$D149,$D149))+1))</f>
        <v>Akbar19</v>
      </c>
      <c r="C149" s="6">
        <f t="shared" si="8"/>
        <v>45391</v>
      </c>
      <c r="D149" t="s">
        <v>54</v>
      </c>
      <c r="E149" t="s">
        <v>73</v>
      </c>
      <c r="F149" s="32" t="str">
        <f>CONCATENATE(D148,D150,E148)</f>
        <v>Pablo OGLucaL</v>
      </c>
      <c r="G149" t="str">
        <f>CONCATENATE(D149,D150,E149)</f>
        <v>AkbarLucaL</v>
      </c>
      <c r="I149" s="7"/>
      <c r="J149" s="7" t="str">
        <f>VLOOKUP(D149,Stats!B:B,1,0)</f>
        <v>Akbar</v>
      </c>
    </row>
    <row r="150" spans="1:10" x14ac:dyDescent="0.25">
      <c r="A150" s="22"/>
      <c r="B150" s="6" t="str">
        <f>CONCATENATE($D150,((COUNTIFS($D:$D,$D150)-COUNTIF($D$3:$D150,$D150))+1))</f>
        <v>Luca28</v>
      </c>
      <c r="C150" s="6">
        <f t="shared" si="8"/>
        <v>45391</v>
      </c>
      <c r="D150" t="s">
        <v>46</v>
      </c>
      <c r="E150" t="s">
        <v>73</v>
      </c>
      <c r="F150" s="32" t="str">
        <f>CONCATENATE(D148,D151,E148)</f>
        <v>Pablo OGFaisL</v>
      </c>
      <c r="G150" t="str">
        <f>CONCATENATE(D149,D151,E149)</f>
        <v>AkbarFaisL</v>
      </c>
      <c r="H150" t="str">
        <f>CONCATENATE(D150,D151,E150)</f>
        <v>LucaFaisL</v>
      </c>
      <c r="I150" s="7"/>
      <c r="J150" s="7" t="str">
        <f>VLOOKUP(D150,Stats!B:B,1,0)</f>
        <v>Luca</v>
      </c>
    </row>
    <row r="151" spans="1:10" x14ac:dyDescent="0.25">
      <c r="A151" s="22"/>
      <c r="B151" s="6" t="str">
        <f>CONCATENATE($D151,((COUNTIFS($D:$D,$D151)-COUNTIF($D$3:$D151,$D151))+1))</f>
        <v>Fais3</v>
      </c>
      <c r="C151" s="6">
        <f t="shared" si="8"/>
        <v>45391</v>
      </c>
      <c r="D151" t="s">
        <v>41</v>
      </c>
      <c r="E151" t="s">
        <v>73</v>
      </c>
      <c r="F151" s="32" t="str">
        <f>CONCATENATE(D148,D152,E148)</f>
        <v>Pablo OGAdiL</v>
      </c>
      <c r="G151" t="str">
        <f>CONCATENATE(D149,D152,E149)</f>
        <v>AkbarAdiL</v>
      </c>
      <c r="H151" t="str">
        <f>CONCATENATE(D150,D152,E150)</f>
        <v>LucaAdiL</v>
      </c>
      <c r="I151" s="7" t="str">
        <f>CONCATENATE(D151,D152,E151)</f>
        <v>FaisAdiL</v>
      </c>
      <c r="J151" s="7" t="str">
        <f>VLOOKUP(D151,Stats!B:B,1,0)</f>
        <v>Fais</v>
      </c>
    </row>
    <row r="152" spans="1:10" x14ac:dyDescent="0.25">
      <c r="A152" s="22"/>
      <c r="B152" s="8" t="str">
        <f>CONCATENATE($D152,((COUNTIFS($D:$D,$D152)-COUNTIF($D$3:$D152,$D152))+1))</f>
        <v>Adi24</v>
      </c>
      <c r="C152" s="8">
        <f>C151</f>
        <v>45391</v>
      </c>
      <c r="D152" s="2" t="s">
        <v>47</v>
      </c>
      <c r="E152" s="2" t="s">
        <v>73</v>
      </c>
      <c r="F152" s="13"/>
      <c r="G152" s="2"/>
      <c r="H152" s="2"/>
      <c r="I152" s="9"/>
      <c r="J152" s="9" t="str">
        <f>VLOOKUP(D152,Stats!B:B,1,0)</f>
        <v>Adi</v>
      </c>
    </row>
    <row r="153" spans="1:10" x14ac:dyDescent="0.25">
      <c r="A153" s="22"/>
      <c r="B153" s="3" t="str">
        <f>CONCATENATE($D153,((COUNTIFS($D:$D,$D153)-COUNTIF($D$3:$D153,$D153))+1))</f>
        <v>Victor13</v>
      </c>
      <c r="C153" s="3">
        <f>C143+7</f>
        <v>45398</v>
      </c>
      <c r="D153" s="4" t="s">
        <v>31</v>
      </c>
      <c r="E153" s="4" t="s">
        <v>72</v>
      </c>
      <c r="F153" s="32" t="str">
        <f>CONCATENATE(D153,D154,E153)</f>
        <v>VictorTchiW</v>
      </c>
      <c r="I153" s="5"/>
      <c r="J153" s="5" t="str">
        <f>VLOOKUP(D153,Stats!B:B,1,0)</f>
        <v>Victor</v>
      </c>
    </row>
    <row r="154" spans="1:10" x14ac:dyDescent="0.25">
      <c r="A154" s="22"/>
      <c r="B154" s="6" t="str">
        <f>CONCATENATE($D154,((COUNTIFS($D:$D,$D154)-COUNTIF($D$3:$D154,$D154))+1))</f>
        <v>Tchi22</v>
      </c>
      <c r="C154" s="6">
        <f>C153</f>
        <v>45398</v>
      </c>
      <c r="D154" t="s">
        <v>37</v>
      </c>
      <c r="E154" t="s">
        <v>72</v>
      </c>
      <c r="F154" s="32" t="str">
        <f>CONCATENATE(D153,D155,E153)</f>
        <v>VictorDobroW</v>
      </c>
      <c r="G154" t="str">
        <f>CONCATENATE(D154,D155,E154)</f>
        <v>TchiDobroW</v>
      </c>
      <c r="I154" s="7"/>
      <c r="J154" s="7" t="str">
        <f>VLOOKUP(D154,Stats!B:B,1,0)</f>
        <v>Tchi</v>
      </c>
    </row>
    <row r="155" spans="1:10" x14ac:dyDescent="0.25">
      <c r="A155" s="22"/>
      <c r="B155" s="6" t="str">
        <f>CONCATENATE($D155,((COUNTIFS($D:$D,$D155)-COUNTIF($D$3:$D155,$D155))+1))</f>
        <v>Dobro32</v>
      </c>
      <c r="C155" s="6">
        <f t="shared" ref="C155:C161" si="9">C154</f>
        <v>45398</v>
      </c>
      <c r="D155" t="s">
        <v>35</v>
      </c>
      <c r="E155" t="s">
        <v>72</v>
      </c>
      <c r="F155" s="32" t="str">
        <f>CONCATENATE(D153,D156,E153)</f>
        <v>VictorPablo OGW</v>
      </c>
      <c r="G155" t="str">
        <f>CONCATENATE(D154,D156,E154)</f>
        <v>TchiPablo OGW</v>
      </c>
      <c r="H155" t="str">
        <f>CONCATENATE(D155,D156,E155)</f>
        <v>DobroPablo OGW</v>
      </c>
      <c r="I155" s="7"/>
      <c r="J155" s="7" t="str">
        <f>VLOOKUP(D155,Stats!B:B,1,0)</f>
        <v>Dobro</v>
      </c>
    </row>
    <row r="156" spans="1:10" x14ac:dyDescent="0.25">
      <c r="A156" s="22"/>
      <c r="B156" s="6" t="str">
        <f>CONCATENATE($D156,((COUNTIFS($D:$D,$D156)-COUNTIF($D$3:$D156,$D156))+1))</f>
        <v>Pablo OG24</v>
      </c>
      <c r="C156" s="6">
        <f t="shared" si="9"/>
        <v>45398</v>
      </c>
      <c r="D156" t="s">
        <v>42</v>
      </c>
      <c r="E156" t="s">
        <v>72</v>
      </c>
      <c r="F156" s="32" t="str">
        <f>CONCATENATE(D153,D157,E153)</f>
        <v>VictorBishoyW</v>
      </c>
      <c r="G156" t="str">
        <f>CONCATENATE(D154,D157,E154)</f>
        <v>TchiBishoyW</v>
      </c>
      <c r="H156" t="str">
        <f>CONCATENATE(D155,D157,E155)</f>
        <v>DobroBishoyW</v>
      </c>
      <c r="I156" s="7" t="str">
        <f>CONCATENATE(D156,D157,E156)</f>
        <v>Pablo OGBishoyW</v>
      </c>
      <c r="J156" s="7" t="str">
        <f>VLOOKUP(D156,Stats!B:B,1,0)</f>
        <v>Pablo OG</v>
      </c>
    </row>
    <row r="157" spans="1:10" x14ac:dyDescent="0.25">
      <c r="A157" s="22"/>
      <c r="B157" s="6" t="str">
        <f>CONCATENATE($D157,((COUNTIFS($D:$D,$D157)-COUNTIF($D$3:$D157,$D157))+1))</f>
        <v>Bishoy30</v>
      </c>
      <c r="C157" s="6">
        <f t="shared" si="9"/>
        <v>45398</v>
      </c>
      <c r="D157" t="s">
        <v>61</v>
      </c>
      <c r="E157" t="s">
        <v>72</v>
      </c>
      <c r="F157" s="32"/>
      <c r="I157" s="7"/>
      <c r="J157" s="7" t="str">
        <f>VLOOKUP(D157,Stats!B:B,1,0)</f>
        <v>Bishoy</v>
      </c>
    </row>
    <row r="158" spans="1:10" x14ac:dyDescent="0.25">
      <c r="A158" s="22"/>
      <c r="B158" s="6" t="str">
        <f>CONCATENATE($D158,((COUNTIFS($D:$D,$D158)-COUNTIF($D$3:$D158,$D158))+1))</f>
        <v>Luca27</v>
      </c>
      <c r="C158" s="6">
        <f t="shared" si="9"/>
        <v>45398</v>
      </c>
      <c r="D158" t="s">
        <v>46</v>
      </c>
      <c r="E158" t="s">
        <v>73</v>
      </c>
      <c r="F158" s="32" t="str">
        <f>CONCATENATE(D158,D159,E158)</f>
        <v>LucaAdamL</v>
      </c>
      <c r="I158" s="7"/>
      <c r="J158" s="7" t="str">
        <f>VLOOKUP(D158,Stats!B:B,1,0)</f>
        <v>Luca</v>
      </c>
    </row>
    <row r="159" spans="1:10" x14ac:dyDescent="0.25">
      <c r="A159" s="22"/>
      <c r="B159" s="6" t="str">
        <f>CONCATENATE($D159,((COUNTIFS($D:$D,$D159)-COUNTIF($D$3:$D159,$D159))+1))</f>
        <v>Adam39</v>
      </c>
      <c r="C159" s="6">
        <f t="shared" si="9"/>
        <v>45398</v>
      </c>
      <c r="D159" t="s">
        <v>53</v>
      </c>
      <c r="E159" t="s">
        <v>73</v>
      </c>
      <c r="F159" s="32" t="str">
        <f>CONCATENATE(D158,D160,E158)</f>
        <v>LucaMaartenL</v>
      </c>
      <c r="G159" t="str">
        <f>CONCATENATE(D159,D160,E159)</f>
        <v>AdamMaartenL</v>
      </c>
      <c r="I159" s="7"/>
      <c r="J159" s="7" t="str">
        <f>VLOOKUP(D159,Stats!B:B,1,0)</f>
        <v>Adam</v>
      </c>
    </row>
    <row r="160" spans="1:10" x14ac:dyDescent="0.25">
      <c r="A160" s="22"/>
      <c r="B160" s="6" t="str">
        <f>CONCATENATE($D160,((COUNTIFS($D:$D,$D160)-COUNTIF($D$3:$D160,$D160))+1))</f>
        <v>Maarten28</v>
      </c>
      <c r="C160" s="6">
        <f t="shared" si="9"/>
        <v>45398</v>
      </c>
      <c r="D160" t="s">
        <v>58</v>
      </c>
      <c r="E160" t="s">
        <v>73</v>
      </c>
      <c r="F160" s="32" t="str">
        <f>CONCATENATE(D158,D161,E158)</f>
        <v>LucaGiovanniL</v>
      </c>
      <c r="G160" t="str">
        <f>CONCATENATE(D159,D161,E159)</f>
        <v>AdamGiovanniL</v>
      </c>
      <c r="H160" t="str">
        <f>CONCATENATE(D160,D161,E160)</f>
        <v>MaartenGiovanniL</v>
      </c>
      <c r="I160" s="7"/>
      <c r="J160" s="7" t="str">
        <f>VLOOKUP(D160,Stats!B:B,1,0)</f>
        <v>Maarten</v>
      </c>
    </row>
    <row r="161" spans="1:10" x14ac:dyDescent="0.25">
      <c r="A161" s="22"/>
      <c r="B161" s="6" t="str">
        <f>CONCATENATE($D161,((COUNTIFS($D:$D,$D161)-COUNTIF($D$3:$D161,$D161))+1))</f>
        <v>Giovanni30</v>
      </c>
      <c r="C161" s="6">
        <f t="shared" si="9"/>
        <v>45398</v>
      </c>
      <c r="D161" t="s">
        <v>45</v>
      </c>
      <c r="E161" t="s">
        <v>73</v>
      </c>
      <c r="F161" s="32" t="str">
        <f>CONCATENATE(D158,D162,E158)</f>
        <v>LucaAkbarL</v>
      </c>
      <c r="G161" t="str">
        <f>CONCATENATE(D159,D162,E159)</f>
        <v>AdamAkbarL</v>
      </c>
      <c r="H161" t="str">
        <f>CONCATENATE(D160,D162,E160)</f>
        <v>MaartenAkbarL</v>
      </c>
      <c r="I161" s="7" t="str">
        <f>CONCATENATE(D161,D162,E161)</f>
        <v>GiovanniAkbarL</v>
      </c>
      <c r="J161" s="7" t="str">
        <f>VLOOKUP(D161,Stats!B:B,1,0)</f>
        <v>Giovanni</v>
      </c>
    </row>
    <row r="162" spans="1:10" x14ac:dyDescent="0.25">
      <c r="A162" s="22"/>
      <c r="B162" s="8" t="str">
        <f>CONCATENATE($D162,((COUNTIFS($D:$D,$D162)-COUNTIF($D$3:$D162,$D162))+1))</f>
        <v>Akbar18</v>
      </c>
      <c r="C162" s="8">
        <f>C161</f>
        <v>45398</v>
      </c>
      <c r="D162" s="2" t="s">
        <v>54</v>
      </c>
      <c r="E162" s="2" t="s">
        <v>73</v>
      </c>
      <c r="F162" s="13"/>
      <c r="G162" s="2"/>
      <c r="H162" s="2"/>
      <c r="I162" s="9"/>
      <c r="J162" s="9" t="str">
        <f>VLOOKUP(D162,Stats!B:B,1,0)</f>
        <v>Akbar</v>
      </c>
    </row>
    <row r="163" spans="1:10" x14ac:dyDescent="0.25">
      <c r="A163" s="22"/>
      <c r="B163" s="3" t="str">
        <f>CONCATENATE($D163,((COUNTIFS($D:$D,$D163)-COUNTIF($D$3:$D163,$D163))+1))</f>
        <v>Pablo OG23</v>
      </c>
      <c r="C163" s="3">
        <f>C153+2</f>
        <v>45400</v>
      </c>
      <c r="D163" s="4" t="s">
        <v>42</v>
      </c>
      <c r="E163" s="4" t="s">
        <v>72</v>
      </c>
      <c r="F163" s="32" t="str">
        <f>CONCATENATE(D163,D164,E163)</f>
        <v>Pablo OGMarcoW</v>
      </c>
      <c r="I163" s="5"/>
      <c r="J163" s="5" t="str">
        <f>VLOOKUP(D163,Stats!B:B,1,0)</f>
        <v>Pablo OG</v>
      </c>
    </row>
    <row r="164" spans="1:10" x14ac:dyDescent="0.25">
      <c r="A164" s="22"/>
      <c r="B164" s="6" t="str">
        <f>CONCATENATE($D164,((COUNTIFS($D:$D,$D164)-COUNTIF($D$3:$D164,$D164))+1))</f>
        <v>Marco3</v>
      </c>
      <c r="C164" s="6">
        <f>C163</f>
        <v>45400</v>
      </c>
      <c r="D164" t="s">
        <v>38</v>
      </c>
      <c r="E164" t="s">
        <v>72</v>
      </c>
      <c r="F164" s="32" t="str">
        <f>CONCATENATE(D163,D165,E163)</f>
        <v>Pablo OGArneW</v>
      </c>
      <c r="G164" t="str">
        <f>CONCATENATE(D164,D165,E164)</f>
        <v>MarcoArneW</v>
      </c>
      <c r="I164" s="7"/>
      <c r="J164" s="7" t="str">
        <f>VLOOKUP(D164,Stats!B:B,1,0)</f>
        <v>Marco</v>
      </c>
    </row>
    <row r="165" spans="1:10" x14ac:dyDescent="0.25">
      <c r="A165" s="22"/>
      <c r="B165" s="6" t="str">
        <f>CONCATENATE($D165,((COUNTIFS($D:$D,$D165)-COUNTIF($D$3:$D165,$D165))+1))</f>
        <v>Arne7</v>
      </c>
      <c r="C165" s="6">
        <f t="shared" ref="C165:C171" si="10">C164</f>
        <v>45400</v>
      </c>
      <c r="D165" t="s">
        <v>49</v>
      </c>
      <c r="E165" t="s">
        <v>72</v>
      </c>
      <c r="F165" s="32" t="str">
        <f>CONCATENATE(D163,D166,E163)</f>
        <v>Pablo OGFiratW</v>
      </c>
      <c r="G165" t="str">
        <f>CONCATENATE(D164,D166,E164)</f>
        <v>MarcoFiratW</v>
      </c>
      <c r="H165" t="str">
        <f>CONCATENATE(D165,D166,E165)</f>
        <v>ArneFiratW</v>
      </c>
      <c r="I165" s="7"/>
      <c r="J165" s="7" t="str">
        <f>VLOOKUP(D165,Stats!B:B,1,0)</f>
        <v>Arne</v>
      </c>
    </row>
    <row r="166" spans="1:10" x14ac:dyDescent="0.25">
      <c r="A166" s="22"/>
      <c r="B166" s="6" t="str">
        <f>CONCATENATE($D166,((COUNTIFS($D:$D,$D166)-COUNTIF($D$3:$D166,$D166))+1))</f>
        <v>Firat14</v>
      </c>
      <c r="C166" s="6">
        <f t="shared" si="10"/>
        <v>45400</v>
      </c>
      <c r="D166" t="s">
        <v>33</v>
      </c>
      <c r="E166" t="s">
        <v>72</v>
      </c>
      <c r="F166" s="32" t="str">
        <f>CONCATENATE(D163,D167,E163)</f>
        <v>Pablo OGSizweW</v>
      </c>
      <c r="G166" t="str">
        <f>CONCATENATE(D164,D167,E164)</f>
        <v>MarcoSizweW</v>
      </c>
      <c r="H166" t="str">
        <f>CONCATENATE(D165,D167,E165)</f>
        <v>ArneSizweW</v>
      </c>
      <c r="I166" s="7" t="str">
        <f>CONCATENATE(D166,D167,E166)</f>
        <v>FiratSizweW</v>
      </c>
      <c r="J166" s="7" t="str">
        <f>VLOOKUP(D166,Stats!B:B,1,0)</f>
        <v>Firat</v>
      </c>
    </row>
    <row r="167" spans="1:10" x14ac:dyDescent="0.25">
      <c r="A167" s="22"/>
      <c r="B167" s="6" t="str">
        <f>CONCATENATE($D167,((COUNTIFS($D:$D,$D167)-COUNTIF($D$3:$D167,$D167))+1))</f>
        <v>Sizwe22</v>
      </c>
      <c r="C167" s="6">
        <f t="shared" si="10"/>
        <v>45400</v>
      </c>
      <c r="D167" t="s">
        <v>44</v>
      </c>
      <c r="E167" t="s">
        <v>72</v>
      </c>
      <c r="F167" s="32"/>
      <c r="I167" s="7"/>
      <c r="J167" s="7" t="str">
        <f>VLOOKUP(D167,Stats!B:B,1,0)</f>
        <v>Sizwe</v>
      </c>
    </row>
    <row r="168" spans="1:10" x14ac:dyDescent="0.25">
      <c r="A168" s="22"/>
      <c r="B168" s="6" t="str">
        <f>CONCATENATE($D168,((COUNTIFS($D:$D,$D168)-COUNTIF($D$3:$D168,$D168))+1))</f>
        <v>Maarten27</v>
      </c>
      <c r="C168" s="6">
        <f t="shared" si="10"/>
        <v>45400</v>
      </c>
      <c r="D168" t="s">
        <v>58</v>
      </c>
      <c r="E168" t="s">
        <v>73</v>
      </c>
      <c r="F168" s="32" t="str">
        <f>CONCATENATE(D168,D169,E168)</f>
        <v>MaartenImanL</v>
      </c>
      <c r="I168" s="7"/>
      <c r="J168" s="7" t="str">
        <f>VLOOKUP(D168,Stats!B:B,1,0)</f>
        <v>Maarten</v>
      </c>
    </row>
    <row r="169" spans="1:10" x14ac:dyDescent="0.25">
      <c r="A169" s="22"/>
      <c r="B169" s="6" t="str">
        <f>CONCATENATE($D169,((COUNTIFS($D:$D,$D169)-COUNTIF($D$3:$D169,$D169))+1))</f>
        <v>Iman3</v>
      </c>
      <c r="C169" s="6">
        <f t="shared" si="10"/>
        <v>45400</v>
      </c>
      <c r="D169" t="s">
        <v>50</v>
      </c>
      <c r="E169" t="s">
        <v>73</v>
      </c>
      <c r="F169" s="32" t="str">
        <f>CONCATENATE(D168,D170,E168)</f>
        <v>MaartenThijsL</v>
      </c>
      <c r="G169" t="str">
        <f>CONCATENATE(D169,D170,E169)</f>
        <v>ImanThijsL</v>
      </c>
      <c r="I169" s="7"/>
      <c r="J169" s="7" t="str">
        <f>VLOOKUP(D169,Stats!B:B,1,0)</f>
        <v>Iman</v>
      </c>
    </row>
    <row r="170" spans="1:10" x14ac:dyDescent="0.25">
      <c r="A170" s="22"/>
      <c r="B170" s="6" t="str">
        <f>CONCATENATE($D170,((COUNTIFS($D:$D,$D170)-COUNTIF($D$3:$D170,$D170))+1))</f>
        <v>Thijs10</v>
      </c>
      <c r="C170" s="6">
        <f t="shared" si="10"/>
        <v>45400</v>
      </c>
      <c r="D170" t="s">
        <v>24</v>
      </c>
      <c r="E170" t="s">
        <v>73</v>
      </c>
      <c r="F170" s="32" t="str">
        <f>CONCATENATE(D168,D171,E168)</f>
        <v>MaartenAdamL</v>
      </c>
      <c r="G170" t="str">
        <f>CONCATENATE(D169,D171,E169)</f>
        <v>ImanAdamL</v>
      </c>
      <c r="H170" t="str">
        <f>CONCATENATE(D170,D171,E170)</f>
        <v>ThijsAdamL</v>
      </c>
      <c r="I170" s="7"/>
      <c r="J170" s="7" t="str">
        <f>VLOOKUP(D170,Stats!B:B,1,0)</f>
        <v>Thijs</v>
      </c>
    </row>
    <row r="171" spans="1:10" x14ac:dyDescent="0.25">
      <c r="A171" s="22"/>
      <c r="B171" s="6" t="str">
        <f>CONCATENATE($D171,((COUNTIFS($D:$D,$D171)-COUNTIF($D$3:$D171,$D171))+1))</f>
        <v>Adam38</v>
      </c>
      <c r="C171" s="6">
        <f t="shared" si="10"/>
        <v>45400</v>
      </c>
      <c r="D171" t="s">
        <v>53</v>
      </c>
      <c r="E171" t="s">
        <v>73</v>
      </c>
      <c r="F171" s="32" t="str">
        <f>CONCATENATE(D168,D172,E168)</f>
        <v>MaartenNimaL</v>
      </c>
      <c r="G171" t="str">
        <f>CONCATENATE(D169,D172,E169)</f>
        <v>ImanNimaL</v>
      </c>
      <c r="H171" t="str">
        <f>CONCATENATE(D170,D172,E170)</f>
        <v>ThijsNimaL</v>
      </c>
      <c r="I171" s="7" t="str">
        <f>CONCATENATE(D171,D172,E171)</f>
        <v>AdamNimaL</v>
      </c>
      <c r="J171" s="7" t="str">
        <f>VLOOKUP(D171,Stats!B:B,1,0)</f>
        <v>Adam</v>
      </c>
    </row>
    <row r="172" spans="1:10" x14ac:dyDescent="0.25">
      <c r="A172" s="22"/>
      <c r="B172" s="8" t="str">
        <f>CONCATENATE($D172,((COUNTIFS($D:$D,$D172)-COUNTIF($D$3:$D172,$D172))+1))</f>
        <v>Nima10</v>
      </c>
      <c r="C172" s="8">
        <f>C171</f>
        <v>45400</v>
      </c>
      <c r="D172" s="2" t="s">
        <v>43</v>
      </c>
      <c r="E172" s="2" t="s">
        <v>73</v>
      </c>
      <c r="F172" s="13"/>
      <c r="G172" s="2"/>
      <c r="H172" s="2"/>
      <c r="I172" s="9"/>
      <c r="J172" s="9" t="str">
        <f>VLOOKUP(D172,Stats!B:B,1,0)</f>
        <v>Nima</v>
      </c>
    </row>
    <row r="173" spans="1:10" x14ac:dyDescent="0.25">
      <c r="A173" s="22"/>
      <c r="B173" s="3" t="str">
        <f>CONCATENATE($D173,((COUNTIFS($D:$D,$D173)-COUNTIF($D$3:$D173,$D173))+1))</f>
        <v>Reza22</v>
      </c>
      <c r="C173" s="3">
        <f>C163+5</f>
        <v>45405</v>
      </c>
      <c r="D173" s="4" t="s">
        <v>32</v>
      </c>
      <c r="E173" s="4" t="s">
        <v>72</v>
      </c>
      <c r="F173" s="32" t="str">
        <f>CONCATENATE(D173,D174,E173)</f>
        <v>RezaPablo OGW</v>
      </c>
      <c r="I173" s="5"/>
      <c r="J173" s="5" t="str">
        <f>VLOOKUP(D173,Stats!B:B,1,0)</f>
        <v>Reza</v>
      </c>
    </row>
    <row r="174" spans="1:10" x14ac:dyDescent="0.25">
      <c r="A174" s="22"/>
      <c r="B174" s="6" t="str">
        <f>CONCATENATE($D174,((COUNTIFS($D:$D,$D174)-COUNTIF($D$3:$D174,$D174))+1))</f>
        <v>Pablo OG22</v>
      </c>
      <c r="C174" s="6">
        <f>C173</f>
        <v>45405</v>
      </c>
      <c r="D174" t="s">
        <v>42</v>
      </c>
      <c r="E174" t="s">
        <v>72</v>
      </c>
      <c r="F174" s="32" t="str">
        <f>CONCATENATE(D173,D175,E173)</f>
        <v>RezaMarcoW</v>
      </c>
      <c r="G174" t="str">
        <f>CONCATENATE(D174,D175,E174)</f>
        <v>Pablo OGMarcoW</v>
      </c>
      <c r="I174" s="7"/>
      <c r="J174" s="7" t="str">
        <f>VLOOKUP(D174,Stats!B:B,1,0)</f>
        <v>Pablo OG</v>
      </c>
    </row>
    <row r="175" spans="1:10" x14ac:dyDescent="0.25">
      <c r="A175" s="22"/>
      <c r="B175" s="6" t="str">
        <f>CONCATENATE($D175,((COUNTIFS($D:$D,$D175)-COUNTIF($D$3:$D175,$D175))+1))</f>
        <v>Marco2</v>
      </c>
      <c r="C175" s="6">
        <f t="shared" ref="C175:C181" si="11">C174</f>
        <v>45405</v>
      </c>
      <c r="D175" t="s">
        <v>38</v>
      </c>
      <c r="E175" t="s">
        <v>72</v>
      </c>
      <c r="F175" s="32" t="str">
        <f>CONCATENATE(D173,D176,E173)</f>
        <v>RezaArneW</v>
      </c>
      <c r="G175" t="str">
        <f>CONCATENATE(D174,D176,E174)</f>
        <v>Pablo OGArneW</v>
      </c>
      <c r="H175" t="str">
        <f>CONCATENATE(D175,D176,E175)</f>
        <v>MarcoArneW</v>
      </c>
      <c r="I175" s="7"/>
      <c r="J175" s="7" t="str">
        <f>VLOOKUP(D175,Stats!B:B,1,0)</f>
        <v>Marco</v>
      </c>
    </row>
    <row r="176" spans="1:10" x14ac:dyDescent="0.25">
      <c r="A176" s="22"/>
      <c r="B176" s="6" t="str">
        <f>CONCATENATE($D176,((COUNTIFS($D:$D,$D176)-COUNTIF($D$3:$D176,$D176))+1))</f>
        <v>Arne6</v>
      </c>
      <c r="C176" s="6">
        <f t="shared" si="11"/>
        <v>45405</v>
      </c>
      <c r="D176" t="s">
        <v>49</v>
      </c>
      <c r="E176" t="s">
        <v>72</v>
      </c>
      <c r="F176" s="32" t="str">
        <f>CONCATENATE(D173,D177,E173)</f>
        <v>RezaWouterW</v>
      </c>
      <c r="G176" t="str">
        <f>CONCATENATE(D174,D177,E174)</f>
        <v>Pablo OGWouterW</v>
      </c>
      <c r="H176" t="str">
        <f>CONCATENATE(D175,D177,E175)</f>
        <v>MarcoWouterW</v>
      </c>
      <c r="I176" s="7" t="str">
        <f>CONCATENATE(D176,D177,E176)</f>
        <v>ArneWouterW</v>
      </c>
      <c r="J176" s="7" t="str">
        <f>VLOOKUP(D176,Stats!B:B,1,0)</f>
        <v>Arne</v>
      </c>
    </row>
    <row r="177" spans="1:10" x14ac:dyDescent="0.25">
      <c r="A177" s="22"/>
      <c r="B177" s="6" t="str">
        <f>CONCATENATE($D177,((COUNTIFS($D:$D,$D177)-COUNTIF($D$3:$D177,$D177))+1))</f>
        <v>Wouter20</v>
      </c>
      <c r="C177" s="6">
        <f t="shared" si="11"/>
        <v>45405</v>
      </c>
      <c r="D177" t="s">
        <v>36</v>
      </c>
      <c r="E177" t="s">
        <v>72</v>
      </c>
      <c r="F177" s="32"/>
      <c r="I177" s="7"/>
      <c r="J177" s="7" t="str">
        <f>VLOOKUP(D177,Stats!B:B,1,0)</f>
        <v>Wouter</v>
      </c>
    </row>
    <row r="178" spans="1:10" x14ac:dyDescent="0.25">
      <c r="A178" s="22"/>
      <c r="B178" s="6" t="str">
        <f>CONCATENATE($D178,((COUNTIFS($D:$D,$D178)-COUNTIF($D$3:$D178,$D178))+1))</f>
        <v>Giovanni29</v>
      </c>
      <c r="C178" s="6">
        <f t="shared" si="11"/>
        <v>45405</v>
      </c>
      <c r="D178" t="s">
        <v>45</v>
      </c>
      <c r="E178" t="s">
        <v>73</v>
      </c>
      <c r="F178" s="32" t="str">
        <f>CONCATENATE(D178,D179,E178)</f>
        <v>GiovanniTchiL</v>
      </c>
      <c r="I178" s="7"/>
      <c r="J178" s="7" t="str">
        <f>VLOOKUP(D178,Stats!B:B,1,0)</f>
        <v>Giovanni</v>
      </c>
    </row>
    <row r="179" spans="1:10" x14ac:dyDescent="0.25">
      <c r="A179" s="22"/>
      <c r="B179" s="6" t="str">
        <f>CONCATENATE($D179,((COUNTIFS($D:$D,$D179)-COUNTIF($D$3:$D179,$D179))+1))</f>
        <v>Tchi21</v>
      </c>
      <c r="C179" s="6">
        <f t="shared" si="11"/>
        <v>45405</v>
      </c>
      <c r="D179" t="s">
        <v>37</v>
      </c>
      <c r="E179" t="s">
        <v>73</v>
      </c>
      <c r="F179" s="32" t="str">
        <f>CONCATENATE(D178,D180,E178)</f>
        <v>GiovanniNimaL</v>
      </c>
      <c r="G179" t="str">
        <f>CONCATENATE(D179,D180,E179)</f>
        <v>TchiNimaL</v>
      </c>
      <c r="I179" s="7"/>
      <c r="J179" s="7" t="str">
        <f>VLOOKUP(D179,Stats!B:B,1,0)</f>
        <v>Tchi</v>
      </c>
    </row>
    <row r="180" spans="1:10" x14ac:dyDescent="0.25">
      <c r="A180" s="22"/>
      <c r="B180" s="6" t="str">
        <f>CONCATENATE($D180,((COUNTIFS($D:$D,$D180)-COUNTIF($D$3:$D180,$D180))+1))</f>
        <v>Nima9</v>
      </c>
      <c r="C180" s="6">
        <f t="shared" si="11"/>
        <v>45405</v>
      </c>
      <c r="D180" t="s">
        <v>43</v>
      </c>
      <c r="E180" t="s">
        <v>73</v>
      </c>
      <c r="F180" s="32" t="str">
        <f>CONCATENATE(D178,D181,E178)</f>
        <v>GiovanniMichielL</v>
      </c>
      <c r="G180" t="str">
        <f>CONCATENATE(D179,D181,E179)</f>
        <v>TchiMichielL</v>
      </c>
      <c r="H180" t="str">
        <f>CONCATENATE(D180,D181,E180)</f>
        <v>NimaMichielL</v>
      </c>
      <c r="I180" s="7"/>
      <c r="J180" s="7" t="str">
        <f>VLOOKUP(D180,Stats!B:B,1,0)</f>
        <v>Nima</v>
      </c>
    </row>
    <row r="181" spans="1:10" x14ac:dyDescent="0.25">
      <c r="A181" s="22"/>
      <c r="B181" s="6" t="str">
        <f>CONCATENATE($D181,((COUNTIFS($D:$D,$D181)-COUNTIF($D$3:$D181,$D181))+1))</f>
        <v>Michiel2</v>
      </c>
      <c r="C181" s="6">
        <f t="shared" si="11"/>
        <v>45405</v>
      </c>
      <c r="D181" t="s">
        <v>51</v>
      </c>
      <c r="E181" t="s">
        <v>73</v>
      </c>
      <c r="F181" s="32" t="str">
        <f>CONCATENATE(D178,D182,E178)</f>
        <v>GiovanniSamirL</v>
      </c>
      <c r="G181" t="str">
        <f>CONCATENATE(D179,D182,E179)</f>
        <v>TchiSamirL</v>
      </c>
      <c r="H181" t="str">
        <f>CONCATENATE(D180,D182,E180)</f>
        <v>NimaSamirL</v>
      </c>
      <c r="I181" s="7" t="str">
        <f>CONCATENATE(D181,D182,E181)</f>
        <v>MichielSamirL</v>
      </c>
      <c r="J181" s="7" t="str">
        <f>VLOOKUP(D181,Stats!B:B,1,0)</f>
        <v>Michiel</v>
      </c>
    </row>
    <row r="182" spans="1:10" x14ac:dyDescent="0.25">
      <c r="A182" s="22"/>
      <c r="B182" s="8" t="str">
        <f>CONCATENATE($D182,((COUNTIFS($D:$D,$D182)-COUNTIF($D$3:$D182,$D182))+1))</f>
        <v>Samir2</v>
      </c>
      <c r="C182" s="8">
        <f>C181</f>
        <v>45405</v>
      </c>
      <c r="D182" s="2" t="s">
        <v>40</v>
      </c>
      <c r="E182" s="2" t="s">
        <v>73</v>
      </c>
      <c r="F182" s="13"/>
      <c r="G182" s="2"/>
      <c r="H182" s="2"/>
      <c r="I182" s="9"/>
      <c r="J182" s="9" t="str">
        <f>VLOOKUP(D182,Stats!B:B,1,0)</f>
        <v>Samir</v>
      </c>
    </row>
    <row r="183" spans="1:10" x14ac:dyDescent="0.25">
      <c r="A183" s="22"/>
      <c r="B183" s="3" t="str">
        <f>CONCATENATE($D183,((COUNTIFS($D:$D,$D183)-COUNTIF($D$3:$D183,$D183))+1))</f>
        <v>Victor12</v>
      </c>
      <c r="C183" s="3">
        <v>45405</v>
      </c>
      <c r="D183" s="4" t="s">
        <v>31</v>
      </c>
      <c r="E183" s="4" t="s">
        <v>72</v>
      </c>
      <c r="F183" s="32" t="str">
        <f>CONCATENATE(D183,D184,E183)</f>
        <v>VictorFaisW</v>
      </c>
      <c r="I183" s="5"/>
      <c r="J183" s="5" t="str">
        <f>VLOOKUP(D183,Stats!B:B,1,0)</f>
        <v>Victor</v>
      </c>
    </row>
    <row r="184" spans="1:10" x14ac:dyDescent="0.25">
      <c r="A184" s="22"/>
      <c r="B184" s="6" t="str">
        <f>CONCATENATE($D184,((COUNTIFS($D:$D,$D184)-COUNTIF($D$3:$D184,$D184))+1))</f>
        <v>Fais2</v>
      </c>
      <c r="C184" s="6">
        <v>45405</v>
      </c>
      <c r="D184" t="s">
        <v>41</v>
      </c>
      <c r="E184" t="s">
        <v>72</v>
      </c>
      <c r="F184" s="32" t="str">
        <f>CONCATENATE(D183,D185,E183)</f>
        <v>VictorDobroW</v>
      </c>
      <c r="G184" t="str">
        <f>CONCATENATE(D184,D185,E184)</f>
        <v>FaisDobroW</v>
      </c>
      <c r="I184" s="7"/>
      <c r="J184" s="7" t="str">
        <f>VLOOKUP(D184,Stats!B:B,1,0)</f>
        <v>Fais</v>
      </c>
    </row>
    <row r="185" spans="1:10" x14ac:dyDescent="0.25">
      <c r="A185" s="22"/>
      <c r="B185" s="6" t="str">
        <f>CONCATENATE($D185,((COUNTIFS($D:$D,$D185)-COUNTIF($D$3:$D185,$D185))+1))</f>
        <v>Dobro31</v>
      </c>
      <c r="C185" s="6">
        <v>45405</v>
      </c>
      <c r="D185" t="s">
        <v>35</v>
      </c>
      <c r="E185" t="s">
        <v>72</v>
      </c>
      <c r="F185" s="32" t="str">
        <f>CONCATENATE(D183,D186,E183)</f>
        <v>VictorAkbarW</v>
      </c>
      <c r="G185" t="str">
        <f>CONCATENATE(D184,D186,E184)</f>
        <v>FaisAkbarW</v>
      </c>
      <c r="H185" t="str">
        <f>CONCATENATE(D185,D186,E185)</f>
        <v>DobroAkbarW</v>
      </c>
      <c r="I185" s="7"/>
      <c r="J185" s="7" t="str">
        <f>VLOOKUP(D185,Stats!B:B,1,0)</f>
        <v>Dobro</v>
      </c>
    </row>
    <row r="186" spans="1:10" x14ac:dyDescent="0.25">
      <c r="A186" s="22"/>
      <c r="B186" s="6" t="str">
        <f>CONCATENATE($D186,((COUNTIFS($D:$D,$D186)-COUNTIF($D$3:$D186,$D186))+1))</f>
        <v>Akbar17</v>
      </c>
      <c r="C186" s="6">
        <v>45405</v>
      </c>
      <c r="D186" t="s">
        <v>54</v>
      </c>
      <c r="E186" t="s">
        <v>72</v>
      </c>
      <c r="F186" s="32" t="str">
        <f>CONCATENATE(D183,D187,E183)</f>
        <v>VictorAdamW</v>
      </c>
      <c r="G186" t="str">
        <f>CONCATENATE(D184,D187,E184)</f>
        <v>FaisAdamW</v>
      </c>
      <c r="H186" t="str">
        <f>CONCATENATE(D185,D187,E185)</f>
        <v>DobroAdamW</v>
      </c>
      <c r="I186" s="7" t="str">
        <f>CONCATENATE(D186,D187,E186)</f>
        <v>AkbarAdamW</v>
      </c>
      <c r="J186" s="7" t="str">
        <f>VLOOKUP(D186,Stats!B:B,1,0)</f>
        <v>Akbar</v>
      </c>
    </row>
    <row r="187" spans="1:10" x14ac:dyDescent="0.25">
      <c r="A187" s="22"/>
      <c r="B187" s="6" t="str">
        <f>CONCATENATE($D187,((COUNTIFS($D:$D,$D187)-COUNTIF($D$3:$D187,$D187))+1))</f>
        <v>Adam37</v>
      </c>
      <c r="C187" s="6">
        <v>45405</v>
      </c>
      <c r="D187" t="s">
        <v>53</v>
      </c>
      <c r="E187" t="s">
        <v>72</v>
      </c>
      <c r="F187" s="32"/>
      <c r="I187" s="7"/>
      <c r="J187" s="7" t="str">
        <f>VLOOKUP(D187,Stats!B:B,1,0)</f>
        <v>Adam</v>
      </c>
    </row>
    <row r="188" spans="1:10" x14ac:dyDescent="0.25">
      <c r="A188" s="22"/>
      <c r="B188" s="6" t="str">
        <f>CONCATENATE($D188,((COUNTIFS($D:$D,$D188)-COUNTIF($D$3:$D188,$D188))+1))</f>
        <v>Bishoy29</v>
      </c>
      <c r="C188" s="6">
        <v>45405</v>
      </c>
      <c r="D188" t="s">
        <v>61</v>
      </c>
      <c r="E188" t="s">
        <v>73</v>
      </c>
      <c r="F188" s="32" t="str">
        <f>CONCATENATE(D188,D189,E188)</f>
        <v>BishoyMaartenL</v>
      </c>
      <c r="I188" s="7"/>
      <c r="J188" s="7" t="str">
        <f>VLOOKUP(D188,Stats!B:B,1,0)</f>
        <v>Bishoy</v>
      </c>
    </row>
    <row r="189" spans="1:10" x14ac:dyDescent="0.25">
      <c r="A189" s="22"/>
      <c r="B189" s="6" t="str">
        <f>CONCATENATE($D189,((COUNTIFS($D:$D,$D189)-COUNTIF($D$3:$D189,$D189))+1))</f>
        <v>Maarten26</v>
      </c>
      <c r="C189" s="6">
        <v>45405</v>
      </c>
      <c r="D189" t="s">
        <v>58</v>
      </c>
      <c r="E189" t="s">
        <v>73</v>
      </c>
      <c r="F189" s="32" t="str">
        <f>CONCATENATE(D188,D190,E188)</f>
        <v>BishoyJayL</v>
      </c>
      <c r="G189" t="str">
        <f>CONCATENATE(D189,D190,E189)</f>
        <v>MaartenJayL</v>
      </c>
      <c r="I189" s="7"/>
      <c r="J189" s="7" t="str">
        <f>VLOOKUP(D189,Stats!B:B,1,0)</f>
        <v>Maarten</v>
      </c>
    </row>
    <row r="190" spans="1:10" x14ac:dyDescent="0.25">
      <c r="A190" s="22"/>
      <c r="B190" s="6" t="str">
        <f>CONCATENATE($D190,((COUNTIFS($D:$D,$D190)-COUNTIF($D$3:$D190,$D190))+1))</f>
        <v>Jay7</v>
      </c>
      <c r="C190" s="6">
        <v>45405</v>
      </c>
      <c r="D190" t="s">
        <v>60</v>
      </c>
      <c r="E190" t="s">
        <v>73</v>
      </c>
      <c r="F190" s="32" t="str">
        <f>CONCATENATE(D188,D191,E188)</f>
        <v>BishoyLucaL</v>
      </c>
      <c r="G190" t="str">
        <f>CONCATENATE(D189,D191,E189)</f>
        <v>MaartenLucaL</v>
      </c>
      <c r="H190" t="str">
        <f>CONCATENATE(D190,D191,E190)</f>
        <v>JayLucaL</v>
      </c>
      <c r="I190" s="7"/>
      <c r="J190" s="7" t="str">
        <f>VLOOKUP(D190,Stats!B:B,1,0)</f>
        <v>Jay</v>
      </c>
    </row>
    <row r="191" spans="1:10" x14ac:dyDescent="0.25">
      <c r="A191" s="22"/>
      <c r="B191" s="6" t="str">
        <f>CONCATENATE($D191,((COUNTIFS($D:$D,$D191)-COUNTIF($D$3:$D191,$D191))+1))</f>
        <v>Luca26</v>
      </c>
      <c r="C191" s="6">
        <v>45405</v>
      </c>
      <c r="D191" t="s">
        <v>46</v>
      </c>
      <c r="E191" t="s">
        <v>73</v>
      </c>
      <c r="F191" s="32" t="str">
        <f>CONCATENATE(D188,D192,E188)</f>
        <v>BishoySizweL</v>
      </c>
      <c r="G191" t="str">
        <f>CONCATENATE(D189,D192,E189)</f>
        <v>MaartenSizweL</v>
      </c>
      <c r="H191" t="str">
        <f>CONCATENATE(D190,D192,E190)</f>
        <v>JaySizweL</v>
      </c>
      <c r="I191" s="7" t="str">
        <f>CONCATENATE(D191,D192,E191)</f>
        <v>LucaSizweL</v>
      </c>
      <c r="J191" s="7" t="str">
        <f>VLOOKUP(D191,Stats!B:B,1,0)</f>
        <v>Luca</v>
      </c>
    </row>
    <row r="192" spans="1:10" x14ac:dyDescent="0.25">
      <c r="A192" s="22"/>
      <c r="B192" s="8" t="str">
        <f>CONCATENATE($D192,((COUNTIFS($D:$D,$D192)-COUNTIF($D$3:$D192,$D192))+1))</f>
        <v>Sizwe21</v>
      </c>
      <c r="C192" s="8">
        <v>45405</v>
      </c>
      <c r="D192" s="2" t="s">
        <v>44</v>
      </c>
      <c r="E192" s="2" t="s">
        <v>73</v>
      </c>
      <c r="F192" s="13"/>
      <c r="G192" s="2"/>
      <c r="H192" s="2"/>
      <c r="I192" s="9"/>
      <c r="J192" s="9" t="str">
        <f>VLOOKUP(D192,Stats!B:B,1,0)</f>
        <v>Sizwe</v>
      </c>
    </row>
    <row r="193" spans="1:10" x14ac:dyDescent="0.25">
      <c r="A193" s="22"/>
      <c r="B193" s="3" t="str">
        <f>CONCATENATE($D193,((COUNTIFS($D:$D,$D193)-COUNTIF($D$3:$D193,$D193))+1))</f>
        <v>Victor11</v>
      </c>
      <c r="C193" s="3">
        <v>45405</v>
      </c>
      <c r="D193" s="4" t="s">
        <v>31</v>
      </c>
      <c r="E193" s="4" t="s">
        <v>72</v>
      </c>
      <c r="F193" s="32" t="str">
        <f>CONCATENATE(D193,D194,E193)</f>
        <v>VictorFaisW</v>
      </c>
      <c r="I193" s="5"/>
      <c r="J193" s="5" t="str">
        <f>VLOOKUP(D193,Stats!B:B,1,0)</f>
        <v>Victor</v>
      </c>
    </row>
    <row r="194" spans="1:10" x14ac:dyDescent="0.25">
      <c r="A194" s="22"/>
      <c r="B194" s="6" t="str">
        <f>CONCATENATE($D194,((COUNTIFS($D:$D,$D194)-COUNTIF($D$3:$D194,$D194))+1))</f>
        <v>Fais1</v>
      </c>
      <c r="C194" s="6">
        <v>45405</v>
      </c>
      <c r="D194" t="s">
        <v>41</v>
      </c>
      <c r="E194" t="s">
        <v>72</v>
      </c>
      <c r="F194" s="32" t="str">
        <f>CONCATENATE(D193,D195,E193)</f>
        <v>VictorDobroW</v>
      </c>
      <c r="G194" t="str">
        <f>CONCATENATE(D194,D195,E194)</f>
        <v>FaisDobroW</v>
      </c>
      <c r="I194" s="7"/>
      <c r="J194" s="7" t="str">
        <f>VLOOKUP(D194,Stats!B:B,1,0)</f>
        <v>Fais</v>
      </c>
    </row>
    <row r="195" spans="1:10" x14ac:dyDescent="0.25">
      <c r="A195" s="22"/>
      <c r="B195" s="6" t="str">
        <f>CONCATENATE($D195,((COUNTIFS($D:$D,$D195)-COUNTIF($D$3:$D195,$D195))+1))</f>
        <v>Dobro30</v>
      </c>
      <c r="C195" s="6">
        <v>45405</v>
      </c>
      <c r="D195" t="s">
        <v>35</v>
      </c>
      <c r="E195" t="s">
        <v>72</v>
      </c>
      <c r="F195" s="32" t="str">
        <f>CONCATENATE(D193,D196,E193)</f>
        <v>VictorAkbarW</v>
      </c>
      <c r="G195" t="str">
        <f>CONCATENATE(D194,D196,E194)</f>
        <v>FaisAkbarW</v>
      </c>
      <c r="H195" t="str">
        <f>CONCATENATE(D195,D196,E195)</f>
        <v>DobroAkbarW</v>
      </c>
      <c r="I195" s="7"/>
      <c r="J195" s="7" t="str">
        <f>VLOOKUP(D195,Stats!B:B,1,0)</f>
        <v>Dobro</v>
      </c>
    </row>
    <row r="196" spans="1:10" x14ac:dyDescent="0.25">
      <c r="A196" s="22"/>
      <c r="B196" s="6" t="str">
        <f>CONCATENATE($D196,((COUNTIFS($D:$D,$D196)-COUNTIF($D$3:$D196,$D196))+1))</f>
        <v>Akbar16</v>
      </c>
      <c r="C196" s="6">
        <v>45405</v>
      </c>
      <c r="D196" t="s">
        <v>54</v>
      </c>
      <c r="E196" t="s">
        <v>72</v>
      </c>
      <c r="F196" s="32" t="str">
        <f>CONCATENATE(D193,D197,E193)</f>
        <v>VictorAdamW</v>
      </c>
      <c r="G196" t="str">
        <f>CONCATENATE(D194,D197,E194)</f>
        <v>FaisAdamW</v>
      </c>
      <c r="H196" t="str">
        <f>CONCATENATE(D195,D197,E195)</f>
        <v>DobroAdamW</v>
      </c>
      <c r="I196" s="7" t="str">
        <f>CONCATENATE(D196,D197,E196)</f>
        <v>AkbarAdamW</v>
      </c>
      <c r="J196" s="7" t="str">
        <f>VLOOKUP(D196,Stats!B:B,1,0)</f>
        <v>Akbar</v>
      </c>
    </row>
    <row r="197" spans="1:10" x14ac:dyDescent="0.25">
      <c r="A197" s="22"/>
      <c r="B197" s="6" t="str">
        <f>CONCATENATE($D197,((COUNTIFS($D:$D,$D197)-COUNTIF($D$3:$D197,$D197))+1))</f>
        <v>Adam36</v>
      </c>
      <c r="C197" s="6">
        <v>45405</v>
      </c>
      <c r="D197" t="s">
        <v>53</v>
      </c>
      <c r="E197" t="s">
        <v>72</v>
      </c>
      <c r="F197" s="32"/>
      <c r="I197" s="7"/>
      <c r="J197" s="7" t="str">
        <f>VLOOKUP(D197,Stats!B:B,1,0)</f>
        <v>Adam</v>
      </c>
    </row>
    <row r="198" spans="1:10" x14ac:dyDescent="0.25">
      <c r="A198" s="22"/>
      <c r="B198" s="6" t="str">
        <f>CONCATENATE($D198,((COUNTIFS($D:$D,$D198)-COUNTIF($D$3:$D198,$D198))+1))</f>
        <v>Reza21</v>
      </c>
      <c r="C198" s="6">
        <v>45405</v>
      </c>
      <c r="D198" t="s">
        <v>32</v>
      </c>
      <c r="E198" t="s">
        <v>73</v>
      </c>
      <c r="F198" s="32" t="str">
        <f>CONCATENATE(D198,D199,E198)</f>
        <v>RezaPablo OGL</v>
      </c>
      <c r="I198" s="7"/>
      <c r="J198" s="7" t="str">
        <f>VLOOKUP(D198,Stats!B:B,1,0)</f>
        <v>Reza</v>
      </c>
    </row>
    <row r="199" spans="1:10" x14ac:dyDescent="0.25">
      <c r="A199" s="22"/>
      <c r="B199" s="6" t="str">
        <f>CONCATENATE($D199,((COUNTIFS($D:$D,$D199)-COUNTIF($D$3:$D199,$D199))+1))</f>
        <v>Pablo OG21</v>
      </c>
      <c r="C199" s="6">
        <v>45405</v>
      </c>
      <c r="D199" t="s">
        <v>42</v>
      </c>
      <c r="E199" t="s">
        <v>73</v>
      </c>
      <c r="F199" s="32" t="str">
        <f>CONCATENATE(D198,D200,E198)</f>
        <v>RezaMarcoL</v>
      </c>
      <c r="G199" t="str">
        <f>CONCATENATE(D199,D200,E199)</f>
        <v>Pablo OGMarcoL</v>
      </c>
      <c r="I199" s="7"/>
      <c r="J199" s="7" t="str">
        <f>VLOOKUP(D199,Stats!B:B,1,0)</f>
        <v>Pablo OG</v>
      </c>
    </row>
    <row r="200" spans="1:10" x14ac:dyDescent="0.25">
      <c r="A200" s="22"/>
      <c r="B200" s="6" t="str">
        <f>CONCATENATE($D200,((COUNTIFS($D:$D,$D200)-COUNTIF($D$3:$D200,$D200))+1))</f>
        <v>Marco1</v>
      </c>
      <c r="C200" s="6">
        <v>45405</v>
      </c>
      <c r="D200" t="s">
        <v>38</v>
      </c>
      <c r="E200" t="s">
        <v>73</v>
      </c>
      <c r="F200" s="32" t="str">
        <f>CONCATENATE(D198,D201,E198)</f>
        <v>RezaArneL</v>
      </c>
      <c r="G200" t="str">
        <f>CONCATENATE(D199,D201,E199)</f>
        <v>Pablo OGArneL</v>
      </c>
      <c r="H200" t="str">
        <f>CONCATENATE(D200,D201,E200)</f>
        <v>MarcoArneL</v>
      </c>
      <c r="I200" s="7"/>
      <c r="J200" s="7" t="str">
        <f>VLOOKUP(D200,Stats!B:B,1,0)</f>
        <v>Marco</v>
      </c>
    </row>
    <row r="201" spans="1:10" x14ac:dyDescent="0.25">
      <c r="A201" s="22"/>
      <c r="B201" s="6" t="str">
        <f>CONCATENATE($D201,((COUNTIFS($D:$D,$D201)-COUNTIF($D$3:$D201,$D201))+1))</f>
        <v>Arne5</v>
      </c>
      <c r="C201" s="6">
        <v>45405</v>
      </c>
      <c r="D201" t="s">
        <v>49</v>
      </c>
      <c r="E201" t="s">
        <v>73</v>
      </c>
      <c r="F201" s="32" t="str">
        <f>CONCATENATE(D198,D202,E198)</f>
        <v>RezaWouterL</v>
      </c>
      <c r="G201" t="str">
        <f>CONCATENATE(D199,D202,E199)</f>
        <v>Pablo OGWouterL</v>
      </c>
      <c r="H201" t="str">
        <f>CONCATENATE(D200,D202,E200)</f>
        <v>MarcoWouterL</v>
      </c>
      <c r="I201" s="7" t="str">
        <f>CONCATENATE(D201,D202,E201)</f>
        <v>ArneWouterL</v>
      </c>
      <c r="J201" s="7" t="str">
        <f>VLOOKUP(D201,Stats!B:B,1,0)</f>
        <v>Arne</v>
      </c>
    </row>
    <row r="202" spans="1:10" x14ac:dyDescent="0.25">
      <c r="A202" s="22"/>
      <c r="B202" s="8" t="str">
        <f>CONCATENATE($D202,((COUNTIFS($D:$D,$D202)-COUNTIF($D$3:$D202,$D202))+1))</f>
        <v>Wouter19</v>
      </c>
      <c r="C202" s="8">
        <v>45405</v>
      </c>
      <c r="D202" s="2" t="s">
        <v>36</v>
      </c>
      <c r="E202" s="2" t="s">
        <v>73</v>
      </c>
      <c r="F202" s="13"/>
      <c r="G202" s="2"/>
      <c r="H202" s="2"/>
      <c r="I202" s="9"/>
      <c r="J202" s="9" t="str">
        <f>VLOOKUP(D202,Stats!B:B,1,0)</f>
        <v>Wouter</v>
      </c>
    </row>
    <row r="203" spans="1:10" x14ac:dyDescent="0.25">
      <c r="A203" s="22"/>
      <c r="B203" s="3" t="str">
        <f>CONCATENATE($D203,((COUNTIFS($D:$D,$D203)-COUNTIF($D$3:$D203,$D203))+1))</f>
        <v>Giovanni28</v>
      </c>
      <c r="C203" s="3">
        <v>45405</v>
      </c>
      <c r="D203" s="4" t="s">
        <v>45</v>
      </c>
      <c r="E203" s="4" t="s">
        <v>72</v>
      </c>
      <c r="F203" s="32" t="str">
        <f>CONCATENATE(D203,D204,E203)</f>
        <v>GiovanniTchiW</v>
      </c>
      <c r="I203" s="5"/>
      <c r="J203" s="5" t="str">
        <f>VLOOKUP(D203,Stats!B:B,1,0)</f>
        <v>Giovanni</v>
      </c>
    </row>
    <row r="204" spans="1:10" x14ac:dyDescent="0.25">
      <c r="A204" s="22"/>
      <c r="B204" s="6" t="str">
        <f>CONCATENATE($D204,((COUNTIFS($D:$D,$D204)-COUNTIF($D$3:$D204,$D204))+1))</f>
        <v>Tchi20</v>
      </c>
      <c r="C204" s="6">
        <v>45405</v>
      </c>
      <c r="D204" t="s">
        <v>37</v>
      </c>
      <c r="E204" t="s">
        <v>72</v>
      </c>
      <c r="F204" s="32" t="str">
        <f>CONCATENATE(D203,D205,E203)</f>
        <v>GiovanniNimaW</v>
      </c>
      <c r="G204" t="str">
        <f>CONCATENATE(D204,D205,E204)</f>
        <v>TchiNimaW</v>
      </c>
      <c r="I204" s="7"/>
      <c r="J204" s="7" t="str">
        <f>VLOOKUP(D204,Stats!B:B,1,0)</f>
        <v>Tchi</v>
      </c>
    </row>
    <row r="205" spans="1:10" x14ac:dyDescent="0.25">
      <c r="A205" s="22"/>
      <c r="B205" s="6" t="str">
        <f>CONCATENATE($D205,((COUNTIFS($D:$D,$D205)-COUNTIF($D$3:$D205,$D205))+1))</f>
        <v>Nima8</v>
      </c>
      <c r="C205" s="6">
        <v>45405</v>
      </c>
      <c r="D205" t="s">
        <v>43</v>
      </c>
      <c r="E205" t="s">
        <v>72</v>
      </c>
      <c r="F205" s="32" t="str">
        <f>CONCATENATE(D203,D206,E203)</f>
        <v>GiovanniMichielW</v>
      </c>
      <c r="G205" t="str">
        <f>CONCATENATE(D204,D206,E204)</f>
        <v>TchiMichielW</v>
      </c>
      <c r="H205" t="str">
        <f>CONCATENATE(D205,D206,E205)</f>
        <v>NimaMichielW</v>
      </c>
      <c r="I205" s="7"/>
      <c r="J205" s="7" t="str">
        <f>VLOOKUP(D205,Stats!B:B,1,0)</f>
        <v>Nima</v>
      </c>
    </row>
    <row r="206" spans="1:10" x14ac:dyDescent="0.25">
      <c r="A206" s="22"/>
      <c r="B206" s="6" t="str">
        <f>CONCATENATE($D206,((COUNTIFS($D:$D,$D206)-COUNTIF($D$3:$D206,$D206))+1))</f>
        <v>Michiel1</v>
      </c>
      <c r="C206" s="6">
        <v>45405</v>
      </c>
      <c r="D206" t="s">
        <v>51</v>
      </c>
      <c r="E206" t="s">
        <v>72</v>
      </c>
      <c r="F206" s="32" t="str">
        <f>CONCATENATE(D203,D207,E203)</f>
        <v>GiovanniSamirW</v>
      </c>
      <c r="G206" t="str">
        <f>CONCATENATE(D204,D207,E204)</f>
        <v>TchiSamirW</v>
      </c>
      <c r="H206" t="str">
        <f>CONCATENATE(D205,D207,E205)</f>
        <v>NimaSamirW</v>
      </c>
      <c r="I206" s="7" t="str">
        <f>CONCATENATE(D206,D207,E206)</f>
        <v>MichielSamirW</v>
      </c>
      <c r="J206" s="7" t="str">
        <f>VLOOKUP(D206,Stats!B:B,1,0)</f>
        <v>Michiel</v>
      </c>
    </row>
    <row r="207" spans="1:10" x14ac:dyDescent="0.25">
      <c r="A207" s="22"/>
      <c r="B207" s="6" t="str">
        <f>CONCATENATE($D207,((COUNTIFS($D:$D,$D207)-COUNTIF($D$3:$D207,$D207))+1))</f>
        <v>Samir1</v>
      </c>
      <c r="C207" s="6">
        <v>45405</v>
      </c>
      <c r="D207" t="s">
        <v>40</v>
      </c>
      <c r="E207" t="s">
        <v>72</v>
      </c>
      <c r="F207" s="32"/>
      <c r="I207" s="7"/>
      <c r="J207" s="7" t="str">
        <f>VLOOKUP(D207,Stats!B:B,1,0)</f>
        <v>Samir</v>
      </c>
    </row>
    <row r="208" spans="1:10" x14ac:dyDescent="0.25">
      <c r="A208" s="22"/>
      <c r="B208" s="6" t="str">
        <f>CONCATENATE($D208,((COUNTIFS($D:$D,$D208)-COUNTIF($D$3:$D208,$D208))+1))</f>
        <v>Bishoy28</v>
      </c>
      <c r="C208" s="6">
        <v>45405</v>
      </c>
      <c r="D208" t="s">
        <v>61</v>
      </c>
      <c r="E208" t="s">
        <v>73</v>
      </c>
      <c r="F208" s="32" t="str">
        <f>CONCATENATE(D208,D209,E208)</f>
        <v>BishoyMaartenL</v>
      </c>
      <c r="I208" s="7"/>
      <c r="J208" s="7" t="str">
        <f>VLOOKUP(D208,Stats!B:B,1,0)</f>
        <v>Bishoy</v>
      </c>
    </row>
    <row r="209" spans="1:10" x14ac:dyDescent="0.25">
      <c r="A209" s="22"/>
      <c r="B209" s="6" t="str">
        <f>CONCATENATE($D209,((COUNTIFS($D:$D,$D209)-COUNTIF($D$3:$D209,$D209))+1))</f>
        <v>Maarten25</v>
      </c>
      <c r="C209" s="6">
        <v>45405</v>
      </c>
      <c r="D209" t="s">
        <v>58</v>
      </c>
      <c r="E209" t="s">
        <v>73</v>
      </c>
      <c r="F209" s="32" t="str">
        <f>CONCATENATE(D208,D210,E208)</f>
        <v>BishoyJayL</v>
      </c>
      <c r="G209" t="str">
        <f>CONCATENATE(D209,D210,E209)</f>
        <v>MaartenJayL</v>
      </c>
      <c r="I209" s="7"/>
      <c r="J209" s="7" t="str">
        <f>VLOOKUP(D209,Stats!B:B,1,0)</f>
        <v>Maarten</v>
      </c>
    </row>
    <row r="210" spans="1:10" x14ac:dyDescent="0.25">
      <c r="A210" s="22"/>
      <c r="B210" s="6" t="str">
        <f>CONCATENATE($D210,((COUNTIFS($D:$D,$D210)-COUNTIF($D$3:$D210,$D210))+1))</f>
        <v>Jay6</v>
      </c>
      <c r="C210" s="6">
        <v>45405</v>
      </c>
      <c r="D210" t="s">
        <v>60</v>
      </c>
      <c r="E210" t="s">
        <v>73</v>
      </c>
      <c r="F210" s="32" t="str">
        <f>CONCATENATE(D208,D211,E208)</f>
        <v>BishoyLucaL</v>
      </c>
      <c r="G210" t="str">
        <f>CONCATENATE(D209,D211,E209)</f>
        <v>MaartenLucaL</v>
      </c>
      <c r="H210" t="str">
        <f>CONCATENATE(D210,D211,E210)</f>
        <v>JayLucaL</v>
      </c>
      <c r="I210" s="7"/>
      <c r="J210" s="7" t="str">
        <f>VLOOKUP(D210,Stats!B:B,1,0)</f>
        <v>Jay</v>
      </c>
    </row>
    <row r="211" spans="1:10" x14ac:dyDescent="0.25">
      <c r="A211" s="22"/>
      <c r="B211" s="6" t="str">
        <f>CONCATENATE($D211,((COUNTIFS($D:$D,$D211)-COUNTIF($D$3:$D211,$D211))+1))</f>
        <v>Luca25</v>
      </c>
      <c r="C211" s="6">
        <v>45405</v>
      </c>
      <c r="D211" t="s">
        <v>46</v>
      </c>
      <c r="E211" t="s">
        <v>73</v>
      </c>
      <c r="F211" s="32" t="str">
        <f>CONCATENATE(D208,D212,E208)</f>
        <v>BishoySizweL</v>
      </c>
      <c r="G211" t="str">
        <f>CONCATENATE(D209,D212,E209)</f>
        <v>MaartenSizweL</v>
      </c>
      <c r="H211" t="str">
        <f>CONCATENATE(D210,D212,E210)</f>
        <v>JaySizweL</v>
      </c>
      <c r="I211" s="7" t="str">
        <f>CONCATENATE(D211,D212,E211)</f>
        <v>LucaSizweL</v>
      </c>
      <c r="J211" s="7" t="str">
        <f>VLOOKUP(D211,Stats!B:B,1,0)</f>
        <v>Luca</v>
      </c>
    </row>
    <row r="212" spans="1:10" x14ac:dyDescent="0.25">
      <c r="A212" s="22"/>
      <c r="B212" s="8" t="str">
        <f>CONCATENATE($D212,((COUNTIFS($D:$D,$D212)-COUNTIF($D$3:$D212,$D212))+1))</f>
        <v>Sizwe20</v>
      </c>
      <c r="C212" s="8">
        <v>45405</v>
      </c>
      <c r="D212" s="2" t="s">
        <v>44</v>
      </c>
      <c r="E212" s="2" t="s">
        <v>73</v>
      </c>
      <c r="F212" s="13"/>
      <c r="G212" s="2"/>
      <c r="H212" s="2"/>
      <c r="I212" s="9"/>
      <c r="J212" s="9" t="str">
        <f>VLOOKUP(D212,Stats!B:B,1,0)</f>
        <v>Sizwe</v>
      </c>
    </row>
    <row r="213" spans="1:10" x14ac:dyDescent="0.25">
      <c r="A213" s="22"/>
      <c r="B213" s="3" t="str">
        <f>CONCATENATE($D213,((COUNTIFS($D:$D,$D213)-COUNTIF($D$3:$D213,$D213))+1))</f>
        <v>Luca24</v>
      </c>
      <c r="C213" s="3">
        <f>C203+7</f>
        <v>45412</v>
      </c>
      <c r="D213" s="4" t="s">
        <v>46</v>
      </c>
      <c r="E213" s="4" t="s">
        <v>72</v>
      </c>
      <c r="F213" s="32" t="str">
        <f>CONCATENATE(D213,D214,E213)</f>
        <v>LucaNimaW</v>
      </c>
      <c r="I213" s="5"/>
      <c r="J213" s="5" t="str">
        <f>VLOOKUP(D213,Stats!B:B,1,0)</f>
        <v>Luca</v>
      </c>
    </row>
    <row r="214" spans="1:10" x14ac:dyDescent="0.25">
      <c r="A214" s="22"/>
      <c r="B214" s="6" t="str">
        <f>CONCATENATE($D214,((COUNTIFS($D:$D,$D214)-COUNTIF($D$3:$D214,$D214))+1))</f>
        <v>Nima7</v>
      </c>
      <c r="C214" s="6">
        <f>C213</f>
        <v>45412</v>
      </c>
      <c r="D214" t="s">
        <v>43</v>
      </c>
      <c r="E214" t="s">
        <v>72</v>
      </c>
      <c r="F214" s="32" t="str">
        <f>CONCATENATE(D213,D215,E213)</f>
        <v>LucaRezaW</v>
      </c>
      <c r="G214" t="str">
        <f>CONCATENATE(D214,D215,E214)</f>
        <v>NimaRezaW</v>
      </c>
      <c r="I214" s="7"/>
      <c r="J214" s="7" t="str">
        <f>VLOOKUP(D214,Stats!B:B,1,0)</f>
        <v>Nima</v>
      </c>
    </row>
    <row r="215" spans="1:10" x14ac:dyDescent="0.25">
      <c r="A215" s="22"/>
      <c r="B215" s="6" t="str">
        <f>CONCATENATE($D215,((COUNTIFS($D:$D,$D215)-COUNTIF($D$3:$D215,$D215))+1))</f>
        <v>Reza20</v>
      </c>
      <c r="C215" s="6">
        <f t="shared" ref="C215:C222" si="12">C214</f>
        <v>45412</v>
      </c>
      <c r="D215" t="s">
        <v>32</v>
      </c>
      <c r="E215" t="s">
        <v>72</v>
      </c>
      <c r="F215" s="32" t="str">
        <f>CONCATENATE(D213,D216,E213)</f>
        <v>LucaVictorW</v>
      </c>
      <c r="G215" t="str">
        <f>CONCATENATE(D214,D216,E214)</f>
        <v>NimaVictorW</v>
      </c>
      <c r="H215" t="str">
        <f>CONCATENATE(D215,D216,E215)</f>
        <v>RezaVictorW</v>
      </c>
      <c r="I215" s="7"/>
      <c r="J215" s="7" t="str">
        <f>VLOOKUP(D215,Stats!B:B,1,0)</f>
        <v>Reza</v>
      </c>
    </row>
    <row r="216" spans="1:10" x14ac:dyDescent="0.25">
      <c r="A216" s="22"/>
      <c r="B216" s="6" t="str">
        <f>CONCATENATE($D216,((COUNTIFS($D:$D,$D216)-COUNTIF($D$3:$D216,$D216))+1))</f>
        <v>Victor10</v>
      </c>
      <c r="C216" s="6">
        <f t="shared" si="12"/>
        <v>45412</v>
      </c>
      <c r="D216" t="s">
        <v>31</v>
      </c>
      <c r="E216" t="s">
        <v>72</v>
      </c>
      <c r="F216" s="32" t="str">
        <f>CONCATENATE(D213,D217,E213)</f>
        <v>LucaMaartenW</v>
      </c>
      <c r="G216" t="str">
        <f>CONCATENATE(D214,D217,E214)</f>
        <v>NimaMaartenW</v>
      </c>
      <c r="H216" t="str">
        <f>CONCATENATE(D215,D217,E215)</f>
        <v>RezaMaartenW</v>
      </c>
      <c r="I216" s="7" t="str">
        <f>CONCATENATE(D216,D217,E216)</f>
        <v>VictorMaartenW</v>
      </c>
      <c r="J216" s="7" t="str">
        <f>VLOOKUP(D216,Stats!B:B,1,0)</f>
        <v>Victor</v>
      </c>
    </row>
    <row r="217" spans="1:10" x14ac:dyDescent="0.25">
      <c r="A217" s="22"/>
      <c r="B217" s="6" t="str">
        <f>CONCATENATE($D217,((COUNTIFS($D:$D,$D217)-COUNTIF($D$3:$D217,$D217))+1))</f>
        <v>Maarten24</v>
      </c>
      <c r="C217" s="6">
        <f t="shared" si="12"/>
        <v>45412</v>
      </c>
      <c r="D217" t="s">
        <v>58</v>
      </c>
      <c r="E217" t="s">
        <v>72</v>
      </c>
      <c r="F217" s="32"/>
      <c r="I217" s="7"/>
      <c r="J217" s="7" t="str">
        <f>VLOOKUP(D217,Stats!B:B,1,0)</f>
        <v>Maarten</v>
      </c>
    </row>
    <row r="218" spans="1:10" x14ac:dyDescent="0.25">
      <c r="A218" s="22"/>
      <c r="B218" s="6" t="str">
        <f>CONCATENATE($D218,((COUNTIFS($D:$D,$D218)-COUNTIF($D$3:$D218,$D218))+1))</f>
        <v>Adi23</v>
      </c>
      <c r="C218" s="6">
        <f t="shared" si="12"/>
        <v>45412</v>
      </c>
      <c r="D218" t="s">
        <v>47</v>
      </c>
      <c r="E218" t="s">
        <v>73</v>
      </c>
      <c r="F218" s="32" t="str">
        <f>CONCATENATE(D218,D219,E218)</f>
        <v>AdiTchiL</v>
      </c>
      <c r="I218" s="7"/>
      <c r="J218" s="7" t="str">
        <f>VLOOKUP(D218,Stats!B:B,1,0)</f>
        <v>Adi</v>
      </c>
    </row>
    <row r="219" spans="1:10" x14ac:dyDescent="0.25">
      <c r="A219" s="22"/>
      <c r="B219" s="6" t="str">
        <f>CONCATENATE($D219,((COUNTIFS($D:$D,$D219)-COUNTIF($D$3:$D219,$D219))+1))</f>
        <v>Tchi19</v>
      </c>
      <c r="C219" s="6">
        <f t="shared" si="12"/>
        <v>45412</v>
      </c>
      <c r="D219" t="s">
        <v>37</v>
      </c>
      <c r="E219" t="s">
        <v>73</v>
      </c>
      <c r="F219" s="32" t="str">
        <f>CONCATENATE(D218,D220,E218)</f>
        <v>AdiSizweL</v>
      </c>
      <c r="G219" t="str">
        <f>CONCATENATE(D219,D220,E219)</f>
        <v>TchiSizweL</v>
      </c>
      <c r="I219" s="7"/>
      <c r="J219" s="7" t="str">
        <f>VLOOKUP(D219,Stats!B:B,1,0)</f>
        <v>Tchi</v>
      </c>
    </row>
    <row r="220" spans="1:10" x14ac:dyDescent="0.25">
      <c r="A220" s="22"/>
      <c r="B220" s="6" t="str">
        <f>CONCATENATE($D220,((COUNTIFS($D:$D,$D220)-COUNTIF($D$3:$D220,$D220))+1))</f>
        <v>Sizwe19</v>
      </c>
      <c r="C220" s="6">
        <f t="shared" si="12"/>
        <v>45412</v>
      </c>
      <c r="D220" t="s">
        <v>44</v>
      </c>
      <c r="E220" t="s">
        <v>73</v>
      </c>
      <c r="F220" s="32" t="str">
        <f>CONCATENATE(D218,D221,E218)</f>
        <v>AdiDobroL</v>
      </c>
      <c r="G220" t="str">
        <f>CONCATENATE(D219,D221,E219)</f>
        <v>TchiDobroL</v>
      </c>
      <c r="H220" t="str">
        <f>CONCATENATE(D220,D221,E220)</f>
        <v>SizweDobroL</v>
      </c>
      <c r="I220" s="7"/>
      <c r="J220" s="7" t="str">
        <f>VLOOKUP(D220,Stats!B:B,1,0)</f>
        <v>Sizwe</v>
      </c>
    </row>
    <row r="221" spans="1:10" x14ac:dyDescent="0.25">
      <c r="A221" s="22"/>
      <c r="B221" s="6" t="str">
        <f>CONCATENATE($D221,((COUNTIFS($D:$D,$D221)-COUNTIF($D$3:$D221,$D221))+1))</f>
        <v>Dobro29</v>
      </c>
      <c r="C221" s="6">
        <f t="shared" si="12"/>
        <v>45412</v>
      </c>
      <c r="D221" t="s">
        <v>35</v>
      </c>
      <c r="E221" t="s">
        <v>73</v>
      </c>
      <c r="F221" s="32" t="str">
        <f>CONCATENATE(D218,D222,E218)</f>
        <v>AdiGiovanniL</v>
      </c>
      <c r="G221" t="str">
        <f>CONCATENATE(D219,D222,E219)</f>
        <v>TchiGiovanniL</v>
      </c>
      <c r="H221" t="str">
        <f>CONCATENATE(D220,D222,E220)</f>
        <v>SizweGiovanniL</v>
      </c>
      <c r="I221" s="7" t="str">
        <f>CONCATENATE(D221,D222,E221)</f>
        <v>DobroGiovanniL</v>
      </c>
      <c r="J221" s="7" t="str">
        <f>VLOOKUP(D221,Stats!B:B,1,0)</f>
        <v>Dobro</v>
      </c>
    </row>
    <row r="222" spans="1:10" x14ac:dyDescent="0.25">
      <c r="A222" s="22"/>
      <c r="B222" s="8" t="str">
        <f>CONCATENATE($D222,((COUNTIFS($D:$D,$D222)-COUNTIF($D$3:$D222,$D222))+1))</f>
        <v>Giovanni27</v>
      </c>
      <c r="C222" s="8">
        <f t="shared" si="12"/>
        <v>45412</v>
      </c>
      <c r="D222" s="2" t="s">
        <v>45</v>
      </c>
      <c r="E222" s="2" t="s">
        <v>73</v>
      </c>
      <c r="F222" s="13"/>
      <c r="G222" s="2"/>
      <c r="H222" s="2"/>
      <c r="I222" s="9"/>
      <c r="J222" s="9" t="str">
        <f>VLOOKUP(D222,Stats!B:B,1,0)</f>
        <v>Giovanni</v>
      </c>
    </row>
    <row r="223" spans="1:10" x14ac:dyDescent="0.25">
      <c r="A223" s="22"/>
      <c r="B223" s="3" t="str">
        <f>CONCATENATE($D223,((COUNTIFS($D:$D,$D223)-COUNTIF($D$3:$D223,$D223))+1))</f>
        <v>Maarten23</v>
      </c>
      <c r="C223" s="3">
        <f>C213+2</f>
        <v>45414</v>
      </c>
      <c r="D223" s="4" t="s">
        <v>58</v>
      </c>
      <c r="E223" s="4" t="s">
        <v>72</v>
      </c>
      <c r="F223" s="32" t="str">
        <f>CONCATENATE(D223,D224,E223)</f>
        <v>MaartenAdiW</v>
      </c>
      <c r="I223" s="5"/>
      <c r="J223" s="5" t="str">
        <f>VLOOKUP(D223,Stats!B:B,1,0)</f>
        <v>Maarten</v>
      </c>
    </row>
    <row r="224" spans="1:10" x14ac:dyDescent="0.25">
      <c r="A224" s="22"/>
      <c r="B224" s="6" t="str">
        <f>CONCATENATE($D224,((COUNTIFS($D:$D,$D224)-COUNTIF($D$3:$D224,$D224))+1))</f>
        <v>Adi22</v>
      </c>
      <c r="C224" s="6">
        <f>C223</f>
        <v>45414</v>
      </c>
      <c r="D224" t="s">
        <v>47</v>
      </c>
      <c r="E224" t="s">
        <v>72</v>
      </c>
      <c r="F224" s="32" t="str">
        <f>CONCATENATE(D223,D225,E223)</f>
        <v>MaartenThijsW</v>
      </c>
      <c r="G224" t="str">
        <f>CONCATENATE(D224,D225,E224)</f>
        <v>AdiThijsW</v>
      </c>
      <c r="I224" s="7"/>
      <c r="J224" s="7" t="str">
        <f>VLOOKUP(D224,Stats!B:B,1,0)</f>
        <v>Adi</v>
      </c>
    </row>
    <row r="225" spans="1:10" x14ac:dyDescent="0.25">
      <c r="A225" s="22"/>
      <c r="B225" s="6" t="str">
        <f>CONCATENATE($D225,((COUNTIFS($D:$D,$D225)-COUNTIF($D$3:$D225,$D225))+1))</f>
        <v>Thijs9</v>
      </c>
      <c r="C225" s="6">
        <f t="shared" ref="C225:C232" si="13">C224</f>
        <v>45414</v>
      </c>
      <c r="D225" t="s">
        <v>24</v>
      </c>
      <c r="E225" t="s">
        <v>72</v>
      </c>
      <c r="F225" s="32" t="str">
        <f>CONCATENATE(D223,D226,E223)</f>
        <v>MaartenKieranW</v>
      </c>
      <c r="G225" t="str">
        <f>CONCATENATE(D224,D226,E224)</f>
        <v>AdiKieranW</v>
      </c>
      <c r="H225" t="str">
        <f>CONCATENATE(D225,D226,E225)</f>
        <v>ThijsKieranW</v>
      </c>
      <c r="I225" s="7"/>
      <c r="J225" s="7" t="str">
        <f>VLOOKUP(D225,Stats!B:B,1,0)</f>
        <v>Thijs</v>
      </c>
    </row>
    <row r="226" spans="1:10" x14ac:dyDescent="0.25">
      <c r="A226" s="22"/>
      <c r="B226" s="6" t="str">
        <f>CONCATENATE($D226,((COUNTIFS($D:$D,$D226)-COUNTIF($D$3:$D226,$D226))+1))</f>
        <v>Kieran3</v>
      </c>
      <c r="C226" s="6">
        <f t="shared" si="13"/>
        <v>45414</v>
      </c>
      <c r="D226" t="s">
        <v>21</v>
      </c>
      <c r="E226" t="s">
        <v>72</v>
      </c>
      <c r="F226" s="32" t="str">
        <f>CONCATENATE(D223,D227,E223)</f>
        <v>MaartenVictorW</v>
      </c>
      <c r="G226" t="str">
        <f>CONCATENATE(D224,D227,E224)</f>
        <v>AdiVictorW</v>
      </c>
      <c r="H226" t="str">
        <f>CONCATENATE(D225,D227,E225)</f>
        <v>ThijsVictorW</v>
      </c>
      <c r="I226" s="7" t="str">
        <f>CONCATENATE(D226,D227,E226)</f>
        <v>KieranVictorW</v>
      </c>
      <c r="J226" s="7" t="str">
        <f>VLOOKUP(D226,Stats!B:B,1,0)</f>
        <v>Kieran</v>
      </c>
    </row>
    <row r="227" spans="1:10" x14ac:dyDescent="0.25">
      <c r="A227" s="22"/>
      <c r="B227" s="6" t="str">
        <f>CONCATENATE($D227,((COUNTIFS($D:$D,$D227)-COUNTIF($D$3:$D227,$D227))+1))</f>
        <v>Victor9</v>
      </c>
      <c r="C227" s="6">
        <f t="shared" si="13"/>
        <v>45414</v>
      </c>
      <c r="D227" t="s">
        <v>31</v>
      </c>
      <c r="E227" t="s">
        <v>72</v>
      </c>
      <c r="F227" s="32"/>
      <c r="I227" s="7"/>
      <c r="J227" s="7" t="str">
        <f>VLOOKUP(D227,Stats!B:B,1,0)</f>
        <v>Victor</v>
      </c>
    </row>
    <row r="228" spans="1:10" x14ac:dyDescent="0.25">
      <c r="A228" s="22"/>
      <c r="B228" s="6" t="str">
        <f>CONCATENATE($D228,((COUNTIFS($D:$D,$D228)-COUNTIF($D$3:$D228,$D228))+1))</f>
        <v>Luca23</v>
      </c>
      <c r="C228" s="6">
        <f t="shared" si="13"/>
        <v>45414</v>
      </c>
      <c r="D228" t="s">
        <v>46</v>
      </c>
      <c r="E228" t="s">
        <v>73</v>
      </c>
      <c r="F228" s="32" t="str">
        <f>CONCATENATE(D228,D229,E228)</f>
        <v>LucaAdamL</v>
      </c>
      <c r="I228" s="7"/>
      <c r="J228" s="7" t="str">
        <f>VLOOKUP(D228,Stats!B:B,1,0)</f>
        <v>Luca</v>
      </c>
    </row>
    <row r="229" spans="1:10" x14ac:dyDescent="0.25">
      <c r="A229" s="22"/>
      <c r="B229" s="6" t="str">
        <f>CONCATENATE($D229,((COUNTIFS($D:$D,$D229)-COUNTIF($D$3:$D229,$D229))+1))</f>
        <v>Adam35</v>
      </c>
      <c r="C229" s="6">
        <f t="shared" si="13"/>
        <v>45414</v>
      </c>
      <c r="D229" t="s">
        <v>53</v>
      </c>
      <c r="E229" t="s">
        <v>73</v>
      </c>
      <c r="F229" s="32" t="str">
        <f>CONCATENATE(D228,D230,E228)</f>
        <v>LucaArneL</v>
      </c>
      <c r="G229" t="str">
        <f>CONCATENATE(D229,D230,E229)</f>
        <v>AdamArneL</v>
      </c>
      <c r="I229" s="7"/>
      <c r="J229" s="7" t="str">
        <f>VLOOKUP(D229,Stats!B:B,1,0)</f>
        <v>Adam</v>
      </c>
    </row>
    <row r="230" spans="1:10" x14ac:dyDescent="0.25">
      <c r="A230" s="22"/>
      <c r="B230" s="6" t="str">
        <f>CONCATENATE($D230,((COUNTIFS($D:$D,$D230)-COUNTIF($D$3:$D230,$D230))+1))</f>
        <v>Arne4</v>
      </c>
      <c r="C230" s="6">
        <f t="shared" si="13"/>
        <v>45414</v>
      </c>
      <c r="D230" t="s">
        <v>49</v>
      </c>
      <c r="E230" t="s">
        <v>73</v>
      </c>
      <c r="F230" s="32" t="str">
        <f>CONCATENATE(D228,D231,E228)</f>
        <v>LucaVinnyL</v>
      </c>
      <c r="G230" t="str">
        <f>CONCATENATE(D229,D231,E229)</f>
        <v>AdamVinnyL</v>
      </c>
      <c r="H230" t="str">
        <f>CONCATENATE(D230,D231,E230)</f>
        <v>ArneVinnyL</v>
      </c>
      <c r="I230" s="7"/>
      <c r="J230" s="7" t="str">
        <f>VLOOKUP(D230,Stats!B:B,1,0)</f>
        <v>Arne</v>
      </c>
    </row>
    <row r="231" spans="1:10" x14ac:dyDescent="0.25">
      <c r="A231" s="22"/>
      <c r="B231" s="6" t="str">
        <f>CONCATENATE($D231,((COUNTIFS($D:$D,$D231)-COUNTIF($D$3:$D231,$D231))+1))</f>
        <v>Vinny5</v>
      </c>
      <c r="C231" s="6">
        <f t="shared" si="13"/>
        <v>45414</v>
      </c>
      <c r="D231" t="s">
        <v>27</v>
      </c>
      <c r="E231" t="s">
        <v>73</v>
      </c>
      <c r="F231" s="32" t="str">
        <f>CONCATENATE(D228,D232,E228)</f>
        <v>LucaGiovanniL</v>
      </c>
      <c r="G231" t="str">
        <f>CONCATENATE(D229,D232,E229)</f>
        <v>AdamGiovanniL</v>
      </c>
      <c r="H231" t="str">
        <f>CONCATENATE(D230,D232,E230)</f>
        <v>ArneGiovanniL</v>
      </c>
      <c r="I231" s="7" t="str">
        <f>CONCATENATE(D231,D232,E231)</f>
        <v>VinnyGiovanniL</v>
      </c>
      <c r="J231" s="7" t="str">
        <f>VLOOKUP(D231,Stats!B:B,1,0)</f>
        <v>Vinny</v>
      </c>
    </row>
    <row r="232" spans="1:10" x14ac:dyDescent="0.25">
      <c r="A232" s="22"/>
      <c r="B232" s="8" t="str">
        <f>CONCATENATE($D232,((COUNTIFS($D:$D,$D232)-COUNTIF($D$3:$D232,$D232))+1))</f>
        <v>Giovanni26</v>
      </c>
      <c r="C232" s="8">
        <f t="shared" si="13"/>
        <v>45414</v>
      </c>
      <c r="D232" s="2" t="s">
        <v>45</v>
      </c>
      <c r="E232" s="2" t="s">
        <v>73</v>
      </c>
      <c r="F232" s="13"/>
      <c r="G232" s="2"/>
      <c r="H232" s="2"/>
      <c r="I232" s="9"/>
      <c r="J232" s="9" t="str">
        <f>VLOOKUP(D232,Stats!B:B,1,0)</f>
        <v>Giovanni</v>
      </c>
    </row>
    <row r="233" spans="1:10" x14ac:dyDescent="0.25">
      <c r="A233" s="22"/>
      <c r="B233" s="3" t="str">
        <f>CONCATENATE($D233,((COUNTIFS($D:$D,$D233)-COUNTIF($D$3:$D233,$D233))+1))</f>
        <v>Reza19</v>
      </c>
      <c r="C233" s="3">
        <v>45419</v>
      </c>
      <c r="D233" s="4" t="s">
        <v>32</v>
      </c>
      <c r="E233" s="4" t="s">
        <v>72</v>
      </c>
      <c r="F233" s="32" t="str">
        <f>CONCATENATE(D233,D234,E233)</f>
        <v>RezaAdamW</v>
      </c>
      <c r="I233" s="5"/>
      <c r="J233" s="5" t="str">
        <f>VLOOKUP(D233,Stats!B:B,1,0)</f>
        <v>Reza</v>
      </c>
    </row>
    <row r="234" spans="1:10" x14ac:dyDescent="0.25">
      <c r="A234" s="22"/>
      <c r="B234" s="6" t="str">
        <f>CONCATENATE($D234,((COUNTIFS($D:$D,$D234)-COUNTIF($D$3:$D234,$D234))+1))</f>
        <v>Adam34</v>
      </c>
      <c r="C234" s="6">
        <v>45419</v>
      </c>
      <c r="D234" t="s">
        <v>53</v>
      </c>
      <c r="E234" t="s">
        <v>72</v>
      </c>
      <c r="F234" s="32" t="str">
        <f>CONCATENATE(D233,D235,E233)</f>
        <v>RezaLucaW</v>
      </c>
      <c r="G234" t="str">
        <f>CONCATENATE(D234,D235,E234)</f>
        <v>AdamLucaW</v>
      </c>
      <c r="I234" s="7"/>
      <c r="J234" s="7" t="str">
        <f>VLOOKUP(D234,Stats!B:B,1,0)</f>
        <v>Adam</v>
      </c>
    </row>
    <row r="235" spans="1:10" x14ac:dyDescent="0.25">
      <c r="A235" s="22"/>
      <c r="B235" s="6" t="str">
        <f>CONCATENATE($D235,((COUNTIFS($D:$D,$D235)-COUNTIF($D$3:$D235,$D235))+1))</f>
        <v>Luca22</v>
      </c>
      <c r="C235" s="6">
        <v>45419</v>
      </c>
      <c r="D235" t="s">
        <v>46</v>
      </c>
      <c r="E235" t="s">
        <v>72</v>
      </c>
      <c r="F235" s="32" t="str">
        <f>CONCATENATE(D233,D236,E233)</f>
        <v>RezaBarisW</v>
      </c>
      <c r="G235" t="str">
        <f>CONCATENATE(D234,D236,E234)</f>
        <v>AdamBarisW</v>
      </c>
      <c r="H235" t="str">
        <f>CONCATENATE(D235,D236,E235)</f>
        <v>LucaBarisW</v>
      </c>
      <c r="I235" s="7"/>
      <c r="J235" s="7" t="str">
        <f>VLOOKUP(D235,Stats!B:B,1,0)</f>
        <v>Luca</v>
      </c>
    </row>
    <row r="236" spans="1:10" x14ac:dyDescent="0.25">
      <c r="A236" s="22"/>
      <c r="B236" s="6" t="str">
        <f>CONCATENATE($D236,((COUNTIFS($D:$D,$D236)-COUNTIF($D$3:$D236,$D236))+1))</f>
        <v>Baris18</v>
      </c>
      <c r="C236" s="6">
        <v>45419</v>
      </c>
      <c r="D236" t="s">
        <v>55</v>
      </c>
      <c r="E236" t="s">
        <v>72</v>
      </c>
      <c r="F236" s="32" t="str">
        <f>CONCATENATE(D233,D237,E233)</f>
        <v>RezaFilipW</v>
      </c>
      <c r="G236" t="str">
        <f>CONCATENATE(D234,D237,E234)</f>
        <v>AdamFilipW</v>
      </c>
      <c r="H236" t="str">
        <f>CONCATENATE(D235,D237,E235)</f>
        <v>LucaFilipW</v>
      </c>
      <c r="I236" s="7" t="str">
        <f>CONCATENATE(D236,D237,E236)</f>
        <v>BarisFilipW</v>
      </c>
      <c r="J236" s="7" t="str">
        <f>VLOOKUP(D236,Stats!B:B,1,0)</f>
        <v>Baris</v>
      </c>
    </row>
    <row r="237" spans="1:10" x14ac:dyDescent="0.25">
      <c r="A237" s="22"/>
      <c r="B237" s="6" t="str">
        <f>CONCATENATE($D237,((COUNTIFS($D:$D,$D237)-COUNTIF($D$3:$D237,$D237))+1))</f>
        <v>Filip4</v>
      </c>
      <c r="C237" s="6">
        <v>45419</v>
      </c>
      <c r="D237" t="s">
        <v>59</v>
      </c>
      <c r="E237" t="s">
        <v>72</v>
      </c>
      <c r="F237" s="32"/>
      <c r="I237" s="7"/>
      <c r="J237" s="7" t="str">
        <f>VLOOKUP(D237,Stats!B:B,1,0)</f>
        <v>Filip</v>
      </c>
    </row>
    <row r="238" spans="1:10" x14ac:dyDescent="0.25">
      <c r="A238" s="22"/>
      <c r="B238" s="6" t="str">
        <f>CONCATENATE($D238,((COUNTIFS($D:$D,$D238)-COUNTIF($D$3:$D238,$D238))+1))</f>
        <v>Adi21</v>
      </c>
      <c r="C238" s="6">
        <v>45419</v>
      </c>
      <c r="D238" t="s">
        <v>47</v>
      </c>
      <c r="E238" t="s">
        <v>73</v>
      </c>
      <c r="F238" s="32" t="str">
        <f>CONCATENATE(D238,D239,E238)</f>
        <v>AdiVictorL</v>
      </c>
      <c r="I238" s="7"/>
      <c r="J238" s="7" t="str">
        <f>VLOOKUP(D238,Stats!B:B,1,0)</f>
        <v>Adi</v>
      </c>
    </row>
    <row r="239" spans="1:10" x14ac:dyDescent="0.25">
      <c r="A239" s="22"/>
      <c r="B239" s="6" t="str">
        <f>CONCATENATE($D239,((COUNTIFS($D:$D,$D239)-COUNTIF($D$3:$D239,$D239))+1))</f>
        <v>Victor8</v>
      </c>
      <c r="C239" s="6">
        <v>45419</v>
      </c>
      <c r="D239" t="s">
        <v>31</v>
      </c>
      <c r="E239" t="s">
        <v>73</v>
      </c>
      <c r="F239" s="32" t="str">
        <f>CONCATENATE(D238,D240,E238)</f>
        <v>AdiMaartenL</v>
      </c>
      <c r="G239" t="str">
        <f>CONCATENATE(D239,D240,E239)</f>
        <v>VictorMaartenL</v>
      </c>
      <c r="I239" s="7"/>
      <c r="J239" s="7" t="str">
        <f>VLOOKUP(D239,Stats!B:B,1,0)</f>
        <v>Victor</v>
      </c>
    </row>
    <row r="240" spans="1:10" x14ac:dyDescent="0.25">
      <c r="A240" s="22"/>
      <c r="B240" s="6" t="str">
        <f>CONCATENATE($D240,((COUNTIFS($D:$D,$D240)-COUNTIF($D$3:$D240,$D240))+1))</f>
        <v>Maarten22</v>
      </c>
      <c r="C240" s="6">
        <v>45419</v>
      </c>
      <c r="D240" t="s">
        <v>58</v>
      </c>
      <c r="E240" t="s">
        <v>73</v>
      </c>
      <c r="F240" s="32" t="str">
        <f>CONCATENATE(D238,D241,E238)</f>
        <v>AdiOnurL</v>
      </c>
      <c r="G240" t="str">
        <f>CONCATENATE(D239,D241,E239)</f>
        <v>VictorOnurL</v>
      </c>
      <c r="H240" t="str">
        <f>CONCATENATE(D240,D241,E240)</f>
        <v>MaartenOnurL</v>
      </c>
      <c r="I240" s="7"/>
      <c r="J240" s="7" t="str">
        <f>VLOOKUP(D240,Stats!B:B,1,0)</f>
        <v>Maarten</v>
      </c>
    </row>
    <row r="241" spans="1:10" x14ac:dyDescent="0.25">
      <c r="A241" s="22"/>
      <c r="B241" s="6" t="str">
        <f>CONCATENATE($D241,((COUNTIFS($D:$D,$D241)-COUNTIF($D$3:$D241,$D241))+1))</f>
        <v>Onur6</v>
      </c>
      <c r="C241" s="6">
        <v>45419</v>
      </c>
      <c r="D241" t="s">
        <v>39</v>
      </c>
      <c r="E241" t="s">
        <v>73</v>
      </c>
      <c r="F241" s="32" t="str">
        <f>CONCATENATE(D238,D242,E238)</f>
        <v>AdiBishoyL</v>
      </c>
      <c r="G241" t="str">
        <f>CONCATENATE(D239,D242,E239)</f>
        <v>VictorBishoyL</v>
      </c>
      <c r="H241" t="str">
        <f>CONCATENATE(D240,D242,E240)</f>
        <v>MaartenBishoyL</v>
      </c>
      <c r="I241" s="7" t="str">
        <f>CONCATENATE(D241,D242,E241)</f>
        <v>OnurBishoyL</v>
      </c>
      <c r="J241" s="7" t="str">
        <f>VLOOKUP(D241,Stats!B:B,1,0)</f>
        <v>Onur</v>
      </c>
    </row>
    <row r="242" spans="1:10" x14ac:dyDescent="0.25">
      <c r="A242" s="22"/>
      <c r="B242" s="8" t="str">
        <f>CONCATENATE($D242,((COUNTIFS($D:$D,$D242)-COUNTIF($D$3:$D242,$D242))+1))</f>
        <v>Bishoy27</v>
      </c>
      <c r="C242" s="8">
        <v>45419</v>
      </c>
      <c r="D242" s="2" t="s">
        <v>61</v>
      </c>
      <c r="E242" s="2" t="s">
        <v>73</v>
      </c>
      <c r="F242" s="13"/>
      <c r="G242" s="2"/>
      <c r="H242" s="2"/>
      <c r="I242" s="9"/>
      <c r="J242" s="9" t="str">
        <f>VLOOKUP(D242,Stats!B:B,1,0)</f>
        <v>Bishoy</v>
      </c>
    </row>
    <row r="243" spans="1:10" x14ac:dyDescent="0.25">
      <c r="A243" s="22"/>
      <c r="B243" s="3" t="str">
        <f>CONCATENATE($D243,((COUNTIFS($D:$D,$D243)-COUNTIF($D$3:$D243,$D243))+1))</f>
        <v>Dobro28</v>
      </c>
      <c r="C243" s="3">
        <v>45419</v>
      </c>
      <c r="D243" s="4" t="s">
        <v>35</v>
      </c>
      <c r="E243" s="4" t="s">
        <v>72</v>
      </c>
      <c r="F243" s="32" t="str">
        <f>CONCATENATE(D243,D244,E243)</f>
        <v>DobroCaiqueW</v>
      </c>
      <c r="I243" s="5"/>
      <c r="J243" s="5" t="str">
        <f>VLOOKUP(D243,Stats!B:B,1,0)</f>
        <v>Dobro</v>
      </c>
    </row>
    <row r="244" spans="1:10" x14ac:dyDescent="0.25">
      <c r="A244" s="22"/>
      <c r="B244" s="6" t="str">
        <f>CONCATENATE($D244,((COUNTIFS($D:$D,$D244)-COUNTIF($D$3:$D244,$D244))+1))</f>
        <v>Caique3</v>
      </c>
      <c r="C244" s="6">
        <v>45419</v>
      </c>
      <c r="D244" t="s">
        <v>15</v>
      </c>
      <c r="E244" t="s">
        <v>72</v>
      </c>
      <c r="F244" s="32" t="str">
        <f>CONCATENATE(D243,D245,E243)</f>
        <v>DobroTanooW</v>
      </c>
      <c r="G244" t="str">
        <f>CONCATENATE(D244,D245,E244)</f>
        <v>CaiqueTanooW</v>
      </c>
      <c r="I244" s="7"/>
      <c r="J244" s="7" t="str">
        <f>VLOOKUP(D244,Stats!B:B,1,0)</f>
        <v>Caique</v>
      </c>
    </row>
    <row r="245" spans="1:10" x14ac:dyDescent="0.25">
      <c r="A245" s="22"/>
      <c r="B245" s="6" t="str">
        <f>CONCATENATE($D245,((COUNTIFS($D:$D,$D245)-COUNTIF($D$3:$D245,$D245))+1))</f>
        <v>Tanoo2</v>
      </c>
      <c r="C245" s="6">
        <v>45419</v>
      </c>
      <c r="D245" t="s">
        <v>13</v>
      </c>
      <c r="E245" t="s">
        <v>72</v>
      </c>
      <c r="F245" s="32" t="str">
        <f>CONCATENATE(D243,D246,E243)</f>
        <v>DobroPablo OGW</v>
      </c>
      <c r="G245" t="str">
        <f>CONCATENATE(D244,D246,E244)</f>
        <v>CaiquePablo OGW</v>
      </c>
      <c r="H245" t="str">
        <f>CONCATENATE(D245,D246,E245)</f>
        <v>TanooPablo OGW</v>
      </c>
      <c r="I245" s="7"/>
      <c r="J245" s="7" t="str">
        <f>VLOOKUP(D245,Stats!B:B,1,0)</f>
        <v>Tanoo</v>
      </c>
    </row>
    <row r="246" spans="1:10" x14ac:dyDescent="0.25">
      <c r="A246" s="22"/>
      <c r="B246" s="6" t="str">
        <f>CONCATENATE($D246,((COUNTIFS($D:$D,$D246)-COUNTIF($D$3:$D246,$D246))+1))</f>
        <v>Pablo OG20</v>
      </c>
      <c r="C246" s="6">
        <v>45419</v>
      </c>
      <c r="D246" t="s">
        <v>42</v>
      </c>
      <c r="E246" t="s">
        <v>72</v>
      </c>
      <c r="F246" s="32" t="str">
        <f>CONCATENATE(D243,D247,E243)</f>
        <v>DobroTchiW</v>
      </c>
      <c r="G246" t="str">
        <f>CONCATENATE(D244,D247,E244)</f>
        <v>CaiqueTchiW</v>
      </c>
      <c r="H246" t="str">
        <f>CONCATENATE(D245,D247,E245)</f>
        <v>TanooTchiW</v>
      </c>
      <c r="I246" s="7" t="str">
        <f>CONCATENATE(D246,D247,E246)</f>
        <v>Pablo OGTchiW</v>
      </c>
      <c r="J246" s="7" t="str">
        <f>VLOOKUP(D246,Stats!B:B,1,0)</f>
        <v>Pablo OG</v>
      </c>
    </row>
    <row r="247" spans="1:10" x14ac:dyDescent="0.25">
      <c r="A247" s="22"/>
      <c r="B247" s="6" t="str">
        <f>CONCATENATE($D247,((COUNTIFS($D:$D,$D247)-COUNTIF($D$3:$D247,$D247))+1))</f>
        <v>Tchi18</v>
      </c>
      <c r="C247" s="6">
        <v>45419</v>
      </c>
      <c r="D247" t="s">
        <v>37</v>
      </c>
      <c r="E247" t="s">
        <v>72</v>
      </c>
      <c r="F247" s="32"/>
      <c r="I247" s="7"/>
      <c r="J247" s="7" t="str">
        <f>VLOOKUP(D247,Stats!B:B,1,0)</f>
        <v>Tchi</v>
      </c>
    </row>
    <row r="248" spans="1:10" x14ac:dyDescent="0.25">
      <c r="A248" s="22"/>
      <c r="B248" s="6" t="str">
        <f>CONCATENATE($D248,((COUNTIFS($D:$D,$D248)-COUNTIF($D$3:$D248,$D248))+1))</f>
        <v>Firat13</v>
      </c>
      <c r="C248" s="6">
        <v>45419</v>
      </c>
      <c r="D248" t="s">
        <v>33</v>
      </c>
      <c r="E248" t="s">
        <v>73</v>
      </c>
      <c r="F248" s="32" t="str">
        <f>CONCATENATE(D248,D249,E248)</f>
        <v>FiratJayL</v>
      </c>
      <c r="I248" s="7"/>
      <c r="J248" s="7" t="str">
        <f>VLOOKUP(D248,Stats!B:B,1,0)</f>
        <v>Firat</v>
      </c>
    </row>
    <row r="249" spans="1:10" x14ac:dyDescent="0.25">
      <c r="A249" s="22"/>
      <c r="B249" s="6" t="str">
        <f>CONCATENATE($D249,((COUNTIFS($D:$D,$D249)-COUNTIF($D$3:$D249,$D249))+1))</f>
        <v>Jay5</v>
      </c>
      <c r="C249" s="6">
        <v>45419</v>
      </c>
      <c r="D249" t="s">
        <v>60</v>
      </c>
      <c r="E249" t="s">
        <v>73</v>
      </c>
      <c r="F249" s="32" t="str">
        <f>CONCATENATE(D248,D250,E248)</f>
        <v>FiratSizweL</v>
      </c>
      <c r="G249" t="str">
        <f>CONCATENATE(D249,D250,E249)</f>
        <v>JaySizweL</v>
      </c>
      <c r="I249" s="7"/>
      <c r="J249" s="7" t="str">
        <f>VLOOKUP(D249,Stats!B:B,1,0)</f>
        <v>Jay</v>
      </c>
    </row>
    <row r="250" spans="1:10" x14ac:dyDescent="0.25">
      <c r="A250" s="22"/>
      <c r="B250" s="6" t="str">
        <f>CONCATENATE($D250,((COUNTIFS($D:$D,$D250)-COUNTIF($D$3:$D250,$D250))+1))</f>
        <v>Sizwe18</v>
      </c>
      <c r="C250" s="6">
        <v>45419</v>
      </c>
      <c r="D250" t="s">
        <v>44</v>
      </c>
      <c r="E250" t="s">
        <v>73</v>
      </c>
      <c r="F250" s="32" t="str">
        <f>CONCATENATE(D248,D251,E248)</f>
        <v>FiratAkbarL</v>
      </c>
      <c r="G250" t="str">
        <f>CONCATENATE(D249,D251,E249)</f>
        <v>JayAkbarL</v>
      </c>
      <c r="H250" t="str">
        <f>CONCATENATE(D250,D251,E250)</f>
        <v>SizweAkbarL</v>
      </c>
      <c r="I250" s="7"/>
      <c r="J250" s="7" t="str">
        <f>VLOOKUP(D250,Stats!B:B,1,0)</f>
        <v>Sizwe</v>
      </c>
    </row>
    <row r="251" spans="1:10" x14ac:dyDescent="0.25">
      <c r="A251" s="22"/>
      <c r="B251" s="6" t="str">
        <f>CONCATENATE($D251,((COUNTIFS($D:$D,$D251)-COUNTIF($D$3:$D251,$D251))+1))</f>
        <v>Akbar15</v>
      </c>
      <c r="C251" s="6">
        <v>45419</v>
      </c>
      <c r="D251" t="s">
        <v>54</v>
      </c>
      <c r="E251" t="s">
        <v>73</v>
      </c>
      <c r="F251" s="32" t="str">
        <f>CONCATENATE(D248,D252,E248)</f>
        <v>FiratKwintenL</v>
      </c>
      <c r="G251" t="str">
        <f>CONCATENATE(D249,D252,E249)</f>
        <v>JayKwintenL</v>
      </c>
      <c r="H251" t="str">
        <f>CONCATENATE(D250,D252,E250)</f>
        <v>SizweKwintenL</v>
      </c>
      <c r="I251" s="7" t="str">
        <f>CONCATENATE(D251,D252,E251)</f>
        <v>AkbarKwintenL</v>
      </c>
      <c r="J251" s="7" t="str">
        <f>VLOOKUP(D251,Stats!B:B,1,0)</f>
        <v>Akbar</v>
      </c>
    </row>
    <row r="252" spans="1:10" x14ac:dyDescent="0.25">
      <c r="A252" s="22"/>
      <c r="B252" s="8" t="str">
        <f>CONCATENATE($D252,((COUNTIFS($D:$D,$D252)-COUNTIF($D$3:$D252,$D252))+1))</f>
        <v>Kwinten3</v>
      </c>
      <c r="C252" s="8">
        <v>45419</v>
      </c>
      <c r="D252" s="2" t="s">
        <v>34</v>
      </c>
      <c r="E252" s="2" t="s">
        <v>73</v>
      </c>
      <c r="F252" s="13"/>
      <c r="G252" s="2"/>
      <c r="H252" s="2"/>
      <c r="I252" s="9"/>
      <c r="J252" s="9" t="str">
        <f>VLOOKUP(D252,Stats!B:B,1,0)</f>
        <v>Kwinten</v>
      </c>
    </row>
    <row r="253" spans="1:10" x14ac:dyDescent="0.25">
      <c r="A253" s="22"/>
      <c r="B253" s="3" t="str">
        <f>CONCATENATE($D253,((COUNTIFS($D:$D,$D253)-COUNTIF($D$3:$D253,$D253))+1))</f>
        <v>Adi20</v>
      </c>
      <c r="C253" s="3">
        <v>45419</v>
      </c>
      <c r="D253" s="4" t="s">
        <v>47</v>
      </c>
      <c r="E253" s="4" t="s">
        <v>72</v>
      </c>
      <c r="F253" s="32" t="str">
        <f>CONCATENATE(D253,D254,E253)</f>
        <v>AdiVictorW</v>
      </c>
      <c r="I253" s="5"/>
      <c r="J253" s="5" t="str">
        <f>VLOOKUP(D253,Stats!B:B,1,0)</f>
        <v>Adi</v>
      </c>
    </row>
    <row r="254" spans="1:10" x14ac:dyDescent="0.25">
      <c r="A254" s="22"/>
      <c r="B254" s="6" t="str">
        <f>CONCATENATE($D254,((COUNTIFS($D:$D,$D254)-COUNTIF($D$3:$D254,$D254))+1))</f>
        <v>Victor7</v>
      </c>
      <c r="C254" s="6">
        <v>45419</v>
      </c>
      <c r="D254" t="s">
        <v>31</v>
      </c>
      <c r="E254" t="s">
        <v>72</v>
      </c>
      <c r="F254" s="32" t="str">
        <f>CONCATENATE(D253,D255,E253)</f>
        <v>AdiMaartenW</v>
      </c>
      <c r="G254" t="str">
        <f>CONCATENATE(D254,D255,E254)</f>
        <v>VictorMaartenW</v>
      </c>
      <c r="I254" s="7"/>
      <c r="J254" s="7" t="str">
        <f>VLOOKUP(D254,Stats!B:B,1,0)</f>
        <v>Victor</v>
      </c>
    </row>
    <row r="255" spans="1:10" x14ac:dyDescent="0.25">
      <c r="A255" s="22"/>
      <c r="B255" s="6" t="str">
        <f>CONCATENATE($D255,((COUNTIFS($D:$D,$D255)-COUNTIF($D$3:$D255,$D255))+1))</f>
        <v>Maarten21</v>
      </c>
      <c r="C255" s="6">
        <v>45419</v>
      </c>
      <c r="D255" t="s">
        <v>58</v>
      </c>
      <c r="E255" t="s">
        <v>72</v>
      </c>
      <c r="F255" s="32" t="str">
        <f>CONCATENATE(D253,D256,E253)</f>
        <v>AdiOnurW</v>
      </c>
      <c r="G255" t="str">
        <f>CONCATENATE(D254,D256,E254)</f>
        <v>VictorOnurW</v>
      </c>
      <c r="H255" t="str">
        <f>CONCATENATE(D255,D256,E255)</f>
        <v>MaartenOnurW</v>
      </c>
      <c r="I255" s="7"/>
      <c r="J255" s="7" t="str">
        <f>VLOOKUP(D255,Stats!B:B,1,0)</f>
        <v>Maarten</v>
      </c>
    </row>
    <row r="256" spans="1:10" x14ac:dyDescent="0.25">
      <c r="A256" s="22"/>
      <c r="B256" s="6" t="str">
        <f>CONCATENATE($D256,((COUNTIFS($D:$D,$D256)-COUNTIF($D$3:$D256,$D256))+1))</f>
        <v>Onur5</v>
      </c>
      <c r="C256" s="6">
        <v>45419</v>
      </c>
      <c r="D256" t="s">
        <v>39</v>
      </c>
      <c r="E256" t="s">
        <v>72</v>
      </c>
      <c r="F256" s="32" t="str">
        <f>CONCATENATE(D253,D257,E253)</f>
        <v>AdiBishoyW</v>
      </c>
      <c r="G256" t="str">
        <f>CONCATENATE(D254,D257,E254)</f>
        <v>VictorBishoyW</v>
      </c>
      <c r="H256" t="str">
        <f>CONCATENATE(D255,D257,E255)</f>
        <v>MaartenBishoyW</v>
      </c>
      <c r="I256" s="7" t="str">
        <f>CONCATENATE(D256,D257,E256)</f>
        <v>OnurBishoyW</v>
      </c>
      <c r="J256" s="7" t="str">
        <f>VLOOKUP(D256,Stats!B:B,1,0)</f>
        <v>Onur</v>
      </c>
    </row>
    <row r="257" spans="1:10" x14ac:dyDescent="0.25">
      <c r="A257" s="22"/>
      <c r="B257" s="6" t="str">
        <f>CONCATENATE($D257,((COUNTIFS($D:$D,$D257)-COUNTIF($D$3:$D257,$D257))+1))</f>
        <v>Bishoy26</v>
      </c>
      <c r="C257" s="6">
        <v>45419</v>
      </c>
      <c r="D257" t="s">
        <v>61</v>
      </c>
      <c r="E257" t="s">
        <v>72</v>
      </c>
      <c r="F257" s="32"/>
      <c r="I257" s="7"/>
      <c r="J257" s="7" t="str">
        <f>VLOOKUP(D257,Stats!B:B,1,0)</f>
        <v>Bishoy</v>
      </c>
    </row>
    <row r="258" spans="1:10" x14ac:dyDescent="0.25">
      <c r="A258" s="22"/>
      <c r="B258" s="6" t="str">
        <f>CONCATENATE($D258,((COUNTIFS($D:$D,$D258)-COUNTIF($D$3:$D258,$D258))+1))</f>
        <v>Firat12</v>
      </c>
      <c r="C258" s="6">
        <v>45419</v>
      </c>
      <c r="D258" t="s">
        <v>33</v>
      </c>
      <c r="E258" t="s">
        <v>73</v>
      </c>
      <c r="F258" s="32" t="str">
        <f>CONCATENATE(D258,D259,E258)</f>
        <v>FiratJayL</v>
      </c>
      <c r="I258" s="7"/>
      <c r="J258" s="7" t="str">
        <f>VLOOKUP(D258,Stats!B:B,1,0)</f>
        <v>Firat</v>
      </c>
    </row>
    <row r="259" spans="1:10" x14ac:dyDescent="0.25">
      <c r="A259" s="22"/>
      <c r="B259" s="6" t="str">
        <f>CONCATENATE($D259,((COUNTIFS($D:$D,$D259)-COUNTIF($D$3:$D259,$D259))+1))</f>
        <v>Jay4</v>
      </c>
      <c r="C259" s="6">
        <v>45419</v>
      </c>
      <c r="D259" t="s">
        <v>60</v>
      </c>
      <c r="E259" t="s">
        <v>73</v>
      </c>
      <c r="F259" s="32" t="str">
        <f>CONCATENATE(D258,D260,E258)</f>
        <v>FiratSizweL</v>
      </c>
      <c r="G259" t="str">
        <f>CONCATENATE(D259,D260,E259)</f>
        <v>JaySizweL</v>
      </c>
      <c r="I259" s="7"/>
      <c r="J259" s="7" t="str">
        <f>VLOOKUP(D259,Stats!B:B,1,0)</f>
        <v>Jay</v>
      </c>
    </row>
    <row r="260" spans="1:10" x14ac:dyDescent="0.25">
      <c r="A260" s="22"/>
      <c r="B260" s="6" t="str">
        <f>CONCATENATE($D260,((COUNTIFS($D:$D,$D260)-COUNTIF($D$3:$D260,$D260))+1))</f>
        <v>Sizwe17</v>
      </c>
      <c r="C260" s="6">
        <v>45419</v>
      </c>
      <c r="D260" t="s">
        <v>44</v>
      </c>
      <c r="E260" t="s">
        <v>73</v>
      </c>
      <c r="F260" s="32" t="str">
        <f>CONCATENATE(D258,D261,E258)</f>
        <v>FiratAkbarL</v>
      </c>
      <c r="G260" t="str">
        <f>CONCATENATE(D259,D261,E259)</f>
        <v>JayAkbarL</v>
      </c>
      <c r="H260" t="str">
        <f>CONCATENATE(D260,D261,E260)</f>
        <v>SizweAkbarL</v>
      </c>
      <c r="I260" s="7"/>
      <c r="J260" s="7" t="str">
        <f>VLOOKUP(D260,Stats!B:B,1,0)</f>
        <v>Sizwe</v>
      </c>
    </row>
    <row r="261" spans="1:10" x14ac:dyDescent="0.25">
      <c r="A261" s="22"/>
      <c r="B261" s="6" t="str">
        <f>CONCATENATE($D261,((COUNTIFS($D:$D,$D261)-COUNTIF($D$3:$D261,$D261))+1))</f>
        <v>Akbar14</v>
      </c>
      <c r="C261" s="6">
        <v>45419</v>
      </c>
      <c r="D261" t="s">
        <v>54</v>
      </c>
      <c r="E261" t="s">
        <v>73</v>
      </c>
      <c r="F261" s="32" t="str">
        <f>CONCATENATE(D258,D262,E258)</f>
        <v>FiratKwintenL</v>
      </c>
      <c r="G261" t="str">
        <f>CONCATENATE(D259,D262,E259)</f>
        <v>JayKwintenL</v>
      </c>
      <c r="H261" t="str">
        <f>CONCATENATE(D260,D262,E260)</f>
        <v>SizweKwintenL</v>
      </c>
      <c r="I261" s="7" t="str">
        <f>CONCATENATE(D261,D262,E261)</f>
        <v>AkbarKwintenL</v>
      </c>
      <c r="J261" s="7" t="str">
        <f>VLOOKUP(D261,Stats!B:B,1,0)</f>
        <v>Akbar</v>
      </c>
    </row>
    <row r="262" spans="1:10" x14ac:dyDescent="0.25">
      <c r="A262" s="22"/>
      <c r="B262" s="8" t="str">
        <f>CONCATENATE($D262,((COUNTIFS($D:$D,$D262)-COUNTIF($D$3:$D262,$D262))+1))</f>
        <v>Kwinten2</v>
      </c>
      <c r="C262" s="8">
        <v>45419</v>
      </c>
      <c r="D262" s="2" t="s">
        <v>34</v>
      </c>
      <c r="E262" s="2" t="s">
        <v>73</v>
      </c>
      <c r="F262" s="13"/>
      <c r="G262" s="2"/>
      <c r="H262" s="2"/>
      <c r="I262" s="9"/>
      <c r="J262" s="9" t="str">
        <f>VLOOKUP(D262,Stats!B:B,1,0)</f>
        <v>Kwinten</v>
      </c>
    </row>
    <row r="263" spans="1:10" x14ac:dyDescent="0.25">
      <c r="A263" s="22"/>
      <c r="B263" s="3" t="str">
        <f>CONCATENATE($D263,((COUNTIFS($D:$D,$D263)-COUNTIF($D$3:$D263,$D263))+1))</f>
        <v>Dobro27</v>
      </c>
      <c r="C263" s="3">
        <v>45419</v>
      </c>
      <c r="D263" s="4" t="s">
        <v>35</v>
      </c>
      <c r="E263" s="4" t="s">
        <v>72</v>
      </c>
      <c r="F263" s="32" t="str">
        <f>CONCATENATE(D263,D264,E263)</f>
        <v>DobroCaiqueW</v>
      </c>
      <c r="I263" s="5"/>
      <c r="J263" s="5" t="str">
        <f>VLOOKUP(D263,Stats!B:B,1,0)</f>
        <v>Dobro</v>
      </c>
    </row>
    <row r="264" spans="1:10" x14ac:dyDescent="0.25">
      <c r="A264" s="22"/>
      <c r="B264" s="6" t="str">
        <f>CONCATENATE($D264,((COUNTIFS($D:$D,$D264)-COUNTIF($D$3:$D264,$D264))+1))</f>
        <v>Caique2</v>
      </c>
      <c r="C264" s="6">
        <v>45419</v>
      </c>
      <c r="D264" t="s">
        <v>15</v>
      </c>
      <c r="E264" t="s">
        <v>72</v>
      </c>
      <c r="F264" s="32" t="str">
        <f>CONCATENATE(D263,D265,E263)</f>
        <v>DobroTanooW</v>
      </c>
      <c r="G264" t="str">
        <f>CONCATENATE(D264,D265,E264)</f>
        <v>CaiqueTanooW</v>
      </c>
      <c r="I264" s="7"/>
      <c r="J264" s="7" t="str">
        <f>VLOOKUP(D264,Stats!B:B,1,0)</f>
        <v>Caique</v>
      </c>
    </row>
    <row r="265" spans="1:10" x14ac:dyDescent="0.25">
      <c r="A265" s="22"/>
      <c r="B265" s="6" t="str">
        <f>CONCATENATE($D265,((COUNTIFS($D:$D,$D265)-COUNTIF($D$3:$D265,$D265))+1))</f>
        <v>Tanoo1</v>
      </c>
      <c r="C265" s="6">
        <v>45419</v>
      </c>
      <c r="D265" t="s">
        <v>13</v>
      </c>
      <c r="E265" t="s">
        <v>72</v>
      </c>
      <c r="F265" s="32" t="str">
        <f>CONCATENATE(D263,D266,E263)</f>
        <v>DobroPablo OGW</v>
      </c>
      <c r="G265" t="str">
        <f>CONCATENATE(D264,D266,E264)</f>
        <v>CaiquePablo OGW</v>
      </c>
      <c r="H265" t="str">
        <f>CONCATENATE(D265,D266,E265)</f>
        <v>TanooPablo OGW</v>
      </c>
      <c r="I265" s="7"/>
      <c r="J265" s="7" t="str">
        <f>VLOOKUP(D265,Stats!B:B,1,0)</f>
        <v>Tanoo</v>
      </c>
    </row>
    <row r="266" spans="1:10" x14ac:dyDescent="0.25">
      <c r="A266" s="22"/>
      <c r="B266" s="6" t="str">
        <f>CONCATENATE($D266,((COUNTIFS($D:$D,$D266)-COUNTIF($D$3:$D266,$D266))+1))</f>
        <v>Pablo OG19</v>
      </c>
      <c r="C266" s="6">
        <v>45419</v>
      </c>
      <c r="D266" t="s">
        <v>42</v>
      </c>
      <c r="E266" t="s">
        <v>72</v>
      </c>
      <c r="F266" s="32" t="str">
        <f>CONCATENATE(D263,D267,E263)</f>
        <v>DobroTchiW</v>
      </c>
      <c r="G266" t="str">
        <f>CONCATENATE(D264,D267,E264)</f>
        <v>CaiqueTchiW</v>
      </c>
      <c r="H266" t="str">
        <f>CONCATENATE(D265,D267,E265)</f>
        <v>TanooTchiW</v>
      </c>
      <c r="I266" s="7" t="str">
        <f>CONCATENATE(D266,D267,E266)</f>
        <v>Pablo OGTchiW</v>
      </c>
      <c r="J266" s="7" t="str">
        <f>VLOOKUP(D266,Stats!B:B,1,0)</f>
        <v>Pablo OG</v>
      </c>
    </row>
    <row r="267" spans="1:10" x14ac:dyDescent="0.25">
      <c r="A267" s="22"/>
      <c r="B267" s="6" t="str">
        <f>CONCATENATE($D267,((COUNTIFS($D:$D,$D267)-COUNTIF($D$3:$D267,$D267))+1))</f>
        <v>Tchi17</v>
      </c>
      <c r="C267" s="6">
        <v>45419</v>
      </c>
      <c r="D267" t="s">
        <v>37</v>
      </c>
      <c r="E267" t="s">
        <v>72</v>
      </c>
      <c r="F267" s="32"/>
      <c r="I267" s="7"/>
      <c r="J267" s="7" t="str">
        <f>VLOOKUP(D267,Stats!B:B,1,0)</f>
        <v>Tchi</v>
      </c>
    </row>
    <row r="268" spans="1:10" x14ac:dyDescent="0.25">
      <c r="A268" s="22"/>
      <c r="B268" s="6" t="str">
        <f>CONCATENATE($D268,((COUNTIFS($D:$D,$D268)-COUNTIF($D$3:$D268,$D268))+1))</f>
        <v>Reza18</v>
      </c>
      <c r="C268" s="6">
        <v>45419</v>
      </c>
      <c r="D268" t="s">
        <v>32</v>
      </c>
      <c r="E268" t="s">
        <v>73</v>
      </c>
      <c r="F268" s="32" t="str">
        <f>CONCATENATE(D268,D269,E268)</f>
        <v>RezaAdamL</v>
      </c>
      <c r="I268" s="7"/>
      <c r="J268" s="7" t="str">
        <f>VLOOKUP(D268,Stats!B:B,1,0)</f>
        <v>Reza</v>
      </c>
    </row>
    <row r="269" spans="1:10" x14ac:dyDescent="0.25">
      <c r="A269" s="22"/>
      <c r="B269" s="6" t="str">
        <f>CONCATENATE($D269,((COUNTIFS($D:$D,$D269)-COUNTIF($D$3:$D269,$D269))+1))</f>
        <v>Adam33</v>
      </c>
      <c r="C269" s="6">
        <v>45419</v>
      </c>
      <c r="D269" t="s">
        <v>53</v>
      </c>
      <c r="E269" t="s">
        <v>73</v>
      </c>
      <c r="F269" s="32" t="str">
        <f>CONCATENATE(D268,D270,E268)</f>
        <v>RezaLucaL</v>
      </c>
      <c r="G269" t="str">
        <f>CONCATENATE(D269,D270,E269)</f>
        <v>AdamLucaL</v>
      </c>
      <c r="I269" s="7"/>
      <c r="J269" s="7" t="str">
        <f>VLOOKUP(D269,Stats!B:B,1,0)</f>
        <v>Adam</v>
      </c>
    </row>
    <row r="270" spans="1:10" x14ac:dyDescent="0.25">
      <c r="A270" s="22"/>
      <c r="B270" s="6" t="str">
        <f>CONCATENATE($D270,((COUNTIFS($D:$D,$D270)-COUNTIF($D$3:$D270,$D270))+1))</f>
        <v>Luca21</v>
      </c>
      <c r="C270" s="6">
        <v>45419</v>
      </c>
      <c r="D270" t="s">
        <v>46</v>
      </c>
      <c r="E270" t="s">
        <v>73</v>
      </c>
      <c r="F270" s="32" t="str">
        <f>CONCATENATE(D268,D271,E268)</f>
        <v>RezaBarisL</v>
      </c>
      <c r="G270" t="str">
        <f>CONCATENATE(D269,D271,E269)</f>
        <v>AdamBarisL</v>
      </c>
      <c r="H270" t="str">
        <f>CONCATENATE(D270,D271,E270)</f>
        <v>LucaBarisL</v>
      </c>
      <c r="I270" s="7"/>
      <c r="J270" s="7" t="str">
        <f>VLOOKUP(D270,Stats!B:B,1,0)</f>
        <v>Luca</v>
      </c>
    </row>
    <row r="271" spans="1:10" x14ac:dyDescent="0.25">
      <c r="A271" s="22"/>
      <c r="B271" s="6" t="str">
        <f>CONCATENATE($D271,((COUNTIFS($D:$D,$D271)-COUNTIF($D$3:$D271,$D271))+1))</f>
        <v>Baris17</v>
      </c>
      <c r="C271" s="6">
        <v>45419</v>
      </c>
      <c r="D271" t="s">
        <v>55</v>
      </c>
      <c r="E271" t="s">
        <v>73</v>
      </c>
      <c r="F271" s="32" t="str">
        <f>CONCATENATE(D268,D272,E268)</f>
        <v>RezaFilipL</v>
      </c>
      <c r="G271" t="str">
        <f>CONCATENATE(D269,D272,E269)</f>
        <v>AdamFilipL</v>
      </c>
      <c r="H271" t="str">
        <f>CONCATENATE(D270,D272,E270)</f>
        <v>LucaFilipL</v>
      </c>
      <c r="I271" s="7" t="str">
        <f>CONCATENATE(D271,D272,E271)</f>
        <v>BarisFilipL</v>
      </c>
      <c r="J271" s="7" t="str">
        <f>VLOOKUP(D271,Stats!B:B,1,0)</f>
        <v>Baris</v>
      </c>
    </row>
    <row r="272" spans="1:10" x14ac:dyDescent="0.25">
      <c r="A272" s="22"/>
      <c r="B272" s="8" t="str">
        <f>CONCATENATE($D272,((COUNTIFS($D:$D,$D272)-COUNTIF($D$3:$D272,$D272))+1))</f>
        <v>Filip3</v>
      </c>
      <c r="C272" s="8">
        <v>45419</v>
      </c>
      <c r="D272" s="2" t="s">
        <v>59</v>
      </c>
      <c r="E272" s="2" t="s">
        <v>73</v>
      </c>
      <c r="F272" s="13"/>
      <c r="G272" s="2"/>
      <c r="H272" s="2"/>
      <c r="I272" s="9"/>
      <c r="J272" s="9" t="str">
        <f>VLOOKUP(D272,Stats!B:B,1,0)</f>
        <v>Filip</v>
      </c>
    </row>
    <row r="273" spans="1:10" x14ac:dyDescent="0.25">
      <c r="A273" s="22"/>
      <c r="B273" s="3" t="str">
        <f>CONCATENATE($D273,((COUNTIFS($D:$D,$D273)-COUNTIF($D$3:$D273,$D273))+1))</f>
        <v>Wouter18</v>
      </c>
      <c r="C273" s="3">
        <f>+C263+2</f>
        <v>45421</v>
      </c>
      <c r="D273" s="4" t="s">
        <v>36</v>
      </c>
      <c r="E273" s="4" t="s">
        <v>72</v>
      </c>
      <c r="F273" s="32" t="str">
        <f>CONCATENATE(D273,D274,E273)</f>
        <v>WouterRezaW</v>
      </c>
      <c r="I273" s="5"/>
      <c r="J273" s="5" t="str">
        <f>VLOOKUP(D273,Stats!B:B,1,0)</f>
        <v>Wouter</v>
      </c>
    </row>
    <row r="274" spans="1:10" x14ac:dyDescent="0.25">
      <c r="A274" s="22"/>
      <c r="B274" s="6" t="str">
        <f>CONCATENATE($D274,((COUNTIFS($D:$D,$D274)-COUNTIF($D$3:$D274,$D274))+1))</f>
        <v>Reza17</v>
      </c>
      <c r="C274" s="6">
        <f>+C273</f>
        <v>45421</v>
      </c>
      <c r="D274" t="s">
        <v>32</v>
      </c>
      <c r="E274" t="s">
        <v>72</v>
      </c>
      <c r="F274" s="32" t="str">
        <f>CONCATENATE(D273,D275,E273)</f>
        <v>WouterKwintenW</v>
      </c>
      <c r="G274" t="str">
        <f>CONCATENATE(D274,D275,E274)</f>
        <v>RezaKwintenW</v>
      </c>
      <c r="I274" s="7"/>
      <c r="J274" s="7" t="str">
        <f>VLOOKUP(D274,Stats!B:B,1,0)</f>
        <v>Reza</v>
      </c>
    </row>
    <row r="275" spans="1:10" x14ac:dyDescent="0.25">
      <c r="A275" s="22"/>
      <c r="B275" s="6" t="str">
        <f>CONCATENATE($D275,((COUNTIFS($D:$D,$D275)-COUNTIF($D$3:$D275,$D275))+1))</f>
        <v>Kwinten1</v>
      </c>
      <c r="C275" s="6">
        <f t="shared" ref="C275:C282" si="14">+C274</f>
        <v>45421</v>
      </c>
      <c r="D275" t="s">
        <v>34</v>
      </c>
      <c r="E275" t="s">
        <v>72</v>
      </c>
      <c r="F275" s="32" t="str">
        <f>CONCATENATE(D273,D276,E273)</f>
        <v>WouterMaartenW</v>
      </c>
      <c r="G275" t="str">
        <f>CONCATENATE(D274,D276,E274)</f>
        <v>RezaMaartenW</v>
      </c>
      <c r="H275" t="str">
        <f>CONCATENATE(D275,D276,E275)</f>
        <v>KwintenMaartenW</v>
      </c>
      <c r="I275" s="7"/>
      <c r="J275" s="7" t="str">
        <f>VLOOKUP(D275,Stats!B:B,1,0)</f>
        <v>Kwinten</v>
      </c>
    </row>
    <row r="276" spans="1:10" x14ac:dyDescent="0.25">
      <c r="A276" s="22"/>
      <c r="B276" s="6" t="str">
        <f>CONCATENATE($D276,((COUNTIFS($D:$D,$D276)-COUNTIF($D$3:$D276,$D276))+1))</f>
        <v>Maarten20</v>
      </c>
      <c r="C276" s="6">
        <f t="shared" si="14"/>
        <v>45421</v>
      </c>
      <c r="D276" t="s">
        <v>58</v>
      </c>
      <c r="E276" t="s">
        <v>72</v>
      </c>
      <c r="F276" s="32" t="str">
        <f>CONCATENATE(D273,D277,E273)</f>
        <v>WouterAdamW</v>
      </c>
      <c r="G276" t="str">
        <f>CONCATENATE(D274,D277,E274)</f>
        <v>RezaAdamW</v>
      </c>
      <c r="H276" t="str">
        <f>CONCATENATE(D275,D277,E275)</f>
        <v>KwintenAdamW</v>
      </c>
      <c r="I276" s="7" t="str">
        <f>CONCATENATE(D276,D277,E276)</f>
        <v>MaartenAdamW</v>
      </c>
      <c r="J276" s="7" t="str">
        <f>VLOOKUP(D276,Stats!B:B,1,0)</f>
        <v>Maarten</v>
      </c>
    </row>
    <row r="277" spans="1:10" x14ac:dyDescent="0.25">
      <c r="A277" s="22"/>
      <c r="B277" s="6" t="str">
        <f>CONCATENATE($D277,((COUNTIFS($D:$D,$D277)-COUNTIF($D$3:$D277,$D277))+1))</f>
        <v>Adam32</v>
      </c>
      <c r="C277" s="6">
        <f t="shared" si="14"/>
        <v>45421</v>
      </c>
      <c r="D277" t="s">
        <v>53</v>
      </c>
      <c r="E277" t="s">
        <v>72</v>
      </c>
      <c r="F277" s="32"/>
      <c r="I277" s="7"/>
      <c r="J277" s="7" t="str">
        <f>VLOOKUP(D277,Stats!B:B,1,0)</f>
        <v>Adam</v>
      </c>
    </row>
    <row r="278" spans="1:10" x14ac:dyDescent="0.25">
      <c r="A278" s="22"/>
      <c r="B278" s="6" t="str">
        <f>CONCATENATE($D278,((COUNTIFS($D:$D,$D278)-COUNTIF($D$3:$D278,$D278))+1))</f>
        <v>Luca20</v>
      </c>
      <c r="C278" s="6">
        <f t="shared" si="14"/>
        <v>45421</v>
      </c>
      <c r="D278" t="s">
        <v>46</v>
      </c>
      <c r="E278" t="s">
        <v>73</v>
      </c>
      <c r="F278" s="32" t="str">
        <f>CONCATENATE(D278,D279,E278)</f>
        <v>LucaPablo PL</v>
      </c>
      <c r="I278" s="7"/>
      <c r="J278" s="7" t="str">
        <f>VLOOKUP(D278,Stats!B:B,1,0)</f>
        <v>Luca</v>
      </c>
    </row>
    <row r="279" spans="1:10" x14ac:dyDescent="0.25">
      <c r="A279" s="22"/>
      <c r="B279" s="6" t="str">
        <f>CONCATENATE($D279,((COUNTIFS($D:$D,$D279)-COUNTIF($D$3:$D279,$D279))+1))</f>
        <v>Pablo P8</v>
      </c>
      <c r="C279" s="6">
        <f t="shared" si="14"/>
        <v>45421</v>
      </c>
      <c r="D279" t="s">
        <v>48</v>
      </c>
      <c r="E279" t="s">
        <v>73</v>
      </c>
      <c r="F279" s="32" t="str">
        <f>CONCATENATE(D278,D280,E278)</f>
        <v>LucaTchiL</v>
      </c>
      <c r="G279" t="str">
        <f>CONCATENATE(D279,D280,E279)</f>
        <v>Pablo PTchiL</v>
      </c>
      <c r="I279" s="7"/>
      <c r="J279" s="7" t="str">
        <f>VLOOKUP(D279,Stats!B:B,1,0)</f>
        <v>Pablo P</v>
      </c>
    </row>
    <row r="280" spans="1:10" x14ac:dyDescent="0.25">
      <c r="A280" s="22"/>
      <c r="B280" s="6" t="str">
        <f>CONCATENATE($D280,((COUNTIFS($D:$D,$D280)-COUNTIF($D$3:$D280,$D280))+1))</f>
        <v>Tchi16</v>
      </c>
      <c r="C280" s="6">
        <f t="shared" si="14"/>
        <v>45421</v>
      </c>
      <c r="D280" t="s">
        <v>37</v>
      </c>
      <c r="E280" t="s">
        <v>73</v>
      </c>
      <c r="F280" s="32" t="str">
        <f>CONCATENATE(D278,D281,E278)</f>
        <v>LucaBishoyL</v>
      </c>
      <c r="G280" t="str">
        <f>CONCATENATE(D279,D281,E279)</f>
        <v>Pablo PBishoyL</v>
      </c>
      <c r="H280" t="str">
        <f>CONCATENATE(D280,D281,E280)</f>
        <v>TchiBishoyL</v>
      </c>
      <c r="I280" s="7"/>
      <c r="J280" s="7" t="str">
        <f>VLOOKUP(D280,Stats!B:B,1,0)</f>
        <v>Tchi</v>
      </c>
    </row>
    <row r="281" spans="1:10" x14ac:dyDescent="0.25">
      <c r="A281" s="22"/>
      <c r="B281" s="6" t="str">
        <f>CONCATENATE($D281,((COUNTIFS($D:$D,$D281)-COUNTIF($D$3:$D281,$D281))+1))</f>
        <v>Bishoy25</v>
      </c>
      <c r="C281" s="6">
        <f t="shared" si="14"/>
        <v>45421</v>
      </c>
      <c r="D281" t="s">
        <v>61</v>
      </c>
      <c r="E281" t="s">
        <v>73</v>
      </c>
      <c r="F281" s="32" t="str">
        <f>CONCATENATE(D278,D282,E278)</f>
        <v>LucaSanderoL</v>
      </c>
      <c r="G281" t="str">
        <f>CONCATENATE(D279,D282,E279)</f>
        <v>Pablo PSanderoL</v>
      </c>
      <c r="H281" t="str">
        <f>CONCATENATE(D280,D282,E280)</f>
        <v>TchiSanderoL</v>
      </c>
      <c r="I281" s="7" t="str">
        <f>CONCATENATE(D281,D282,E281)</f>
        <v>BishoySanderoL</v>
      </c>
      <c r="J281" s="7" t="str">
        <f>VLOOKUP(D281,Stats!B:B,1,0)</f>
        <v>Bishoy</v>
      </c>
    </row>
    <row r="282" spans="1:10" x14ac:dyDescent="0.25">
      <c r="A282" s="22"/>
      <c r="B282" s="8" t="str">
        <f>CONCATENATE($D282,((COUNTIFS($D:$D,$D282)-COUNTIF($D$3:$D282,$D282))+1))</f>
        <v>Sandero10</v>
      </c>
      <c r="C282" s="8">
        <f t="shared" si="14"/>
        <v>45421</v>
      </c>
      <c r="D282" s="2" t="s">
        <v>57</v>
      </c>
      <c r="E282" s="2" t="s">
        <v>73</v>
      </c>
      <c r="F282" s="13"/>
      <c r="G282" s="2"/>
      <c r="H282" s="2"/>
      <c r="I282" s="9"/>
      <c r="J282" s="9" t="str">
        <f>VLOOKUP(D282,Stats!B:B,1,0)</f>
        <v>Sandero</v>
      </c>
    </row>
    <row r="283" spans="1:10" x14ac:dyDescent="0.25">
      <c r="A283" s="22"/>
      <c r="B283" s="3" t="str">
        <f>CONCATENATE($D283,((COUNTIFS($D:$D,$D283)-COUNTIF($D$3:$D283,$D283))+1))</f>
        <v>Maarten19</v>
      </c>
      <c r="C283" s="3">
        <f>+C273+5</f>
        <v>45426</v>
      </c>
      <c r="D283" s="4" t="s">
        <v>58</v>
      </c>
      <c r="E283" s="4" t="s">
        <v>72</v>
      </c>
      <c r="F283" s="32" t="str">
        <f>CONCATENATE(D283,D284,E283)</f>
        <v>MaartenVictorW</v>
      </c>
      <c r="I283" s="5"/>
      <c r="J283" s="5" t="str">
        <f>VLOOKUP(D283,Stats!B:B,1,0)</f>
        <v>Maarten</v>
      </c>
    </row>
    <row r="284" spans="1:10" x14ac:dyDescent="0.25">
      <c r="A284" s="22"/>
      <c r="B284" s="6" t="str">
        <f>CONCATENATE($D284,((COUNTIFS($D:$D,$D284)-COUNTIF($D$3:$D284,$D284))+1))</f>
        <v>Victor6</v>
      </c>
      <c r="C284" s="6">
        <f>+C283</f>
        <v>45426</v>
      </c>
      <c r="D284" t="s">
        <v>31</v>
      </c>
      <c r="E284" t="s">
        <v>72</v>
      </c>
      <c r="F284" s="32" t="str">
        <f>CONCATENATE(D283,D285,E283)</f>
        <v>MaartenBarisW</v>
      </c>
      <c r="G284" t="str">
        <f>CONCATENATE(D284,D285,E284)</f>
        <v>VictorBarisW</v>
      </c>
      <c r="I284" s="7"/>
      <c r="J284" s="7" t="str">
        <f>VLOOKUP(D284,Stats!B:B,1,0)</f>
        <v>Victor</v>
      </c>
    </row>
    <row r="285" spans="1:10" x14ac:dyDescent="0.25">
      <c r="A285" s="22"/>
      <c r="B285" s="6" t="str">
        <f>CONCATENATE($D285,((COUNTIFS($D:$D,$D285)-COUNTIF($D$3:$D285,$D285))+1))</f>
        <v>Baris16</v>
      </c>
      <c r="C285" s="6">
        <f t="shared" ref="C285:C292" si="15">+C284</f>
        <v>45426</v>
      </c>
      <c r="D285" t="s">
        <v>55</v>
      </c>
      <c r="E285" t="s">
        <v>72</v>
      </c>
      <c r="F285" s="32" t="str">
        <f>CONCATENATE(D283,D286,E283)</f>
        <v>MaartenAkbarW</v>
      </c>
      <c r="G285" t="str">
        <f>CONCATENATE(D284,D286,E284)</f>
        <v>VictorAkbarW</v>
      </c>
      <c r="H285" t="str">
        <f>CONCATENATE(D285,D286,E285)</f>
        <v>BarisAkbarW</v>
      </c>
      <c r="I285" s="7"/>
      <c r="J285" s="7" t="str">
        <f>VLOOKUP(D285,Stats!B:B,1,0)</f>
        <v>Baris</v>
      </c>
    </row>
    <row r="286" spans="1:10" x14ac:dyDescent="0.25">
      <c r="A286" s="22"/>
      <c r="B286" s="6" t="str">
        <f>CONCATENATE($D286,((COUNTIFS($D:$D,$D286)-COUNTIF($D$3:$D286,$D286))+1))</f>
        <v>Akbar13</v>
      </c>
      <c r="C286" s="6">
        <f t="shared" si="15"/>
        <v>45426</v>
      </c>
      <c r="D286" t="s">
        <v>54</v>
      </c>
      <c r="E286" t="s">
        <v>72</v>
      </c>
      <c r="F286" s="32" t="str">
        <f>CONCATENATE(D283,D287,E283)</f>
        <v>MaartenFiratW</v>
      </c>
      <c r="G286" t="str">
        <f>CONCATENATE(D284,D287,E284)</f>
        <v>VictorFiratW</v>
      </c>
      <c r="H286" t="str">
        <f>CONCATENATE(D285,D287,E285)</f>
        <v>BarisFiratW</v>
      </c>
      <c r="I286" s="7" t="str">
        <f>CONCATENATE(D286,D287,E286)</f>
        <v>AkbarFiratW</v>
      </c>
      <c r="J286" s="7" t="str">
        <f>VLOOKUP(D286,Stats!B:B,1,0)</f>
        <v>Akbar</v>
      </c>
    </row>
    <row r="287" spans="1:10" x14ac:dyDescent="0.25">
      <c r="A287" s="22"/>
      <c r="B287" s="6" t="str">
        <f>CONCATENATE($D287,((COUNTIFS($D:$D,$D287)-COUNTIF($D$3:$D287,$D287))+1))</f>
        <v>Firat11</v>
      </c>
      <c r="C287" s="6">
        <f t="shared" si="15"/>
        <v>45426</v>
      </c>
      <c r="D287" t="s">
        <v>33</v>
      </c>
      <c r="E287" t="s">
        <v>72</v>
      </c>
      <c r="F287" s="32"/>
      <c r="I287" s="7"/>
      <c r="J287" s="7" t="str">
        <f>VLOOKUP(D287,Stats!B:B,1,0)</f>
        <v>Firat</v>
      </c>
    </row>
    <row r="288" spans="1:10" x14ac:dyDescent="0.25">
      <c r="A288" s="22"/>
      <c r="B288" s="6" t="str">
        <f>CONCATENATE($D288,((COUNTIFS($D:$D,$D288)-COUNTIF($D$3:$D288,$D288))+1))</f>
        <v>Tchi15</v>
      </c>
      <c r="C288" s="6">
        <f t="shared" si="15"/>
        <v>45426</v>
      </c>
      <c r="D288" t="s">
        <v>37</v>
      </c>
      <c r="E288" t="s">
        <v>73</v>
      </c>
      <c r="F288" s="32" t="str">
        <f>CONCATENATE(D288,D289,E288)</f>
        <v>TchiAdamL</v>
      </c>
      <c r="I288" s="7"/>
      <c r="J288" s="7" t="str">
        <f>VLOOKUP(D288,Stats!B:B,1,0)</f>
        <v>Tchi</v>
      </c>
    </row>
    <row r="289" spans="1:10" x14ac:dyDescent="0.25">
      <c r="A289" s="22"/>
      <c r="B289" s="6" t="str">
        <f>CONCATENATE($D289,((COUNTIFS($D:$D,$D289)-COUNTIF($D$3:$D289,$D289))+1))</f>
        <v>Adam31</v>
      </c>
      <c r="C289" s="6">
        <f t="shared" si="15"/>
        <v>45426</v>
      </c>
      <c r="D289" t="s">
        <v>53</v>
      </c>
      <c r="E289" t="s">
        <v>73</v>
      </c>
      <c r="F289" s="32" t="str">
        <f>CONCATENATE(D288,D290,E288)</f>
        <v>TchiArneL</v>
      </c>
      <c r="G289" t="str">
        <f>CONCATENATE(D289,D290,E289)</f>
        <v>AdamArneL</v>
      </c>
      <c r="I289" s="7"/>
      <c r="J289" s="7" t="str">
        <f>VLOOKUP(D289,Stats!B:B,1,0)</f>
        <v>Adam</v>
      </c>
    </row>
    <row r="290" spans="1:10" x14ac:dyDescent="0.25">
      <c r="A290" s="22"/>
      <c r="B290" s="6" t="str">
        <f>CONCATENATE($D290,((COUNTIFS($D:$D,$D290)-COUNTIF($D$3:$D290,$D290))+1))</f>
        <v>Arne3</v>
      </c>
      <c r="C290" s="6">
        <f t="shared" si="15"/>
        <v>45426</v>
      </c>
      <c r="D290" t="s">
        <v>49</v>
      </c>
      <c r="E290" t="s">
        <v>73</v>
      </c>
      <c r="F290" s="32" t="str">
        <f>CONCATENATE(D288,D291,E288)</f>
        <v>TchiSizweL</v>
      </c>
      <c r="G290" t="str">
        <f>CONCATENATE(D289,D291,E289)</f>
        <v>AdamSizweL</v>
      </c>
      <c r="H290" t="str">
        <f>CONCATENATE(D290,D291,E290)</f>
        <v>ArneSizweL</v>
      </c>
      <c r="I290" s="7"/>
      <c r="J290" s="7" t="str">
        <f>VLOOKUP(D290,Stats!B:B,1,0)</f>
        <v>Arne</v>
      </c>
    </row>
    <row r="291" spans="1:10" x14ac:dyDescent="0.25">
      <c r="A291" s="22"/>
      <c r="B291" s="6" t="str">
        <f>CONCATENATE($D291,((COUNTIFS($D:$D,$D291)-COUNTIF($D$3:$D291,$D291))+1))</f>
        <v>Sizwe16</v>
      </c>
      <c r="C291" s="6">
        <f t="shared" si="15"/>
        <v>45426</v>
      </c>
      <c r="D291" t="s">
        <v>44</v>
      </c>
      <c r="E291" t="s">
        <v>73</v>
      </c>
      <c r="F291" s="32" t="str">
        <f>CONCATENATE(D288,D292,E288)</f>
        <v>TchiLucaL</v>
      </c>
      <c r="G291" t="str">
        <f>CONCATENATE(D289,D292,E289)</f>
        <v>AdamLucaL</v>
      </c>
      <c r="H291" t="str">
        <f>CONCATENATE(D290,D292,E290)</f>
        <v>ArneLucaL</v>
      </c>
      <c r="I291" s="7" t="str">
        <f>CONCATENATE(D291,D292,E291)</f>
        <v>SizweLucaL</v>
      </c>
      <c r="J291" s="7" t="str">
        <f>VLOOKUP(D291,Stats!B:B,1,0)</f>
        <v>Sizwe</v>
      </c>
    </row>
    <row r="292" spans="1:10" x14ac:dyDescent="0.25">
      <c r="A292" s="22"/>
      <c r="B292" s="8" t="str">
        <f>CONCATENATE($D292,((COUNTIFS($D:$D,$D292)-COUNTIF($D$3:$D292,$D292))+1))</f>
        <v>Luca19</v>
      </c>
      <c r="C292" s="8">
        <f t="shared" si="15"/>
        <v>45426</v>
      </c>
      <c r="D292" s="2" t="s">
        <v>46</v>
      </c>
      <c r="E292" s="2" t="s">
        <v>73</v>
      </c>
      <c r="F292" s="13"/>
      <c r="G292" s="2"/>
      <c r="H292" s="2"/>
      <c r="I292" s="9"/>
      <c r="J292" s="9" t="str">
        <f>VLOOKUP(D292,Stats!B:B,1,0)</f>
        <v>Luca</v>
      </c>
    </row>
    <row r="293" spans="1:10" x14ac:dyDescent="0.25">
      <c r="A293" s="22"/>
      <c r="B293" s="3" t="str">
        <f>CONCATENATE($D293,((COUNTIFS($D:$D,$D293)-COUNTIF($D$3:$D293,$D293))+1))</f>
        <v>Bishoy24</v>
      </c>
      <c r="C293" s="3">
        <f>+C283+2</f>
        <v>45428</v>
      </c>
      <c r="D293" s="4" t="s">
        <v>61</v>
      </c>
      <c r="E293" s="4" t="s">
        <v>72</v>
      </c>
      <c r="F293" s="32" t="str">
        <f>CONCATENATE(D293,D294,E293)</f>
        <v>BishoyMaartenW</v>
      </c>
      <c r="I293" s="5"/>
      <c r="J293" s="5" t="str">
        <f>VLOOKUP(D293,Stats!B:B,1,0)</f>
        <v>Bishoy</v>
      </c>
    </row>
    <row r="294" spans="1:10" x14ac:dyDescent="0.25">
      <c r="A294" s="22"/>
      <c r="B294" s="6" t="str">
        <f>CONCATENATE($D294,((COUNTIFS($D:$D,$D294)-COUNTIF($D$3:$D294,$D294))+1))</f>
        <v>Maarten18</v>
      </c>
      <c r="C294" s="6">
        <f t="shared" ref="C294:C302" si="16">+C284+2</f>
        <v>45428</v>
      </c>
      <c r="D294" t="s">
        <v>58</v>
      </c>
      <c r="E294" t="s">
        <v>72</v>
      </c>
      <c r="F294" s="32" t="str">
        <f>CONCATENATE(D293,D295,E293)</f>
        <v>BishoyPablo PW</v>
      </c>
      <c r="G294" t="str">
        <f>CONCATENATE(D294,D295,E294)</f>
        <v>MaartenPablo PW</v>
      </c>
      <c r="I294" s="7"/>
      <c r="J294" s="7" t="str">
        <f>VLOOKUP(D294,Stats!B:B,1,0)</f>
        <v>Maarten</v>
      </c>
    </row>
    <row r="295" spans="1:10" x14ac:dyDescent="0.25">
      <c r="A295" s="22"/>
      <c r="B295" s="6" t="str">
        <f>CONCATENATE($D295,((COUNTIFS($D:$D,$D295)-COUNTIF($D$3:$D295,$D295))+1))</f>
        <v>Pablo P7</v>
      </c>
      <c r="C295" s="6">
        <f t="shared" si="16"/>
        <v>45428</v>
      </c>
      <c r="D295" t="s">
        <v>48</v>
      </c>
      <c r="E295" t="s">
        <v>72</v>
      </c>
      <c r="F295" s="32" t="str">
        <f>CONCATENATE(D293,D296,E293)</f>
        <v>BishoyPablo OGW</v>
      </c>
      <c r="G295" t="str">
        <f>CONCATENATE(D294,D296,E294)</f>
        <v>MaartenPablo OGW</v>
      </c>
      <c r="H295" t="str">
        <f>CONCATENATE(D295,D296,E295)</f>
        <v>Pablo PPablo OGW</v>
      </c>
      <c r="I295" s="7"/>
      <c r="J295" s="7" t="str">
        <f>VLOOKUP(D295,Stats!B:B,1,0)</f>
        <v>Pablo P</v>
      </c>
    </row>
    <row r="296" spans="1:10" x14ac:dyDescent="0.25">
      <c r="A296" s="22"/>
      <c r="B296" s="6" t="str">
        <f>CONCATENATE($D296,((COUNTIFS($D:$D,$D296)-COUNTIF($D$3:$D296,$D296))+1))</f>
        <v>Pablo OG18</v>
      </c>
      <c r="C296" s="6">
        <f t="shared" si="16"/>
        <v>45428</v>
      </c>
      <c r="D296" t="s">
        <v>42</v>
      </c>
      <c r="E296" t="s">
        <v>72</v>
      </c>
      <c r="F296" s="32" t="str">
        <f>CONCATENATE(D293,D297,E293)</f>
        <v>BishoyVictorW</v>
      </c>
      <c r="G296" t="str">
        <f>CONCATENATE(D294,D297,E294)</f>
        <v>MaartenVictorW</v>
      </c>
      <c r="H296" t="str">
        <f>CONCATENATE(D295,D297,E295)</f>
        <v>Pablo PVictorW</v>
      </c>
      <c r="I296" s="7" t="str">
        <f>CONCATENATE(D296,D297,E296)</f>
        <v>Pablo OGVictorW</v>
      </c>
      <c r="J296" s="7" t="str">
        <f>VLOOKUP(D296,Stats!B:B,1,0)</f>
        <v>Pablo OG</v>
      </c>
    </row>
    <row r="297" spans="1:10" x14ac:dyDescent="0.25">
      <c r="A297" s="22"/>
      <c r="B297" s="6" t="str">
        <f>CONCATENATE($D297,((COUNTIFS($D:$D,$D297)-COUNTIF($D$3:$D297,$D297))+1))</f>
        <v>Victor5</v>
      </c>
      <c r="C297" s="6">
        <f t="shared" si="16"/>
        <v>45428</v>
      </c>
      <c r="D297" t="s">
        <v>31</v>
      </c>
      <c r="E297" t="s">
        <v>72</v>
      </c>
      <c r="F297" s="32"/>
      <c r="I297" s="7"/>
      <c r="J297" s="7" t="str">
        <f>VLOOKUP(D297,Stats!B:B,1,0)</f>
        <v>Victor</v>
      </c>
    </row>
    <row r="298" spans="1:10" x14ac:dyDescent="0.25">
      <c r="A298" s="22"/>
      <c r="B298" s="6" t="str">
        <f>CONCATENATE($D298,((COUNTIFS($D:$D,$D298)-COUNTIF($D$3:$D298,$D298))+1))</f>
        <v>Adam30</v>
      </c>
      <c r="C298" s="6">
        <f t="shared" si="16"/>
        <v>45428</v>
      </c>
      <c r="D298" t="s">
        <v>53</v>
      </c>
      <c r="E298" t="s">
        <v>73</v>
      </c>
      <c r="F298" s="32" t="str">
        <f>CONCATENATE(D298,D299,E298)</f>
        <v>AdamImanL</v>
      </c>
      <c r="I298" s="7"/>
      <c r="J298" s="7" t="str">
        <f>VLOOKUP(D298,Stats!B:B,1,0)</f>
        <v>Adam</v>
      </c>
    </row>
    <row r="299" spans="1:10" x14ac:dyDescent="0.25">
      <c r="A299" s="22"/>
      <c r="B299" s="6" t="str">
        <f>CONCATENATE($D299,((COUNTIFS($D:$D,$D299)-COUNTIF($D$3:$D299,$D299))+1))</f>
        <v>Iman2</v>
      </c>
      <c r="C299" s="6">
        <f t="shared" si="16"/>
        <v>45428</v>
      </c>
      <c r="D299" t="s">
        <v>50</v>
      </c>
      <c r="E299" t="s">
        <v>73</v>
      </c>
      <c r="F299" s="32" t="str">
        <f>CONCATENATE(D298,D300,E298)</f>
        <v>AdamNimaL</v>
      </c>
      <c r="G299" t="str">
        <f>CONCATENATE(D299,D300,E299)</f>
        <v>ImanNimaL</v>
      </c>
      <c r="I299" s="7"/>
      <c r="J299" s="7" t="str">
        <f>VLOOKUP(D299,Stats!B:B,1,0)</f>
        <v>Iman</v>
      </c>
    </row>
    <row r="300" spans="1:10" x14ac:dyDescent="0.25">
      <c r="A300" s="22"/>
      <c r="B300" s="6" t="str">
        <f>CONCATENATE($D300,((COUNTIFS($D:$D,$D300)-COUNTIF($D$3:$D300,$D300))+1))</f>
        <v>Nima6</v>
      </c>
      <c r="C300" s="6">
        <f t="shared" si="16"/>
        <v>45428</v>
      </c>
      <c r="D300" t="s">
        <v>43</v>
      </c>
      <c r="E300" t="s">
        <v>73</v>
      </c>
      <c r="F300" s="32" t="str">
        <f>CONCATENATE(D298,D301,E298)</f>
        <v>AdamRezaL</v>
      </c>
      <c r="G300" t="str">
        <f>CONCATENATE(D299,D301,E299)</f>
        <v>ImanRezaL</v>
      </c>
      <c r="H300" t="str">
        <f>CONCATENATE(D300,D301,E300)</f>
        <v>NimaRezaL</v>
      </c>
      <c r="I300" s="7"/>
      <c r="J300" s="7" t="str">
        <f>VLOOKUP(D300,Stats!B:B,1,0)</f>
        <v>Nima</v>
      </c>
    </row>
    <row r="301" spans="1:10" x14ac:dyDescent="0.25">
      <c r="A301" s="22"/>
      <c r="B301" s="6" t="str">
        <f>CONCATENATE($D301,((COUNTIFS($D:$D,$D301)-COUNTIF($D$3:$D301,$D301))+1))</f>
        <v>Reza16</v>
      </c>
      <c r="C301" s="6">
        <f t="shared" si="16"/>
        <v>45428</v>
      </c>
      <c r="D301" t="s">
        <v>32</v>
      </c>
      <c r="E301" t="s">
        <v>73</v>
      </c>
      <c r="F301" s="32" t="str">
        <f>CONCATENATE(D298,D302,E298)</f>
        <v>AdamFilipL</v>
      </c>
      <c r="G301" t="str">
        <f>CONCATENATE(D299,D302,E299)</f>
        <v>ImanFilipL</v>
      </c>
      <c r="H301" t="str">
        <f>CONCATENATE(D300,D302,E300)</f>
        <v>NimaFilipL</v>
      </c>
      <c r="I301" s="7" t="str">
        <f>CONCATENATE(D301,D302,E301)</f>
        <v>RezaFilipL</v>
      </c>
      <c r="J301" s="7" t="str">
        <f>VLOOKUP(D301,Stats!B:B,1,0)</f>
        <v>Reza</v>
      </c>
    </row>
    <row r="302" spans="1:10" x14ac:dyDescent="0.25">
      <c r="A302" s="22"/>
      <c r="B302" s="8" t="str">
        <f>CONCATENATE($D302,((COUNTIFS($D:$D,$D302)-COUNTIF($D$3:$D302,$D302))+1))</f>
        <v>Filip2</v>
      </c>
      <c r="C302" s="8">
        <f t="shared" si="16"/>
        <v>45428</v>
      </c>
      <c r="D302" s="2" t="s">
        <v>59</v>
      </c>
      <c r="E302" s="2" t="s">
        <v>73</v>
      </c>
      <c r="F302" s="13"/>
      <c r="G302" s="2"/>
      <c r="H302" s="2"/>
      <c r="I302" s="9"/>
      <c r="J302" s="9" t="str">
        <f>VLOOKUP(D302,Stats!B:B,1,0)</f>
        <v>Filip</v>
      </c>
    </row>
    <row r="303" spans="1:10" x14ac:dyDescent="0.25">
      <c r="A303" s="22"/>
      <c r="B303" s="3" t="str">
        <f>CONCATENATE($D303,((COUNTIFS($D:$D,$D303)-COUNTIF($D$3:$D303,$D303))+1))</f>
        <v>Bishoy23</v>
      </c>
      <c r="C303" s="3">
        <f>+C293+5</f>
        <v>45433</v>
      </c>
      <c r="D303" s="4" t="s">
        <v>61</v>
      </c>
      <c r="E303" s="4" t="s">
        <v>72</v>
      </c>
      <c r="F303" s="32" t="str">
        <f>CONCATENATE(D303,D304,E303)</f>
        <v>BishoyVictorW</v>
      </c>
      <c r="I303" s="5"/>
      <c r="J303" s="5" t="str">
        <f>VLOOKUP(D303,Stats!B:B,1,0)</f>
        <v>Bishoy</v>
      </c>
    </row>
    <row r="304" spans="1:10" x14ac:dyDescent="0.25">
      <c r="A304" s="22"/>
      <c r="B304" s="6" t="str">
        <f>CONCATENATE($D304,((COUNTIFS($D:$D,$D304)-COUNTIF($D$3:$D304,$D304))+1))</f>
        <v>Victor4</v>
      </c>
      <c r="C304" s="6">
        <f>C303</f>
        <v>45433</v>
      </c>
      <c r="D304" t="s">
        <v>31</v>
      </c>
      <c r="E304" t="s">
        <v>72</v>
      </c>
      <c r="F304" s="32" t="str">
        <f>CONCATENATE(D303,D305,E303)</f>
        <v>BishoyAdiW</v>
      </c>
      <c r="G304" t="str">
        <f>CONCATENATE(D304,D305,E304)</f>
        <v>VictorAdiW</v>
      </c>
      <c r="I304" s="7"/>
      <c r="J304" s="7" t="str">
        <f>VLOOKUP(D304,Stats!B:B,1,0)</f>
        <v>Victor</v>
      </c>
    </row>
    <row r="305" spans="1:10" x14ac:dyDescent="0.25">
      <c r="A305" s="22"/>
      <c r="B305" s="6" t="str">
        <f>CONCATENATE($D305,((COUNTIFS($D:$D,$D305)-COUNTIF($D$3:$D305,$D305))+1))</f>
        <v>Adi19</v>
      </c>
      <c r="C305" s="6">
        <f t="shared" ref="C305:C312" si="17">C304</f>
        <v>45433</v>
      </c>
      <c r="D305" t="s">
        <v>47</v>
      </c>
      <c r="E305" t="s">
        <v>72</v>
      </c>
      <c r="F305" s="32" t="str">
        <f>CONCATENATE(D303,D306,E303)</f>
        <v>BishoyAkbarW</v>
      </c>
      <c r="G305" t="str">
        <f>CONCATENATE(D304,D306,E304)</f>
        <v>VictorAkbarW</v>
      </c>
      <c r="H305" t="str">
        <f>CONCATENATE(D305,D306,E305)</f>
        <v>AdiAkbarW</v>
      </c>
      <c r="I305" s="7"/>
      <c r="J305" s="7" t="str">
        <f>VLOOKUP(D305,Stats!B:B,1,0)</f>
        <v>Adi</v>
      </c>
    </row>
    <row r="306" spans="1:10" x14ac:dyDescent="0.25">
      <c r="A306" s="22"/>
      <c r="B306" s="6" t="str">
        <f>CONCATENATE($D306,((COUNTIFS($D:$D,$D306)-COUNTIF($D$3:$D306,$D306))+1))</f>
        <v>Akbar12</v>
      </c>
      <c r="C306" s="6">
        <f t="shared" si="17"/>
        <v>45433</v>
      </c>
      <c r="D306" t="s">
        <v>54</v>
      </c>
      <c r="E306" t="s">
        <v>72</v>
      </c>
      <c r="F306" s="32" t="str">
        <f>CONCATENATE(D303,D307,E303)</f>
        <v>BishoyEslamW</v>
      </c>
      <c r="G306" t="str">
        <f>CONCATENATE(D304,D307,E304)</f>
        <v>VictorEslamW</v>
      </c>
      <c r="H306" t="str">
        <f>CONCATENATE(D305,D307,E305)</f>
        <v>AdiEslamW</v>
      </c>
      <c r="I306" s="7" t="str">
        <f>CONCATENATE(D306,D307,E306)</f>
        <v>AkbarEslamW</v>
      </c>
      <c r="J306" s="7" t="str">
        <f>VLOOKUP(D306,Stats!B:B,1,0)</f>
        <v>Akbar</v>
      </c>
    </row>
    <row r="307" spans="1:10" x14ac:dyDescent="0.25">
      <c r="A307" s="22"/>
      <c r="B307" s="6" t="str">
        <f>CONCATENATE($D307,((COUNTIFS($D:$D,$D307)-COUNTIF($D$3:$D307,$D307))+1))</f>
        <v>Eslam2</v>
      </c>
      <c r="C307" s="6">
        <f t="shared" si="17"/>
        <v>45433</v>
      </c>
      <c r="D307" t="s">
        <v>23</v>
      </c>
      <c r="E307" t="s">
        <v>72</v>
      </c>
      <c r="F307" s="32"/>
      <c r="I307" s="7"/>
      <c r="J307" s="7" t="str">
        <f>VLOOKUP(D307,Stats!B:B,1,0)</f>
        <v>Eslam</v>
      </c>
    </row>
    <row r="308" spans="1:10" x14ac:dyDescent="0.25">
      <c r="A308" s="22"/>
      <c r="B308" s="6" t="str">
        <f>CONCATENATE($D308,((COUNTIFS($D:$D,$D308)-COUNTIF($D$3:$D308,$D308))+1))</f>
        <v>Tchi14</v>
      </c>
      <c r="C308" s="6">
        <f t="shared" si="17"/>
        <v>45433</v>
      </c>
      <c r="D308" t="s">
        <v>37</v>
      </c>
      <c r="E308" t="s">
        <v>73</v>
      </c>
      <c r="F308" s="32" t="str">
        <f>CONCATENATE(D308,D309,E308)</f>
        <v>TchiAdamL</v>
      </c>
      <c r="I308" s="7"/>
      <c r="J308" s="7" t="str">
        <f>VLOOKUP(D308,Stats!B:B,1,0)</f>
        <v>Tchi</v>
      </c>
    </row>
    <row r="309" spans="1:10" x14ac:dyDescent="0.25">
      <c r="A309" s="22"/>
      <c r="B309" s="6" t="str">
        <f>CONCATENATE($D309,((COUNTIFS($D:$D,$D309)-COUNTIF($D$3:$D309,$D309))+1))</f>
        <v>Adam29</v>
      </c>
      <c r="C309" s="6">
        <f t="shared" si="17"/>
        <v>45433</v>
      </c>
      <c r="D309" t="s">
        <v>53</v>
      </c>
      <c r="E309" t="s">
        <v>73</v>
      </c>
      <c r="F309" s="32" t="str">
        <f>CONCATENATE(D308,D310,E308)</f>
        <v>TchiPablo OGL</v>
      </c>
      <c r="G309" t="str">
        <f>CONCATENATE(D309,D310,E309)</f>
        <v>AdamPablo OGL</v>
      </c>
      <c r="I309" s="7"/>
      <c r="J309" s="7" t="str">
        <f>VLOOKUP(D309,Stats!B:B,1,0)</f>
        <v>Adam</v>
      </c>
    </row>
    <row r="310" spans="1:10" x14ac:dyDescent="0.25">
      <c r="A310" s="22"/>
      <c r="B310" s="6" t="str">
        <f>CONCATENATE($D310,((COUNTIFS($D:$D,$D310)-COUNTIF($D$3:$D310,$D310))+1))</f>
        <v>Pablo OG17</v>
      </c>
      <c r="C310" s="6">
        <f t="shared" si="17"/>
        <v>45433</v>
      </c>
      <c r="D310" t="s">
        <v>42</v>
      </c>
      <c r="E310" t="s">
        <v>73</v>
      </c>
      <c r="F310" s="32" t="str">
        <f>CONCATENATE(D308,D311,E308)</f>
        <v>TchiBarisL</v>
      </c>
      <c r="G310" t="str">
        <f>CONCATENATE(D309,D311,E309)</f>
        <v>AdamBarisL</v>
      </c>
      <c r="H310" t="str">
        <f>CONCATENATE(D310,D311,E310)</f>
        <v>Pablo OGBarisL</v>
      </c>
      <c r="I310" s="7"/>
      <c r="J310" s="7" t="str">
        <f>VLOOKUP(D310,Stats!B:B,1,0)</f>
        <v>Pablo OG</v>
      </c>
    </row>
    <row r="311" spans="1:10" x14ac:dyDescent="0.25">
      <c r="A311" s="22"/>
      <c r="B311" s="6" t="str">
        <f>CONCATENATE($D311,((COUNTIFS($D:$D,$D311)-COUNTIF($D$3:$D311,$D311))+1))</f>
        <v>Baris15</v>
      </c>
      <c r="C311" s="6">
        <f t="shared" si="17"/>
        <v>45433</v>
      </c>
      <c r="D311" t="s">
        <v>55</v>
      </c>
      <c r="E311" t="s">
        <v>73</v>
      </c>
      <c r="F311" s="32" t="str">
        <f>CONCATENATE(D308,D312,E308)</f>
        <v>TchiGiovanniL</v>
      </c>
      <c r="G311" t="str">
        <f>CONCATENATE(D309,D312,E309)</f>
        <v>AdamGiovanniL</v>
      </c>
      <c r="H311" t="str">
        <f>CONCATENATE(D310,D312,E310)</f>
        <v>Pablo OGGiovanniL</v>
      </c>
      <c r="I311" s="7" t="str">
        <f>CONCATENATE(D311,D312,E311)</f>
        <v>BarisGiovanniL</v>
      </c>
      <c r="J311" s="7" t="str">
        <f>VLOOKUP(D311,Stats!B:B,1,0)</f>
        <v>Baris</v>
      </c>
    </row>
    <row r="312" spans="1:10" x14ac:dyDescent="0.25">
      <c r="A312" s="22"/>
      <c r="B312" s="8" t="str">
        <f>CONCATENATE($D312,((COUNTIFS($D:$D,$D312)-COUNTIF($D$3:$D312,$D312))+1))</f>
        <v>Giovanni25</v>
      </c>
      <c r="C312" s="8">
        <f t="shared" si="17"/>
        <v>45433</v>
      </c>
      <c r="D312" s="2" t="s">
        <v>45</v>
      </c>
      <c r="E312" s="2" t="s">
        <v>73</v>
      </c>
      <c r="F312" s="13"/>
      <c r="G312" s="2"/>
      <c r="H312" s="2"/>
      <c r="I312" s="9"/>
      <c r="J312" s="9" t="str">
        <f>VLOOKUP(D312,Stats!B:B,1,0)</f>
        <v>Giovanni</v>
      </c>
    </row>
    <row r="313" spans="1:10" x14ac:dyDescent="0.25">
      <c r="A313" s="22"/>
      <c r="B313" s="3" t="str">
        <f>CONCATENATE($D313,((COUNTIFS($D:$D,$D313)-COUNTIF($D$3:$D313,$D313))+1))</f>
        <v>Wouter17</v>
      </c>
      <c r="C313" s="3">
        <f>+C303+2</f>
        <v>45435</v>
      </c>
      <c r="D313" s="4" t="s">
        <v>36</v>
      </c>
      <c r="E313" s="4" t="s">
        <v>72</v>
      </c>
      <c r="F313" s="32" t="str">
        <f>CONCATENATE(D313,D314,E313)</f>
        <v>WouterMaartenW</v>
      </c>
      <c r="I313" s="5"/>
      <c r="J313" s="5" t="str">
        <f>VLOOKUP(D313,Stats!B:B,1,0)</f>
        <v>Wouter</v>
      </c>
    </row>
    <row r="314" spans="1:10" x14ac:dyDescent="0.25">
      <c r="A314" s="22"/>
      <c r="B314" s="6" t="str">
        <f>CONCATENATE($D314,((COUNTIFS($D:$D,$D314)-COUNTIF($D$3:$D314,$D314))+1))</f>
        <v>Maarten17</v>
      </c>
      <c r="C314" s="6">
        <f>C313</f>
        <v>45435</v>
      </c>
      <c r="D314" t="s">
        <v>58</v>
      </c>
      <c r="E314" t="s">
        <v>72</v>
      </c>
      <c r="F314" s="32" t="str">
        <f>CONCATENATE(D313,D315,E313)</f>
        <v>WouterGiovanniW</v>
      </c>
      <c r="G314" t="str">
        <f>CONCATENATE(D314,D315,E314)</f>
        <v>MaartenGiovanniW</v>
      </c>
      <c r="I314" s="7"/>
      <c r="J314" s="7" t="str">
        <f>VLOOKUP(D314,Stats!B:B,1,0)</f>
        <v>Maarten</v>
      </c>
    </row>
    <row r="315" spans="1:10" x14ac:dyDescent="0.25">
      <c r="A315" s="22"/>
      <c r="B315" s="6" t="str">
        <f>CONCATENATE($D315,((COUNTIFS($D:$D,$D315)-COUNTIF($D$3:$D315,$D315))+1))</f>
        <v>Giovanni24</v>
      </c>
      <c r="C315" s="6">
        <f t="shared" ref="C315:C322" si="18">C314</f>
        <v>45435</v>
      </c>
      <c r="D315" t="s">
        <v>45</v>
      </c>
      <c r="E315" t="s">
        <v>72</v>
      </c>
      <c r="F315" s="32" t="str">
        <f>CONCATENATE(D313,D316,E313)</f>
        <v>WouterSizweW</v>
      </c>
      <c r="G315" t="str">
        <f>CONCATENATE(D314,D316,E314)</f>
        <v>MaartenSizweW</v>
      </c>
      <c r="H315" t="str">
        <f>CONCATENATE(D315,D316,E315)</f>
        <v>GiovanniSizweW</v>
      </c>
      <c r="I315" s="7"/>
      <c r="J315" s="7" t="str">
        <f>VLOOKUP(D315,Stats!B:B,1,0)</f>
        <v>Giovanni</v>
      </c>
    </row>
    <row r="316" spans="1:10" x14ac:dyDescent="0.25">
      <c r="A316" s="22"/>
      <c r="B316" s="6" t="str">
        <f>CONCATENATE($D316,((COUNTIFS($D:$D,$D316)-COUNTIF($D$3:$D316,$D316))+1))</f>
        <v>Sizwe15</v>
      </c>
      <c r="C316" s="6">
        <f t="shared" si="18"/>
        <v>45435</v>
      </c>
      <c r="D316" t="s">
        <v>44</v>
      </c>
      <c r="E316" t="s">
        <v>72</v>
      </c>
      <c r="F316" s="32" t="str">
        <f>CONCATENATE(D313,D317,E313)</f>
        <v>WouterDobroW</v>
      </c>
      <c r="G316" t="str">
        <f>CONCATENATE(D314,D317,E314)</f>
        <v>MaartenDobroW</v>
      </c>
      <c r="H316" t="str">
        <f>CONCATENATE(D315,D317,E315)</f>
        <v>GiovanniDobroW</v>
      </c>
      <c r="I316" s="7" t="str">
        <f>CONCATENATE(D316,D317,E316)</f>
        <v>SizweDobroW</v>
      </c>
      <c r="J316" s="7" t="str">
        <f>VLOOKUP(D316,Stats!B:B,1,0)</f>
        <v>Sizwe</v>
      </c>
    </row>
    <row r="317" spans="1:10" x14ac:dyDescent="0.25">
      <c r="A317" s="22"/>
      <c r="B317" s="6" t="str">
        <f>CONCATENATE($D317,((COUNTIFS($D:$D,$D317)-COUNTIF($D$3:$D317,$D317))+1))</f>
        <v>Dobro26</v>
      </c>
      <c r="C317" s="6">
        <f t="shared" si="18"/>
        <v>45435</v>
      </c>
      <c r="D317" t="s">
        <v>35</v>
      </c>
      <c r="E317" t="s">
        <v>72</v>
      </c>
      <c r="F317" s="32"/>
      <c r="I317" s="7"/>
      <c r="J317" s="7" t="str">
        <f>VLOOKUP(D317,Stats!B:B,1,0)</f>
        <v>Dobro</v>
      </c>
    </row>
    <row r="318" spans="1:10" x14ac:dyDescent="0.25">
      <c r="A318" s="22"/>
      <c r="B318" s="6" t="str">
        <f>CONCATENATE($D318,((COUNTIFS($D:$D,$D318)-COUNTIF($D$3:$D318,$D318))+1))</f>
        <v>Victor3</v>
      </c>
      <c r="C318" s="6">
        <f t="shared" si="18"/>
        <v>45435</v>
      </c>
      <c r="D318" t="s">
        <v>31</v>
      </c>
      <c r="E318" t="s">
        <v>73</v>
      </c>
      <c r="F318" s="32" t="str">
        <f>CONCATENATE(D318,D319,E318)</f>
        <v>VictorBishoyL</v>
      </c>
      <c r="I318" s="7"/>
      <c r="J318" s="7" t="str">
        <f>VLOOKUP(D318,Stats!B:B,1,0)</f>
        <v>Victor</v>
      </c>
    </row>
    <row r="319" spans="1:10" x14ac:dyDescent="0.25">
      <c r="A319" s="22"/>
      <c r="B319" s="6" t="str">
        <f>CONCATENATE($D319,((COUNTIFS($D:$D,$D319)-COUNTIF($D$3:$D319,$D319))+1))</f>
        <v>Bishoy22</v>
      </c>
      <c r="C319" s="6">
        <f t="shared" si="18"/>
        <v>45435</v>
      </c>
      <c r="D319" t="s">
        <v>61</v>
      </c>
      <c r="E319" t="s">
        <v>73</v>
      </c>
      <c r="F319" s="32" t="str">
        <f>CONCATENATE(D318,D320,E318)</f>
        <v>VictorAdamL</v>
      </c>
      <c r="G319" t="str">
        <f>CONCATENATE(D319,D320,E319)</f>
        <v>BishoyAdamL</v>
      </c>
      <c r="I319" s="7"/>
      <c r="J319" s="7" t="str">
        <f>VLOOKUP(D319,Stats!B:B,1,0)</f>
        <v>Bishoy</v>
      </c>
    </row>
    <row r="320" spans="1:10" x14ac:dyDescent="0.25">
      <c r="A320" s="22"/>
      <c r="B320" s="6" t="str">
        <f>CONCATENATE($D320,((COUNTIFS($D:$D,$D320)-COUNTIF($D$3:$D320,$D320))+1))</f>
        <v>Adam28</v>
      </c>
      <c r="C320" s="6">
        <f t="shared" si="18"/>
        <v>45435</v>
      </c>
      <c r="D320" t="s">
        <v>53</v>
      </c>
      <c r="E320" t="s">
        <v>73</v>
      </c>
      <c r="F320" s="32" t="str">
        <f>CONCATENATE(D318,D321,E318)</f>
        <v>VictorRezaL</v>
      </c>
      <c r="G320" t="str">
        <f>CONCATENATE(D319,D321,E319)</f>
        <v>BishoyRezaL</v>
      </c>
      <c r="H320" t="str">
        <f>CONCATENATE(D320,D321,E320)</f>
        <v>AdamRezaL</v>
      </c>
      <c r="I320" s="7"/>
      <c r="J320" s="7" t="str">
        <f>VLOOKUP(D320,Stats!B:B,1,0)</f>
        <v>Adam</v>
      </c>
    </row>
    <row r="321" spans="1:10" x14ac:dyDescent="0.25">
      <c r="A321" s="22"/>
      <c r="B321" s="6" t="str">
        <f>CONCATENATE($D321,((COUNTIFS($D:$D,$D321)-COUNTIF($D$3:$D321,$D321))+1))</f>
        <v>Reza15</v>
      </c>
      <c r="C321" s="6">
        <f t="shared" si="18"/>
        <v>45435</v>
      </c>
      <c r="D321" t="s">
        <v>32</v>
      </c>
      <c r="E321" t="s">
        <v>73</v>
      </c>
      <c r="F321" s="32" t="str">
        <f>CONCATENATE(D318,D322,E318)</f>
        <v>VictorLucaL</v>
      </c>
      <c r="G321" t="str">
        <f>CONCATENATE(D319,D322,E319)</f>
        <v>BishoyLucaL</v>
      </c>
      <c r="H321" t="str">
        <f>CONCATENATE(D320,D322,E320)</f>
        <v>AdamLucaL</v>
      </c>
      <c r="I321" s="7" t="str">
        <f>CONCATENATE(D321,D322,E321)</f>
        <v>RezaLucaL</v>
      </c>
      <c r="J321" s="7" t="str">
        <f>VLOOKUP(D321,Stats!B:B,1,0)</f>
        <v>Reza</v>
      </c>
    </row>
    <row r="322" spans="1:10" x14ac:dyDescent="0.25">
      <c r="A322" s="22"/>
      <c r="B322" s="8" t="str">
        <f>CONCATENATE($D322,((COUNTIFS($D:$D,$D322)-COUNTIF($D$3:$D322,$D322))+1))</f>
        <v>Luca18</v>
      </c>
      <c r="C322" s="8">
        <f t="shared" si="18"/>
        <v>45435</v>
      </c>
      <c r="D322" s="2" t="s">
        <v>46</v>
      </c>
      <c r="E322" s="2" t="s">
        <v>73</v>
      </c>
      <c r="F322" s="13"/>
      <c r="G322" s="2"/>
      <c r="H322" s="2"/>
      <c r="I322" s="9"/>
      <c r="J322" s="9" t="str">
        <f>VLOOKUP(D322,Stats!B:B,1,0)</f>
        <v>Luca</v>
      </c>
    </row>
    <row r="323" spans="1:10" x14ac:dyDescent="0.25">
      <c r="A323" s="22"/>
      <c r="B323" s="3" t="str">
        <f>CONCATENATE($D323,((COUNTIFS($D:$D,$D323)-COUNTIF($D$3:$D323,$D323))+1))</f>
        <v>Victor2</v>
      </c>
      <c r="C323" s="3">
        <f>+C313+5</f>
        <v>45440</v>
      </c>
      <c r="D323" s="4" t="s">
        <v>31</v>
      </c>
      <c r="E323" s="4" t="s">
        <v>72</v>
      </c>
      <c r="F323" s="32" t="str">
        <f>CONCATENATE(D323,D324,E323)</f>
        <v>VictorTchiW</v>
      </c>
      <c r="I323" s="5"/>
      <c r="J323" s="5" t="str">
        <f>VLOOKUP(D323,Stats!B:B,1,0)</f>
        <v>Victor</v>
      </c>
    </row>
    <row r="324" spans="1:10" x14ac:dyDescent="0.25">
      <c r="A324" s="22"/>
      <c r="B324" s="6" t="str">
        <f>CONCATENATE($D324,((COUNTIFS($D:$D,$D324)-COUNTIF($D$3:$D324,$D324))+1))</f>
        <v>Tchi13</v>
      </c>
      <c r="C324" s="6">
        <f>C323</f>
        <v>45440</v>
      </c>
      <c r="D324" t="s">
        <v>37</v>
      </c>
      <c r="E324" t="s">
        <v>72</v>
      </c>
      <c r="F324" s="32" t="str">
        <f>CONCATENATE(D323,D325,E323)</f>
        <v>VictorGiovanniW</v>
      </c>
      <c r="G324" t="str">
        <f>CONCATENATE(D324,D325,E324)</f>
        <v>TchiGiovanniW</v>
      </c>
      <c r="I324" s="7"/>
      <c r="J324" s="7" t="str">
        <f>VLOOKUP(D324,Stats!B:B,1,0)</f>
        <v>Tchi</v>
      </c>
    </row>
    <row r="325" spans="1:10" x14ac:dyDescent="0.25">
      <c r="A325" s="22"/>
      <c r="B325" s="6" t="str">
        <f>CONCATENATE($D325,((COUNTIFS($D:$D,$D325)-COUNTIF($D$3:$D325,$D325))+1))</f>
        <v>Giovanni23</v>
      </c>
      <c r="C325" s="6">
        <f t="shared" ref="C325:C332" si="19">C324</f>
        <v>45440</v>
      </c>
      <c r="D325" t="s">
        <v>45</v>
      </c>
      <c r="E325" t="s">
        <v>72</v>
      </c>
      <c r="F325" s="32" t="str">
        <f>CONCATENATE(D323,D326,E323)</f>
        <v>VictorBishoyW</v>
      </c>
      <c r="G325" t="str">
        <f>CONCATENATE(D324,D326,E324)</f>
        <v>TchiBishoyW</v>
      </c>
      <c r="H325" t="str">
        <f>CONCATENATE(D325,D326,E325)</f>
        <v>GiovanniBishoyW</v>
      </c>
      <c r="I325" s="7"/>
      <c r="J325" s="7" t="str">
        <f>VLOOKUP(D325,Stats!B:B,1,0)</f>
        <v>Giovanni</v>
      </c>
    </row>
    <row r="326" spans="1:10" x14ac:dyDescent="0.25">
      <c r="A326" s="22"/>
      <c r="B326" s="6" t="str">
        <f>CONCATENATE($D326,((COUNTIFS($D:$D,$D326)-COUNTIF($D$3:$D326,$D326))+1))</f>
        <v>Bishoy21</v>
      </c>
      <c r="C326" s="6">
        <f t="shared" si="19"/>
        <v>45440</v>
      </c>
      <c r="D326" t="s">
        <v>61</v>
      </c>
      <c r="E326" t="s">
        <v>72</v>
      </c>
      <c r="F326" s="32" t="str">
        <f>CONCATENATE(D323,D327,E323)</f>
        <v>VictorAdamW</v>
      </c>
      <c r="G326" t="str">
        <f>CONCATENATE(D324,D327,E324)</f>
        <v>TchiAdamW</v>
      </c>
      <c r="H326" t="str">
        <f>CONCATENATE(D325,D327,E325)</f>
        <v>GiovanniAdamW</v>
      </c>
      <c r="I326" s="7" t="str">
        <f>CONCATENATE(D326,D327,E326)</f>
        <v>BishoyAdamW</v>
      </c>
      <c r="J326" s="7" t="str">
        <f>VLOOKUP(D326,Stats!B:B,1,0)</f>
        <v>Bishoy</v>
      </c>
    </row>
    <row r="327" spans="1:10" x14ac:dyDescent="0.25">
      <c r="A327" s="22"/>
      <c r="B327" s="6" t="str">
        <f>CONCATENATE($D327,((COUNTIFS($D:$D,$D327)-COUNTIF($D$3:$D327,$D327))+1))</f>
        <v>Adam27</v>
      </c>
      <c r="C327" s="6">
        <f t="shared" si="19"/>
        <v>45440</v>
      </c>
      <c r="D327" t="s">
        <v>53</v>
      </c>
      <c r="E327" t="s">
        <v>72</v>
      </c>
      <c r="F327" s="32"/>
      <c r="I327" s="7"/>
      <c r="J327" s="7" t="str">
        <f>VLOOKUP(D327,Stats!B:B,1,0)</f>
        <v>Adam</v>
      </c>
    </row>
    <row r="328" spans="1:10" x14ac:dyDescent="0.25">
      <c r="A328" s="22"/>
      <c r="B328" s="6" t="str">
        <f>CONCATENATE($D328,((COUNTIFS($D:$D,$D328)-COUNTIF($D$3:$D328,$D328))+1))</f>
        <v>Adi18</v>
      </c>
      <c r="C328" s="6">
        <f t="shared" si="19"/>
        <v>45440</v>
      </c>
      <c r="D328" t="s">
        <v>47</v>
      </c>
      <c r="E328" t="s">
        <v>73</v>
      </c>
      <c r="F328" s="32" t="str">
        <f>CONCATENATE(D328,D329,E328)</f>
        <v>AdiJayL</v>
      </c>
      <c r="I328" s="7"/>
      <c r="J328" s="7" t="str">
        <f>VLOOKUP(D328,Stats!B:B,1,0)</f>
        <v>Adi</v>
      </c>
    </row>
    <row r="329" spans="1:10" x14ac:dyDescent="0.25">
      <c r="A329" s="22"/>
      <c r="B329" s="6" t="str">
        <f>CONCATENATE($D329,((COUNTIFS($D:$D,$D329)-COUNTIF($D$3:$D329,$D329))+1))</f>
        <v>Jay3</v>
      </c>
      <c r="C329" s="6">
        <f t="shared" si="19"/>
        <v>45440</v>
      </c>
      <c r="D329" t="s">
        <v>60</v>
      </c>
      <c r="E329" t="s">
        <v>73</v>
      </c>
      <c r="F329" s="32" t="str">
        <f>CONCATENATE(D328,D330,E328)</f>
        <v>AdiMaartenL</v>
      </c>
      <c r="G329" t="str">
        <f>CONCATENATE(D329,D330,E329)</f>
        <v>JayMaartenL</v>
      </c>
      <c r="I329" s="7"/>
      <c r="J329" s="7" t="str">
        <f>VLOOKUP(D329,Stats!B:B,1,0)</f>
        <v>Jay</v>
      </c>
    </row>
    <row r="330" spans="1:10" x14ac:dyDescent="0.25">
      <c r="A330" s="22"/>
      <c r="B330" s="6" t="str">
        <f>CONCATENATE($D330,((COUNTIFS($D:$D,$D330)-COUNTIF($D$3:$D330,$D330))+1))</f>
        <v>Maarten16</v>
      </c>
      <c r="C330" s="6">
        <f t="shared" si="19"/>
        <v>45440</v>
      </c>
      <c r="D330" t="s">
        <v>58</v>
      </c>
      <c r="E330" t="s">
        <v>73</v>
      </c>
      <c r="F330" s="32" t="str">
        <f>CONCATENATE(D328,D331,E328)</f>
        <v>AdiSizweL</v>
      </c>
      <c r="G330" t="str">
        <f>CONCATENATE(D329,D331,E329)</f>
        <v>JaySizweL</v>
      </c>
      <c r="H330" t="str">
        <f>CONCATENATE(D330,D331,E330)</f>
        <v>MaartenSizweL</v>
      </c>
      <c r="I330" s="7"/>
      <c r="J330" s="7" t="str">
        <f>VLOOKUP(D330,Stats!B:B,1,0)</f>
        <v>Maarten</v>
      </c>
    </row>
    <row r="331" spans="1:10" x14ac:dyDescent="0.25">
      <c r="A331" s="22"/>
      <c r="B331" s="6" t="str">
        <f>CONCATENATE($D331,((COUNTIFS($D:$D,$D331)-COUNTIF($D$3:$D331,$D331))+1))</f>
        <v>Sizwe14</v>
      </c>
      <c r="C331" s="6">
        <f t="shared" si="19"/>
        <v>45440</v>
      </c>
      <c r="D331" t="s">
        <v>44</v>
      </c>
      <c r="E331" t="s">
        <v>73</v>
      </c>
      <c r="F331" s="32" t="str">
        <f>CONCATENATE(D328,D332,E328)</f>
        <v>AdiPablo OGL</v>
      </c>
      <c r="G331" t="str">
        <f>CONCATENATE(D329,D332,E329)</f>
        <v>JayPablo OGL</v>
      </c>
      <c r="H331" t="str">
        <f>CONCATENATE(D330,D332,E330)</f>
        <v>MaartenPablo OGL</v>
      </c>
      <c r="I331" s="7" t="str">
        <f>CONCATENATE(D331,D332,E331)</f>
        <v>SizwePablo OGL</v>
      </c>
      <c r="J331" s="7" t="str">
        <f>VLOOKUP(D331,Stats!B:B,1,0)</f>
        <v>Sizwe</v>
      </c>
    </row>
    <row r="332" spans="1:10" x14ac:dyDescent="0.25">
      <c r="A332" s="22"/>
      <c r="B332" s="8" t="str">
        <f>CONCATENATE($D332,((COUNTIFS($D:$D,$D332)-COUNTIF($D$3:$D332,$D332))+1))</f>
        <v>Pablo OG16</v>
      </c>
      <c r="C332" s="8">
        <f t="shared" si="19"/>
        <v>45440</v>
      </c>
      <c r="D332" s="2" t="s">
        <v>42</v>
      </c>
      <c r="E332" s="2" t="s">
        <v>73</v>
      </c>
      <c r="F332" s="13"/>
      <c r="G332" s="2"/>
      <c r="H332" s="2"/>
      <c r="I332" s="9"/>
      <c r="J332" s="9" t="str">
        <f>VLOOKUP(D332,Stats!B:B,1,0)</f>
        <v>Pablo OG</v>
      </c>
    </row>
    <row r="333" spans="1:10" x14ac:dyDescent="0.25">
      <c r="A333" s="22"/>
      <c r="B333" s="3" t="str">
        <f>CONCATENATE($D333,((COUNTIFS($D:$D,$D333)-COUNTIF($D$3:$D333,$D333))+1))</f>
        <v>Victor1</v>
      </c>
      <c r="C333" s="3">
        <f>+C323+2</f>
        <v>45442</v>
      </c>
      <c r="D333" s="4" t="s">
        <v>31</v>
      </c>
      <c r="E333" s="4" t="s">
        <v>72</v>
      </c>
      <c r="F333" s="32" t="str">
        <f>CONCATENATE(D333,D334,E333)</f>
        <v>VictorLucaW</v>
      </c>
      <c r="I333" s="5"/>
      <c r="J333" s="5" t="str">
        <f>VLOOKUP(D333,Stats!B:B,1,0)</f>
        <v>Victor</v>
      </c>
    </row>
    <row r="334" spans="1:10" x14ac:dyDescent="0.25">
      <c r="A334" s="22"/>
      <c r="B334" s="6" t="str">
        <f>CONCATENATE($D334,((COUNTIFS($D:$D,$D334)-COUNTIF($D$3:$D334,$D334))+1))</f>
        <v>Luca17</v>
      </c>
      <c r="C334" s="6">
        <f>C333</f>
        <v>45442</v>
      </c>
      <c r="D334" t="s">
        <v>46</v>
      </c>
      <c r="E334" t="s">
        <v>72</v>
      </c>
      <c r="F334" s="32" t="str">
        <f>CONCATENATE(D333,D335,E333)</f>
        <v>VictorBishoyW</v>
      </c>
      <c r="G334" t="str">
        <f>CONCATENATE(D334,D335,E334)</f>
        <v>LucaBishoyW</v>
      </c>
      <c r="I334" s="7"/>
      <c r="J334" s="7" t="str">
        <f>VLOOKUP(D334,Stats!B:B,1,0)</f>
        <v>Luca</v>
      </c>
    </row>
    <row r="335" spans="1:10" x14ac:dyDescent="0.25">
      <c r="A335" s="22"/>
      <c r="B335" s="6" t="str">
        <f>CONCATENATE($D335,((COUNTIFS($D:$D,$D335)-COUNTIF($D$3:$D335,$D335))+1))</f>
        <v>Bishoy20</v>
      </c>
      <c r="C335" s="6">
        <f t="shared" ref="C335:C342" si="20">C334</f>
        <v>45442</v>
      </c>
      <c r="D335" t="s">
        <v>61</v>
      </c>
      <c r="E335" t="s">
        <v>72</v>
      </c>
      <c r="F335" s="32" t="str">
        <f>CONCATENATE(D333,D336,E333)</f>
        <v>VictorEnsarW</v>
      </c>
      <c r="G335" t="str">
        <f>CONCATENATE(D334,D336,E334)</f>
        <v>LucaEnsarW</v>
      </c>
      <c r="H335" t="str">
        <f>CONCATENATE(D335,D336,E335)</f>
        <v>BishoyEnsarW</v>
      </c>
      <c r="I335" s="7"/>
      <c r="J335" s="7" t="str">
        <f>VLOOKUP(D335,Stats!B:B,1,0)</f>
        <v>Bishoy</v>
      </c>
    </row>
    <row r="336" spans="1:10" x14ac:dyDescent="0.25">
      <c r="A336" s="22"/>
      <c r="B336" s="6" t="str">
        <f>CONCATENATE($D336,((COUNTIFS($D:$D,$D336)-COUNTIF($D$3:$D336,$D336))+1))</f>
        <v>Ensar4</v>
      </c>
      <c r="C336" s="6">
        <f t="shared" si="20"/>
        <v>45442</v>
      </c>
      <c r="D336" t="s">
        <v>16</v>
      </c>
      <c r="E336" t="s">
        <v>72</v>
      </c>
      <c r="F336" s="32" t="str">
        <f>CONCATENATE(D333,D337,E333)</f>
        <v>VictorFiratW</v>
      </c>
      <c r="G336" t="str">
        <f>CONCATENATE(D334,D337,E334)</f>
        <v>LucaFiratW</v>
      </c>
      <c r="H336" t="str">
        <f>CONCATENATE(D335,D337,E335)</f>
        <v>BishoyFiratW</v>
      </c>
      <c r="I336" s="7" t="str">
        <f>CONCATENATE(D336,D337,E336)</f>
        <v>EnsarFiratW</v>
      </c>
      <c r="J336" s="7" t="str">
        <f>VLOOKUP(D336,Stats!B:B,1,0)</f>
        <v>Ensar</v>
      </c>
    </row>
    <row r="337" spans="1:10" x14ac:dyDescent="0.25">
      <c r="A337" s="22"/>
      <c r="B337" s="6" t="str">
        <f>CONCATENATE($D337,((COUNTIFS($D:$D,$D337)-COUNTIF($D$3:$D337,$D337))+1))</f>
        <v>Firat10</v>
      </c>
      <c r="C337" s="6">
        <f t="shared" si="20"/>
        <v>45442</v>
      </c>
      <c r="D337" t="s">
        <v>33</v>
      </c>
      <c r="E337" t="s">
        <v>72</v>
      </c>
      <c r="F337" s="32"/>
      <c r="I337" s="7"/>
      <c r="J337" s="7" t="str">
        <f>VLOOKUP(D337,Stats!B:B,1,0)</f>
        <v>Firat</v>
      </c>
    </row>
    <row r="338" spans="1:10" x14ac:dyDescent="0.25">
      <c r="A338" s="22"/>
      <c r="B338" s="6" t="str">
        <f>CONCATENATE($D338,((COUNTIFS($D:$D,$D338)-COUNTIF($D$3:$D338,$D338))+1))</f>
        <v>Dobro25</v>
      </c>
      <c r="C338" s="6">
        <f t="shared" si="20"/>
        <v>45442</v>
      </c>
      <c r="D338" t="s">
        <v>35</v>
      </c>
      <c r="E338" t="s">
        <v>73</v>
      </c>
      <c r="F338" s="32" t="str">
        <f>CONCATENATE(D338,D339,E338)</f>
        <v>DobroPablo OGL</v>
      </c>
      <c r="I338" s="7"/>
      <c r="J338" s="7" t="str">
        <f>VLOOKUP(D338,Stats!B:B,1,0)</f>
        <v>Dobro</v>
      </c>
    </row>
    <row r="339" spans="1:10" x14ac:dyDescent="0.25">
      <c r="A339" s="22"/>
      <c r="B339" s="6" t="str">
        <f>CONCATENATE($D339,((COUNTIFS($D:$D,$D339)-COUNTIF($D$3:$D339,$D339))+1))</f>
        <v>Pablo OG15</v>
      </c>
      <c r="C339" s="6">
        <f t="shared" si="20"/>
        <v>45442</v>
      </c>
      <c r="D339" t="s">
        <v>42</v>
      </c>
      <c r="E339" t="s">
        <v>73</v>
      </c>
      <c r="F339" s="32" t="str">
        <f>CONCATENATE(D338,D340,E338)</f>
        <v>DobroPablo PL</v>
      </c>
      <c r="G339" t="str">
        <f>CONCATENATE(D339,D340,E339)</f>
        <v>Pablo OGPablo PL</v>
      </c>
      <c r="I339" s="7"/>
      <c r="J339" s="7" t="str">
        <f>VLOOKUP(D339,Stats!B:B,1,0)</f>
        <v>Pablo OG</v>
      </c>
    </row>
    <row r="340" spans="1:10" x14ac:dyDescent="0.25">
      <c r="A340" s="22"/>
      <c r="B340" s="6" t="str">
        <f>CONCATENATE($D340,((COUNTIFS($D:$D,$D340)-COUNTIF($D$3:$D340,$D340))+1))</f>
        <v>Pablo P6</v>
      </c>
      <c r="C340" s="6">
        <f t="shared" si="20"/>
        <v>45442</v>
      </c>
      <c r="D340" t="s">
        <v>48</v>
      </c>
      <c r="E340" t="s">
        <v>73</v>
      </c>
      <c r="F340" s="32" t="str">
        <f>CONCATENATE(D338,D341,E338)</f>
        <v>DobroAdamL</v>
      </c>
      <c r="G340" t="str">
        <f>CONCATENATE(D339,D341,E339)</f>
        <v>Pablo OGAdamL</v>
      </c>
      <c r="H340" t="str">
        <f>CONCATENATE(D340,D341,E340)</f>
        <v>Pablo PAdamL</v>
      </c>
      <c r="I340" s="7"/>
      <c r="J340" s="7" t="str">
        <f>VLOOKUP(D340,Stats!B:B,1,0)</f>
        <v>Pablo P</v>
      </c>
    </row>
    <row r="341" spans="1:10" x14ac:dyDescent="0.25">
      <c r="A341" s="22"/>
      <c r="B341" s="6" t="str">
        <f>CONCATENATE($D341,((COUNTIFS($D:$D,$D341)-COUNTIF($D$3:$D341,$D341))+1))</f>
        <v>Adam26</v>
      </c>
      <c r="C341" s="6">
        <f t="shared" si="20"/>
        <v>45442</v>
      </c>
      <c r="D341" t="s">
        <v>53</v>
      </c>
      <c r="E341" t="s">
        <v>73</v>
      </c>
      <c r="F341" s="32" t="str">
        <f>CONCATENATE(D338,D342,E338)</f>
        <v>DobroBarisL</v>
      </c>
      <c r="G341" t="str">
        <f>CONCATENATE(D339,D342,E339)</f>
        <v>Pablo OGBarisL</v>
      </c>
      <c r="H341" t="str">
        <f>CONCATENATE(D340,D342,E340)</f>
        <v>Pablo PBarisL</v>
      </c>
      <c r="I341" s="7" t="str">
        <f>CONCATENATE(D341,D342,E341)</f>
        <v>AdamBarisL</v>
      </c>
      <c r="J341" s="7" t="str">
        <f>VLOOKUP(D341,Stats!B:B,1,0)</f>
        <v>Adam</v>
      </c>
    </row>
    <row r="342" spans="1:10" x14ac:dyDescent="0.25">
      <c r="A342" s="22"/>
      <c r="B342" s="8" t="str">
        <f>CONCATENATE($D342,((COUNTIFS($D:$D,$D342)-COUNTIF($D$3:$D342,$D342))+1))</f>
        <v>Baris14</v>
      </c>
      <c r="C342" s="8">
        <f t="shared" si="20"/>
        <v>45442</v>
      </c>
      <c r="D342" s="2" t="s">
        <v>55</v>
      </c>
      <c r="E342" s="2" t="s">
        <v>73</v>
      </c>
      <c r="F342" s="13"/>
      <c r="G342" s="2"/>
      <c r="H342" s="2"/>
      <c r="I342" s="9"/>
      <c r="J342" s="9" t="str">
        <f>VLOOKUP(D342,Stats!B:B,1,0)</f>
        <v>Baris</v>
      </c>
    </row>
    <row r="343" spans="1:10" x14ac:dyDescent="0.25">
      <c r="A343" s="22"/>
      <c r="B343" s="3" t="str">
        <f>CONCATENATE($D343,((COUNTIFS($D:$D,$D343)-COUNTIF($D$3:$D343,$D343))+1))</f>
        <v>Adel4</v>
      </c>
      <c r="C343" s="3">
        <f>+C333+5</f>
        <v>45447</v>
      </c>
      <c r="D343" s="4" t="s">
        <v>17</v>
      </c>
      <c r="E343" s="4" t="s">
        <v>72</v>
      </c>
      <c r="F343" s="32" t="str">
        <f>CONCATENATE(D343,D344,E343)</f>
        <v>AdelGiovanniW</v>
      </c>
      <c r="I343" s="5"/>
      <c r="J343" s="5" t="str">
        <f>VLOOKUP(D343,Stats!B:B,1,0)</f>
        <v>Adel</v>
      </c>
    </row>
    <row r="344" spans="1:10" x14ac:dyDescent="0.25">
      <c r="A344" s="22"/>
      <c r="B344" s="6" t="str">
        <f>CONCATENATE($D344,((COUNTIFS($D:$D,$D344)-COUNTIF($D$3:$D344,$D344))+1))</f>
        <v>Giovanni22</v>
      </c>
      <c r="C344" s="6">
        <f t="shared" ref="C344:C407" si="21">C343</f>
        <v>45447</v>
      </c>
      <c r="D344" t="s">
        <v>45</v>
      </c>
      <c r="E344" t="s">
        <v>72</v>
      </c>
      <c r="F344" s="32" t="str">
        <f>CONCATENATE(D343,D345,E343)</f>
        <v>AdelOnurW</v>
      </c>
      <c r="G344" t="str">
        <f>CONCATENATE(D344,D345,E344)</f>
        <v>GiovanniOnurW</v>
      </c>
      <c r="I344" s="7"/>
      <c r="J344" s="7" t="str">
        <f>VLOOKUP(D344,Stats!B:B,1,0)</f>
        <v>Giovanni</v>
      </c>
    </row>
    <row r="345" spans="1:10" x14ac:dyDescent="0.25">
      <c r="A345" s="22"/>
      <c r="B345" s="6" t="str">
        <f>CONCATENATE($D345,((COUNTIFS($D:$D,$D345)-COUNTIF($D$3:$D345,$D345))+1))</f>
        <v>Onur4</v>
      </c>
      <c r="C345" s="6">
        <f t="shared" si="21"/>
        <v>45447</v>
      </c>
      <c r="D345" t="s">
        <v>39</v>
      </c>
      <c r="E345" t="s">
        <v>72</v>
      </c>
      <c r="F345" s="32" t="str">
        <f>CONCATENATE(D343,D346,E343)</f>
        <v>AdelRezaW</v>
      </c>
      <c r="G345" t="str">
        <f>CONCATENATE(D344,D346,E344)</f>
        <v>GiovanniRezaW</v>
      </c>
      <c r="H345" t="str">
        <f>CONCATENATE(D345,D346,E345)</f>
        <v>OnurRezaW</v>
      </c>
      <c r="I345" s="7"/>
      <c r="J345" s="7" t="str">
        <f>VLOOKUP(D345,Stats!B:B,1,0)</f>
        <v>Onur</v>
      </c>
    </row>
    <row r="346" spans="1:10" x14ac:dyDescent="0.25">
      <c r="A346" s="22"/>
      <c r="B346" s="6" t="str">
        <f>CONCATENATE($D346,((COUNTIFS($D:$D,$D346)-COUNTIF($D$3:$D346,$D346))+1))</f>
        <v>Reza14</v>
      </c>
      <c r="C346" s="6">
        <f t="shared" si="21"/>
        <v>45447</v>
      </c>
      <c r="D346" t="s">
        <v>32</v>
      </c>
      <c r="E346" t="s">
        <v>72</v>
      </c>
      <c r="F346" s="32" t="str">
        <f>CONCATENATE(D343,D347,E343)</f>
        <v>AdelSizweW</v>
      </c>
      <c r="G346" t="str">
        <f>CONCATENATE(D344,D347,E344)</f>
        <v>GiovanniSizweW</v>
      </c>
      <c r="H346" t="str">
        <f>CONCATENATE(D345,D347,E345)</f>
        <v>OnurSizweW</v>
      </c>
      <c r="I346" s="7" t="str">
        <f>CONCATENATE(D346,D347,E346)</f>
        <v>RezaSizweW</v>
      </c>
      <c r="J346" s="7" t="str">
        <f>VLOOKUP(D346,Stats!B:B,1,0)</f>
        <v>Reza</v>
      </c>
    </row>
    <row r="347" spans="1:10" x14ac:dyDescent="0.25">
      <c r="A347" s="22"/>
      <c r="B347" s="6" t="str">
        <f>CONCATENATE($D347,((COUNTIFS($D:$D,$D347)-COUNTIF($D$3:$D347,$D347))+1))</f>
        <v>Sizwe13</v>
      </c>
      <c r="C347" s="6">
        <f t="shared" si="21"/>
        <v>45447</v>
      </c>
      <c r="D347" t="s">
        <v>44</v>
      </c>
      <c r="E347" t="s">
        <v>72</v>
      </c>
      <c r="F347" s="32"/>
      <c r="I347" s="7"/>
      <c r="J347" s="7" t="str">
        <f>VLOOKUP(D347,Stats!B:B,1,0)</f>
        <v>Sizwe</v>
      </c>
    </row>
    <row r="348" spans="1:10" x14ac:dyDescent="0.25">
      <c r="A348" s="22"/>
      <c r="B348" s="6" t="str">
        <f>CONCATENATE($D348,((COUNTIFS($D:$D,$D348)-COUNTIF($D$3:$D348,$D348))+1))</f>
        <v>Adam25</v>
      </c>
      <c r="C348" s="6">
        <f t="shared" si="21"/>
        <v>45447</v>
      </c>
      <c r="D348" t="s">
        <v>53</v>
      </c>
      <c r="E348" t="s">
        <v>73</v>
      </c>
      <c r="F348" s="32" t="str">
        <f>CONCATENATE(D348,D349,E348)</f>
        <v>AdamAdiL</v>
      </c>
      <c r="I348" s="7"/>
      <c r="J348" s="7" t="str">
        <f>VLOOKUP(D348,Stats!B:B,1,0)</f>
        <v>Adam</v>
      </c>
    </row>
    <row r="349" spans="1:10" x14ac:dyDescent="0.25">
      <c r="A349" s="22"/>
      <c r="B349" s="6" t="str">
        <f>CONCATENATE($D349,((COUNTIFS($D:$D,$D349)-COUNTIF($D$3:$D349,$D349))+1))</f>
        <v>Adi17</v>
      </c>
      <c r="C349" s="6">
        <f t="shared" si="21"/>
        <v>45447</v>
      </c>
      <c r="D349" t="s">
        <v>47</v>
      </c>
      <c r="E349" t="s">
        <v>73</v>
      </c>
      <c r="F349" s="32" t="str">
        <f>CONCATENATE(D348,D350,E348)</f>
        <v>AdamBishoyL</v>
      </c>
      <c r="G349" t="str">
        <f>CONCATENATE(D349,D350,E349)</f>
        <v>AdiBishoyL</v>
      </c>
      <c r="I349" s="7"/>
      <c r="J349" s="7" t="str">
        <f>VLOOKUP(D349,Stats!B:B,1,0)</f>
        <v>Adi</v>
      </c>
    </row>
    <row r="350" spans="1:10" x14ac:dyDescent="0.25">
      <c r="A350" s="22"/>
      <c r="B350" s="6" t="str">
        <f>CONCATENATE($D350,((COUNTIFS($D:$D,$D350)-COUNTIF($D$3:$D350,$D350))+1))</f>
        <v>Bishoy19</v>
      </c>
      <c r="C350" s="6">
        <f t="shared" si="21"/>
        <v>45447</v>
      </c>
      <c r="D350" t="s">
        <v>61</v>
      </c>
      <c r="E350" t="s">
        <v>73</v>
      </c>
      <c r="F350" s="32" t="str">
        <f>CONCATENATE(D348,D351,E348)</f>
        <v>AdamDobroL</v>
      </c>
      <c r="G350" t="str">
        <f>CONCATENATE(D349,D351,E349)</f>
        <v>AdiDobroL</v>
      </c>
      <c r="H350" t="str">
        <f>CONCATENATE(D350,D351,E350)</f>
        <v>BishoyDobroL</v>
      </c>
      <c r="I350" s="7"/>
      <c r="J350" s="7" t="str">
        <f>VLOOKUP(D350,Stats!B:B,1,0)</f>
        <v>Bishoy</v>
      </c>
    </row>
    <row r="351" spans="1:10" x14ac:dyDescent="0.25">
      <c r="A351" s="22"/>
      <c r="B351" s="6" t="str">
        <f>CONCATENATE($D351,((COUNTIFS($D:$D,$D351)-COUNTIF($D$3:$D351,$D351))+1))</f>
        <v>Dobro24</v>
      </c>
      <c r="C351" s="6">
        <f t="shared" si="21"/>
        <v>45447</v>
      </c>
      <c r="D351" t="s">
        <v>35</v>
      </c>
      <c r="E351" t="s">
        <v>73</v>
      </c>
      <c r="F351" s="32" t="str">
        <f>CONCATENATE(D348,D352,E348)</f>
        <v>AdamMaartenL</v>
      </c>
      <c r="G351" t="str">
        <f>CONCATENATE(D349,D352,E349)</f>
        <v>AdiMaartenL</v>
      </c>
      <c r="H351" t="str">
        <f>CONCATENATE(D350,D352,E350)</f>
        <v>BishoyMaartenL</v>
      </c>
      <c r="I351" s="7" t="str">
        <f>CONCATENATE(D351,D352,E351)</f>
        <v>DobroMaartenL</v>
      </c>
      <c r="J351" s="7" t="str">
        <f>VLOOKUP(D351,Stats!B:B,1,0)</f>
        <v>Dobro</v>
      </c>
    </row>
    <row r="352" spans="1:10" x14ac:dyDescent="0.25">
      <c r="A352" s="22"/>
      <c r="B352" s="8" t="str">
        <f>CONCATENATE($D352,((COUNTIFS($D:$D,$D352)-COUNTIF($D$3:$D352,$D352))+1))</f>
        <v>Maarten15</v>
      </c>
      <c r="C352" s="8">
        <f t="shared" si="21"/>
        <v>45447</v>
      </c>
      <c r="D352" s="2" t="s">
        <v>58</v>
      </c>
      <c r="E352" s="2" t="s">
        <v>73</v>
      </c>
      <c r="F352" s="13"/>
      <c r="G352" s="2"/>
      <c r="H352" s="2"/>
      <c r="I352" s="9"/>
      <c r="J352" s="9" t="str">
        <f>VLOOKUP(D352,Stats!B:B,1,0)</f>
        <v>Maarten</v>
      </c>
    </row>
    <row r="353" spans="1:10" x14ac:dyDescent="0.25">
      <c r="A353" s="22"/>
      <c r="B353" s="3" t="str">
        <f>CONCATENATE($D353,((COUNTIFS($D:$D,$D353)-COUNTIF($D$3:$D353,$D353))+1))</f>
        <v>Adam24</v>
      </c>
      <c r="C353" s="3">
        <f>+C343+2</f>
        <v>45449</v>
      </c>
      <c r="D353" s="4" t="s">
        <v>53</v>
      </c>
      <c r="E353" s="4" t="s">
        <v>72</v>
      </c>
      <c r="F353" s="32" t="str">
        <f>CONCATENATE(D353,D354,E353)</f>
        <v>AdamGiovanniW</v>
      </c>
      <c r="I353" s="5"/>
      <c r="J353" s="5" t="str">
        <f>VLOOKUP(D353,Stats!B:B,1,0)</f>
        <v>Adam</v>
      </c>
    </row>
    <row r="354" spans="1:10" x14ac:dyDescent="0.25">
      <c r="A354" s="22"/>
      <c r="B354" s="6" t="str">
        <f>CONCATENATE($D354,((COUNTIFS($D:$D,$D354)-COUNTIF($D$3:$D354,$D354))+1))</f>
        <v>Giovanni21</v>
      </c>
      <c r="C354" s="6">
        <f t="shared" si="21"/>
        <v>45449</v>
      </c>
      <c r="D354" t="s">
        <v>45</v>
      </c>
      <c r="E354" t="s">
        <v>72</v>
      </c>
      <c r="F354" s="32" t="str">
        <f>CONCATENATE(D353,D355,E353)</f>
        <v>AdamPablo OGW</v>
      </c>
      <c r="G354" t="str">
        <f>CONCATENATE(D354,D355,E354)</f>
        <v>GiovanniPablo OGW</v>
      </c>
      <c r="I354" s="7"/>
      <c r="J354" s="7" t="str">
        <f>VLOOKUP(D354,Stats!B:B,1,0)</f>
        <v>Giovanni</v>
      </c>
    </row>
    <row r="355" spans="1:10" x14ac:dyDescent="0.25">
      <c r="A355" s="22"/>
      <c r="B355" s="6" t="str">
        <f>CONCATENATE($D355,((COUNTIFS($D:$D,$D355)-COUNTIF($D$3:$D355,$D355))+1))</f>
        <v>Pablo OG14</v>
      </c>
      <c r="C355" s="6">
        <f t="shared" si="21"/>
        <v>45449</v>
      </c>
      <c r="D355" t="s">
        <v>42</v>
      </c>
      <c r="E355" t="s">
        <v>72</v>
      </c>
      <c r="F355" s="32" t="str">
        <f>CONCATENATE(D353,D356,E353)</f>
        <v>AdamRezaW</v>
      </c>
      <c r="G355" t="str">
        <f>CONCATENATE(D354,D356,E354)</f>
        <v>GiovanniRezaW</v>
      </c>
      <c r="H355" t="str">
        <f>CONCATENATE(D355,D356,E355)</f>
        <v>Pablo OGRezaW</v>
      </c>
      <c r="I355" s="7"/>
      <c r="J355" s="7" t="str">
        <f>VLOOKUP(D355,Stats!B:B,1,0)</f>
        <v>Pablo OG</v>
      </c>
    </row>
    <row r="356" spans="1:10" x14ac:dyDescent="0.25">
      <c r="A356" s="22"/>
      <c r="B356" s="6" t="str">
        <f>CONCATENATE($D356,((COUNTIFS($D:$D,$D356)-COUNTIF($D$3:$D356,$D356))+1))</f>
        <v>Reza13</v>
      </c>
      <c r="C356" s="6">
        <f t="shared" si="21"/>
        <v>45449</v>
      </c>
      <c r="D356" t="s">
        <v>32</v>
      </c>
      <c r="E356" t="s">
        <v>72</v>
      </c>
      <c r="F356" s="32" t="str">
        <f>CONCATENATE(D353,D357,E353)</f>
        <v>AdamWouterW</v>
      </c>
      <c r="G356" t="str">
        <f>CONCATENATE(D354,D357,E354)</f>
        <v>GiovanniWouterW</v>
      </c>
      <c r="H356" t="str">
        <f>CONCATENATE(D355,D357,E355)</f>
        <v>Pablo OGWouterW</v>
      </c>
      <c r="I356" s="7" t="str">
        <f>CONCATENATE(D356,D357,E356)</f>
        <v>RezaWouterW</v>
      </c>
      <c r="J356" s="7" t="str">
        <f>VLOOKUP(D356,Stats!B:B,1,0)</f>
        <v>Reza</v>
      </c>
    </row>
    <row r="357" spans="1:10" x14ac:dyDescent="0.25">
      <c r="A357" s="22"/>
      <c r="B357" s="6" t="str">
        <f>CONCATENATE($D357,((COUNTIFS($D:$D,$D357)-COUNTIF($D$3:$D357,$D357))+1))</f>
        <v>Wouter16</v>
      </c>
      <c r="C357" s="6">
        <f t="shared" si="21"/>
        <v>45449</v>
      </c>
      <c r="D357" t="s">
        <v>36</v>
      </c>
      <c r="E357" t="s">
        <v>72</v>
      </c>
      <c r="F357" s="32"/>
      <c r="I357" s="7"/>
      <c r="J357" s="7" t="str">
        <f>VLOOKUP(D357,Stats!B:B,1,0)</f>
        <v>Wouter</v>
      </c>
    </row>
    <row r="358" spans="1:10" x14ac:dyDescent="0.25">
      <c r="A358" s="22"/>
      <c r="B358" s="6" t="str">
        <f>CONCATENATE($D358,((COUNTIFS($D:$D,$D358)-COUNTIF($D$3:$D358,$D358))+1))</f>
        <v>Maarten14</v>
      </c>
      <c r="C358" s="6">
        <f t="shared" si="21"/>
        <v>45449</v>
      </c>
      <c r="D358" t="s">
        <v>58</v>
      </c>
      <c r="E358" t="s">
        <v>73</v>
      </c>
      <c r="F358" s="32" t="str">
        <f>CONCATENATE(D358,D359,E358)</f>
        <v>MaartenBarisL</v>
      </c>
      <c r="I358" s="7"/>
      <c r="J358" s="7" t="str">
        <f>VLOOKUP(D358,Stats!B:B,1,0)</f>
        <v>Maarten</v>
      </c>
    </row>
    <row r="359" spans="1:10" x14ac:dyDescent="0.25">
      <c r="A359" s="22"/>
      <c r="B359" s="6" t="str">
        <f>CONCATENATE($D359,((COUNTIFS($D:$D,$D359)-COUNTIF($D$3:$D359,$D359))+1))</f>
        <v>Baris13</v>
      </c>
      <c r="C359" s="6">
        <f t="shared" si="21"/>
        <v>45449</v>
      </c>
      <c r="D359" t="s">
        <v>55</v>
      </c>
      <c r="E359" t="s">
        <v>73</v>
      </c>
      <c r="F359" s="32" t="str">
        <f>CONCATENATE(D358,D360,E358)</f>
        <v>MaartenDmytroL</v>
      </c>
      <c r="G359" t="str">
        <f>CONCATENATE(D359,D360,E359)</f>
        <v>BarisDmytroL</v>
      </c>
      <c r="I359" s="7"/>
      <c r="J359" s="7" t="str">
        <f>VLOOKUP(D359,Stats!B:B,1,0)</f>
        <v>Baris</v>
      </c>
    </row>
    <row r="360" spans="1:10" x14ac:dyDescent="0.25">
      <c r="A360" s="22"/>
      <c r="B360" s="6" t="str">
        <f>CONCATENATE($D360,((COUNTIFS($D:$D,$D360)-COUNTIF($D$3:$D360,$D360))+1))</f>
        <v>Dmytro11</v>
      </c>
      <c r="C360" s="6">
        <f t="shared" si="21"/>
        <v>45449</v>
      </c>
      <c r="D360" t="s">
        <v>28</v>
      </c>
      <c r="E360" t="s">
        <v>73</v>
      </c>
      <c r="F360" s="32" t="str">
        <f>CONCATENATE(D358,D361,E358)</f>
        <v>MaartenDobroL</v>
      </c>
      <c r="G360" t="str">
        <f>CONCATENATE(D359,D361,E359)</f>
        <v>BarisDobroL</v>
      </c>
      <c r="H360" t="str">
        <f>CONCATENATE(D360,D361,E360)</f>
        <v>DmytroDobroL</v>
      </c>
      <c r="I360" s="7"/>
      <c r="J360" s="7" t="str">
        <f>VLOOKUP(D360,Stats!B:B,1,0)</f>
        <v>Dmytro</v>
      </c>
    </row>
    <row r="361" spans="1:10" x14ac:dyDescent="0.25">
      <c r="A361" s="22"/>
      <c r="B361" s="6" t="str">
        <f>CONCATENATE($D361,((COUNTIFS($D:$D,$D361)-COUNTIF($D$3:$D361,$D361))+1))</f>
        <v>Dobro23</v>
      </c>
      <c r="C361" s="6">
        <f t="shared" si="21"/>
        <v>45449</v>
      </c>
      <c r="D361" t="s">
        <v>35</v>
      </c>
      <c r="E361" t="s">
        <v>73</v>
      </c>
      <c r="F361" s="32" t="str">
        <f>CONCATENATE(D358,D362,E358)</f>
        <v>MaartenEslamL</v>
      </c>
      <c r="G361" t="str">
        <f>CONCATENATE(D359,D362,E359)</f>
        <v>BarisEslamL</v>
      </c>
      <c r="H361" t="str">
        <f>CONCATENATE(D360,D362,E360)</f>
        <v>DmytroEslamL</v>
      </c>
      <c r="I361" s="7" t="str">
        <f>CONCATENATE(D361,D362,E361)</f>
        <v>DobroEslamL</v>
      </c>
      <c r="J361" s="7" t="str">
        <f>VLOOKUP(D361,Stats!B:B,1,0)</f>
        <v>Dobro</v>
      </c>
    </row>
    <row r="362" spans="1:10" x14ac:dyDescent="0.25">
      <c r="A362" s="22"/>
      <c r="B362" s="8" t="str">
        <f>CONCATENATE($D362,((COUNTIFS($D:$D,$D362)-COUNTIF($D$3:$D362,$D362))+1))</f>
        <v>Eslam1</v>
      </c>
      <c r="C362" s="8">
        <f t="shared" si="21"/>
        <v>45449</v>
      </c>
      <c r="D362" s="2" t="s">
        <v>23</v>
      </c>
      <c r="E362" s="2" t="s">
        <v>73</v>
      </c>
      <c r="F362" s="13"/>
      <c r="G362" s="2"/>
      <c r="H362" s="2"/>
      <c r="I362" s="9"/>
      <c r="J362" s="9" t="str">
        <f>VLOOKUP(D362,Stats!B:B,1,0)</f>
        <v>Eslam</v>
      </c>
    </row>
    <row r="363" spans="1:10" x14ac:dyDescent="0.25">
      <c r="A363" s="22"/>
      <c r="B363" s="3" t="str">
        <f>CONCATENATE($D363,((COUNTIFS($D:$D,$D363)-COUNTIF($D$3:$D363,$D363))+1))</f>
        <v>Adi16</v>
      </c>
      <c r="C363" s="3">
        <f>+C353+5</f>
        <v>45454</v>
      </c>
      <c r="D363" s="4" t="s">
        <v>47</v>
      </c>
      <c r="E363" s="4" t="s">
        <v>72</v>
      </c>
      <c r="F363" s="32" t="str">
        <f>CONCATENATE(D363,D364,E363)</f>
        <v>AdiDobroW</v>
      </c>
      <c r="I363" s="5"/>
      <c r="J363" s="5" t="str">
        <f>VLOOKUP(D363,Stats!B:B,1,0)</f>
        <v>Adi</v>
      </c>
    </row>
    <row r="364" spans="1:10" x14ac:dyDescent="0.25">
      <c r="A364" s="22"/>
      <c r="B364" s="6" t="str">
        <f>CONCATENATE($D364,((COUNTIFS($D:$D,$D364)-COUNTIF($D$3:$D364,$D364))+1))</f>
        <v>Dobro22</v>
      </c>
      <c r="C364" s="6">
        <f t="shared" si="21"/>
        <v>45454</v>
      </c>
      <c r="D364" t="s">
        <v>35</v>
      </c>
      <c r="E364" t="s">
        <v>72</v>
      </c>
      <c r="F364" s="32" t="str">
        <f>CONCATENATE(D363,D365,E363)</f>
        <v>AdiEnsarW</v>
      </c>
      <c r="G364" t="str">
        <f>CONCATENATE(D364,D365,E364)</f>
        <v>DobroEnsarW</v>
      </c>
      <c r="I364" s="7"/>
      <c r="J364" s="7" t="str">
        <f>VLOOKUP(D364,Stats!B:B,1,0)</f>
        <v>Dobro</v>
      </c>
    </row>
    <row r="365" spans="1:10" x14ac:dyDescent="0.25">
      <c r="A365" s="22"/>
      <c r="B365" s="6" t="str">
        <f>CONCATENATE($D365,((COUNTIFS($D:$D,$D365)-COUNTIF($D$3:$D365,$D365))+1))</f>
        <v>Ensar3</v>
      </c>
      <c r="C365" s="6">
        <f t="shared" si="21"/>
        <v>45454</v>
      </c>
      <c r="D365" t="s">
        <v>16</v>
      </c>
      <c r="E365" t="s">
        <v>72</v>
      </c>
      <c r="F365" s="32" t="str">
        <f>CONCATENATE(D363,D366,E363)</f>
        <v>AdiFiratW</v>
      </c>
      <c r="G365" t="str">
        <f>CONCATENATE(D364,D366,E364)</f>
        <v>DobroFiratW</v>
      </c>
      <c r="H365" t="str">
        <f>CONCATENATE(D365,D366,E365)</f>
        <v>EnsarFiratW</v>
      </c>
      <c r="I365" s="7"/>
      <c r="J365" s="7" t="str">
        <f>VLOOKUP(D365,Stats!B:B,1,0)</f>
        <v>Ensar</v>
      </c>
    </row>
    <row r="366" spans="1:10" x14ac:dyDescent="0.25">
      <c r="A366" s="22"/>
      <c r="B366" s="6" t="str">
        <f>CONCATENATE($D366,((COUNTIFS($D:$D,$D366)-COUNTIF($D$3:$D366,$D366))+1))</f>
        <v>Firat9</v>
      </c>
      <c r="C366" s="6">
        <f t="shared" si="21"/>
        <v>45454</v>
      </c>
      <c r="D366" t="s">
        <v>33</v>
      </c>
      <c r="E366" t="s">
        <v>72</v>
      </c>
      <c r="F366" s="32" t="str">
        <f>CONCATENATE(D363,D367,E363)</f>
        <v>AdiWouterW</v>
      </c>
      <c r="G366" t="str">
        <f>CONCATENATE(D364,D367,E364)</f>
        <v>DobroWouterW</v>
      </c>
      <c r="H366" t="str">
        <f>CONCATENATE(D365,D367,E365)</f>
        <v>EnsarWouterW</v>
      </c>
      <c r="I366" s="7" t="str">
        <f>CONCATENATE(D366,D367,E366)</f>
        <v>FiratWouterW</v>
      </c>
      <c r="J366" s="7" t="str">
        <f>VLOOKUP(D366,Stats!B:B,1,0)</f>
        <v>Firat</v>
      </c>
    </row>
    <row r="367" spans="1:10" x14ac:dyDescent="0.25">
      <c r="A367" s="22"/>
      <c r="B367" s="6" t="str">
        <f>CONCATENATE($D367,((COUNTIFS($D:$D,$D367)-COUNTIF($D$3:$D367,$D367))+1))</f>
        <v>Wouter15</v>
      </c>
      <c r="C367" s="6">
        <f t="shared" si="21"/>
        <v>45454</v>
      </c>
      <c r="D367" t="s">
        <v>36</v>
      </c>
      <c r="E367" t="s">
        <v>72</v>
      </c>
      <c r="F367" s="32"/>
      <c r="I367" s="7"/>
      <c r="J367" s="7" t="str">
        <f>VLOOKUP(D367,Stats!B:B,1,0)</f>
        <v>Wouter</v>
      </c>
    </row>
    <row r="368" spans="1:10" x14ac:dyDescent="0.25">
      <c r="A368" s="22"/>
      <c r="B368" s="6" t="str">
        <f>CONCATENATE($D368,((COUNTIFS($D:$D,$D368)-COUNTIF($D$3:$D368,$D368))+1))</f>
        <v>Bishoy18</v>
      </c>
      <c r="C368" s="6">
        <f t="shared" si="21"/>
        <v>45454</v>
      </c>
      <c r="D368" t="s">
        <v>61</v>
      </c>
      <c r="E368" t="s">
        <v>73</v>
      </c>
      <c r="F368" s="32" t="str">
        <f>CONCATENATE(D368,D369,E368)</f>
        <v>BishoyGiovanniL</v>
      </c>
      <c r="I368" s="7"/>
      <c r="J368" s="7" t="str">
        <f>VLOOKUP(D368,Stats!B:B,1,0)</f>
        <v>Bishoy</v>
      </c>
    </row>
    <row r="369" spans="1:10" x14ac:dyDescent="0.25">
      <c r="A369" s="22"/>
      <c r="B369" s="6" t="str">
        <f>CONCATENATE($D369,((COUNTIFS($D:$D,$D369)-COUNTIF($D$3:$D369,$D369))+1))</f>
        <v>Giovanni20</v>
      </c>
      <c r="C369" s="6">
        <f t="shared" si="21"/>
        <v>45454</v>
      </c>
      <c r="D369" t="s">
        <v>45</v>
      </c>
      <c r="E369" t="s">
        <v>73</v>
      </c>
      <c r="F369" s="32" t="str">
        <f>CONCATENATE(D368,D370,E368)</f>
        <v>BishoyRezaL</v>
      </c>
      <c r="G369" t="str">
        <f>CONCATENATE(D369,D370,E369)</f>
        <v>GiovanniRezaL</v>
      </c>
      <c r="I369" s="7"/>
      <c r="J369" s="7" t="str">
        <f>VLOOKUP(D369,Stats!B:B,1,0)</f>
        <v>Giovanni</v>
      </c>
    </row>
    <row r="370" spans="1:10" x14ac:dyDescent="0.25">
      <c r="A370" s="22"/>
      <c r="B370" s="6" t="str">
        <f>CONCATENATE($D370,((COUNTIFS($D:$D,$D370)-COUNTIF($D$3:$D370,$D370))+1))</f>
        <v>Reza12</v>
      </c>
      <c r="C370" s="6">
        <f t="shared" si="21"/>
        <v>45454</v>
      </c>
      <c r="D370" t="s">
        <v>32</v>
      </c>
      <c r="E370" t="s">
        <v>73</v>
      </c>
      <c r="F370" s="32" t="str">
        <f>CONCATENATE(D368,D371,E368)</f>
        <v>BishoySizweL</v>
      </c>
      <c r="G370" t="str">
        <f>CONCATENATE(D369,D371,E369)</f>
        <v>GiovanniSizweL</v>
      </c>
      <c r="H370" t="str">
        <f>CONCATENATE(D370,D371,E370)</f>
        <v>RezaSizweL</v>
      </c>
      <c r="I370" s="7"/>
      <c r="J370" s="7" t="str">
        <f>VLOOKUP(D370,Stats!B:B,1,0)</f>
        <v>Reza</v>
      </c>
    </row>
    <row r="371" spans="1:10" x14ac:dyDescent="0.25">
      <c r="A371" s="22"/>
      <c r="B371" s="6" t="str">
        <f>CONCATENATE($D371,((COUNTIFS($D:$D,$D371)-COUNTIF($D$3:$D371,$D371))+1))</f>
        <v>Sizwe12</v>
      </c>
      <c r="C371" s="6">
        <f t="shared" si="21"/>
        <v>45454</v>
      </c>
      <c r="D371" t="s">
        <v>44</v>
      </c>
      <c r="E371" t="s">
        <v>73</v>
      </c>
      <c r="F371" s="32" t="str">
        <f>CONCATENATE(D368,D372,E368)</f>
        <v>BishoyTchiL</v>
      </c>
      <c r="G371" t="str">
        <f>CONCATENATE(D369,D372,E369)</f>
        <v>GiovanniTchiL</v>
      </c>
      <c r="H371" t="str">
        <f>CONCATENATE(D370,D372,E370)</f>
        <v>RezaTchiL</v>
      </c>
      <c r="I371" s="7" t="str">
        <f>CONCATENATE(D371,D372,E371)</f>
        <v>SizweTchiL</v>
      </c>
      <c r="J371" s="7" t="str">
        <f>VLOOKUP(D371,Stats!B:B,1,0)</f>
        <v>Sizwe</v>
      </c>
    </row>
    <row r="372" spans="1:10" x14ac:dyDescent="0.25">
      <c r="A372" s="22"/>
      <c r="B372" s="8" t="str">
        <f>CONCATENATE($D372,((COUNTIFS($D:$D,$D372)-COUNTIF($D$3:$D372,$D372))+1))</f>
        <v>Tchi12</v>
      </c>
      <c r="C372" s="8">
        <f t="shared" si="21"/>
        <v>45454</v>
      </c>
      <c r="D372" s="2" t="s">
        <v>37</v>
      </c>
      <c r="E372" s="2" t="s">
        <v>73</v>
      </c>
      <c r="F372" s="13"/>
      <c r="G372" s="2"/>
      <c r="H372" s="2"/>
      <c r="I372" s="9"/>
      <c r="J372" s="9" t="str">
        <f>VLOOKUP(D372,Stats!B:B,1,0)</f>
        <v>Tchi</v>
      </c>
    </row>
    <row r="373" spans="1:10" x14ac:dyDescent="0.25">
      <c r="A373" s="22"/>
      <c r="B373" s="3" t="str">
        <f>CONCATENATE($D373,((COUNTIFS($D:$D,$D373)-COUNTIF($D$3:$D373,$D373))+1))</f>
        <v>Adel3</v>
      </c>
      <c r="C373" s="3">
        <f>+C363+2</f>
        <v>45456</v>
      </c>
      <c r="D373" s="4" t="s">
        <v>17</v>
      </c>
      <c r="E373" s="4" t="s">
        <v>72</v>
      </c>
      <c r="F373" s="32" t="str">
        <f>CONCATENATE(D373,D374,E373)</f>
        <v>AdelMiguelW</v>
      </c>
      <c r="I373" s="5"/>
      <c r="J373" s="5" t="str">
        <f>VLOOKUP(D373,Stats!B:B,1,0)</f>
        <v>Adel</v>
      </c>
    </row>
    <row r="374" spans="1:10" x14ac:dyDescent="0.25">
      <c r="A374" s="22"/>
      <c r="B374" s="6" t="str">
        <f>CONCATENATE($D374,((COUNTIFS($D:$D,$D374)-COUNTIF($D$3:$D374,$D374))+1))</f>
        <v>Miguel4</v>
      </c>
      <c r="C374" s="6">
        <f t="shared" si="21"/>
        <v>45456</v>
      </c>
      <c r="D374" t="s">
        <v>22</v>
      </c>
      <c r="E374" t="s">
        <v>72</v>
      </c>
      <c r="F374" s="32" t="str">
        <f>CONCATENATE(D373,D375,E373)</f>
        <v>AdelPablo PW</v>
      </c>
      <c r="G374" t="str">
        <f>CONCATENATE(D374,D375,E374)</f>
        <v>MiguelPablo PW</v>
      </c>
      <c r="I374" s="7"/>
      <c r="J374" s="7" t="str">
        <f>VLOOKUP(D374,Stats!B:B,1,0)</f>
        <v>Miguel</v>
      </c>
    </row>
    <row r="375" spans="1:10" x14ac:dyDescent="0.25">
      <c r="A375" s="22"/>
      <c r="B375" s="6" t="str">
        <f>CONCATENATE($D375,((COUNTIFS($D:$D,$D375)-COUNTIF($D$3:$D375,$D375))+1))</f>
        <v>Pablo P5</v>
      </c>
      <c r="C375" s="6">
        <f t="shared" si="21"/>
        <v>45456</v>
      </c>
      <c r="D375" t="s">
        <v>48</v>
      </c>
      <c r="E375" t="s">
        <v>72</v>
      </c>
      <c r="F375" s="32" t="str">
        <f>CONCATENATE(D373,D376,E373)</f>
        <v>AdelRezaW</v>
      </c>
      <c r="G375" t="str">
        <f>CONCATENATE(D374,D376,E374)</f>
        <v>MiguelRezaW</v>
      </c>
      <c r="H375" t="str">
        <f>CONCATENATE(D375,D376,E375)</f>
        <v>Pablo PRezaW</v>
      </c>
      <c r="I375" s="7"/>
      <c r="J375" s="7" t="str">
        <f>VLOOKUP(D375,Stats!B:B,1,0)</f>
        <v>Pablo P</v>
      </c>
    </row>
    <row r="376" spans="1:10" x14ac:dyDescent="0.25">
      <c r="A376" s="22"/>
      <c r="B376" s="6" t="str">
        <f>CONCATENATE($D376,((COUNTIFS($D:$D,$D376)-COUNTIF($D$3:$D376,$D376))+1))</f>
        <v>Reza11</v>
      </c>
      <c r="C376" s="6">
        <f t="shared" si="21"/>
        <v>45456</v>
      </c>
      <c r="D376" t="s">
        <v>32</v>
      </c>
      <c r="E376" t="s">
        <v>72</v>
      </c>
      <c r="F376" s="32" t="str">
        <f>CONCATENATE(D373,D377,E373)</f>
        <v>AdelSizweW</v>
      </c>
      <c r="G376" t="str">
        <f>CONCATENATE(D374,D377,E374)</f>
        <v>MiguelSizweW</v>
      </c>
      <c r="H376" t="str">
        <f>CONCATENATE(D375,D377,E375)</f>
        <v>Pablo PSizweW</v>
      </c>
      <c r="I376" s="7" t="str">
        <f>CONCATENATE(D376,D377,E376)</f>
        <v>RezaSizweW</v>
      </c>
      <c r="J376" s="7" t="str">
        <f>VLOOKUP(D376,Stats!B:B,1,0)</f>
        <v>Reza</v>
      </c>
    </row>
    <row r="377" spans="1:10" x14ac:dyDescent="0.25">
      <c r="A377" s="22"/>
      <c r="B377" s="6" t="str">
        <f>CONCATENATE($D377,((COUNTIFS($D:$D,$D377)-COUNTIF($D$3:$D377,$D377))+1))</f>
        <v>Sizwe11</v>
      </c>
      <c r="C377" s="6">
        <f t="shared" si="21"/>
        <v>45456</v>
      </c>
      <c r="D377" t="s">
        <v>44</v>
      </c>
      <c r="E377" t="s">
        <v>72</v>
      </c>
      <c r="F377" s="32"/>
      <c r="I377" s="7"/>
      <c r="J377" s="7" t="str">
        <f>VLOOKUP(D377,Stats!B:B,1,0)</f>
        <v>Sizwe</v>
      </c>
    </row>
    <row r="378" spans="1:10" x14ac:dyDescent="0.25">
      <c r="A378" s="22"/>
      <c r="B378" s="6" t="str">
        <f>CONCATENATE($D378,((COUNTIFS($D:$D,$D378)-COUNTIF($D$3:$D378,$D378))+1))</f>
        <v>Baris12</v>
      </c>
      <c r="C378" s="6">
        <f t="shared" si="21"/>
        <v>45456</v>
      </c>
      <c r="D378" t="s">
        <v>55</v>
      </c>
      <c r="E378" t="s">
        <v>73</v>
      </c>
      <c r="F378" s="32" t="str">
        <f>CONCATENATE(D378,D379,E378)</f>
        <v>BarisBishoyL</v>
      </c>
      <c r="I378" s="7"/>
      <c r="J378" s="7" t="str">
        <f>VLOOKUP(D378,Stats!B:B,1,0)</f>
        <v>Baris</v>
      </c>
    </row>
    <row r="379" spans="1:10" x14ac:dyDescent="0.25">
      <c r="A379" s="22"/>
      <c r="B379" s="6" t="str">
        <f>CONCATENATE($D379,((COUNTIFS($D:$D,$D379)-COUNTIF($D$3:$D379,$D379))+1))</f>
        <v>Bishoy17</v>
      </c>
      <c r="C379" s="6">
        <f t="shared" si="21"/>
        <v>45456</v>
      </c>
      <c r="D379" t="s">
        <v>61</v>
      </c>
      <c r="E379" t="s">
        <v>73</v>
      </c>
      <c r="F379" s="32" t="str">
        <f>CONCATENATE(D378,D380,E378)</f>
        <v>BarisGiovanniL</v>
      </c>
      <c r="G379" t="str">
        <f>CONCATENATE(D379,D380,E379)</f>
        <v>BishoyGiovanniL</v>
      </c>
      <c r="I379" s="7"/>
      <c r="J379" s="7" t="str">
        <f>VLOOKUP(D379,Stats!B:B,1,0)</f>
        <v>Bishoy</v>
      </c>
    </row>
    <row r="380" spans="1:10" x14ac:dyDescent="0.25">
      <c r="A380" s="22"/>
      <c r="B380" s="6" t="str">
        <f>CONCATENATE($D380,((COUNTIFS($D:$D,$D380)-COUNTIF($D$3:$D380,$D380))+1))</f>
        <v>Giovanni19</v>
      </c>
      <c r="C380" s="6">
        <f t="shared" si="21"/>
        <v>45456</v>
      </c>
      <c r="D380" t="s">
        <v>45</v>
      </c>
      <c r="E380" t="s">
        <v>73</v>
      </c>
      <c r="F380" s="32" t="str">
        <f>CONCATENATE(D378,D381,E378)</f>
        <v>BarisPablo OGL</v>
      </c>
      <c r="G380" t="str">
        <f>CONCATENATE(D379,D381,E379)</f>
        <v>BishoyPablo OGL</v>
      </c>
      <c r="H380" t="str">
        <f>CONCATENATE(D380,D381,E380)</f>
        <v>GiovanniPablo OGL</v>
      </c>
      <c r="I380" s="7"/>
      <c r="J380" s="7" t="str">
        <f>VLOOKUP(D380,Stats!B:B,1,0)</f>
        <v>Giovanni</v>
      </c>
    </row>
    <row r="381" spans="1:10" x14ac:dyDescent="0.25">
      <c r="A381" s="22"/>
      <c r="B381" s="6" t="str">
        <f>CONCATENATE($D381,((COUNTIFS($D:$D,$D381)-COUNTIF($D$3:$D381,$D381))+1))</f>
        <v>Pablo OG13</v>
      </c>
      <c r="C381" s="6">
        <f t="shared" si="21"/>
        <v>45456</v>
      </c>
      <c r="D381" t="s">
        <v>42</v>
      </c>
      <c r="E381" t="s">
        <v>73</v>
      </c>
      <c r="F381" s="32" t="str">
        <f>CONCATENATE(D378,D382,E378)</f>
        <v>BarisWouterL</v>
      </c>
      <c r="G381" t="str">
        <f>CONCATENATE(D379,D382,E379)</f>
        <v>BishoyWouterL</v>
      </c>
      <c r="H381" t="str">
        <f>CONCATENATE(D380,D382,E380)</f>
        <v>GiovanniWouterL</v>
      </c>
      <c r="I381" s="7" t="str">
        <f>CONCATENATE(D381,D382,E381)</f>
        <v>Pablo OGWouterL</v>
      </c>
      <c r="J381" s="7" t="str">
        <f>VLOOKUP(D381,Stats!B:B,1,0)</f>
        <v>Pablo OG</v>
      </c>
    </row>
    <row r="382" spans="1:10" x14ac:dyDescent="0.25">
      <c r="A382" s="22"/>
      <c r="B382" s="8" t="str">
        <f>CONCATENATE($D382,((COUNTIFS($D:$D,$D382)-COUNTIF($D$3:$D382,$D382))+1))</f>
        <v>Wouter14</v>
      </c>
      <c r="C382" s="8">
        <f t="shared" si="21"/>
        <v>45456</v>
      </c>
      <c r="D382" s="2" t="s">
        <v>36</v>
      </c>
      <c r="E382" s="2" t="s">
        <v>73</v>
      </c>
      <c r="F382" s="13"/>
      <c r="G382" s="2"/>
      <c r="H382" s="2"/>
      <c r="I382" s="9"/>
      <c r="J382" s="9" t="str">
        <f>VLOOKUP(D382,Stats!B:B,1,0)</f>
        <v>Wouter</v>
      </c>
    </row>
    <row r="383" spans="1:10" x14ac:dyDescent="0.25">
      <c r="A383" s="22"/>
      <c r="B383" s="3" t="str">
        <f>CONCATENATE($D383,((COUNTIFS($D:$D,$D383)-COUNTIF($D$3:$D383,$D383))+1))</f>
        <v>Dobro21</v>
      </c>
      <c r="C383" s="3">
        <f>+C373+5</f>
        <v>45461</v>
      </c>
      <c r="D383" s="4" t="s">
        <v>35</v>
      </c>
      <c r="E383" s="4" t="s">
        <v>72</v>
      </c>
      <c r="F383" s="32" t="str">
        <f>CONCATENATE(D383,D384,E383)</f>
        <v>DobroFiratW</v>
      </c>
      <c r="I383" s="5"/>
      <c r="J383" s="5" t="str">
        <f>VLOOKUP(D383,Stats!B:B,1,0)</f>
        <v>Dobro</v>
      </c>
    </row>
    <row r="384" spans="1:10" x14ac:dyDescent="0.25">
      <c r="A384" s="22"/>
      <c r="B384" s="6" t="str">
        <f>CONCATENATE($D384,((COUNTIFS($D:$D,$D384)-COUNTIF($D$3:$D384,$D384))+1))</f>
        <v>Firat8</v>
      </c>
      <c r="C384" s="6">
        <f t="shared" si="21"/>
        <v>45461</v>
      </c>
      <c r="D384" t="s">
        <v>33</v>
      </c>
      <c r="E384" t="s">
        <v>72</v>
      </c>
      <c r="F384" s="32" t="str">
        <f>CONCATENATE(D383,D385,E383)</f>
        <v>DobroGiovanniW</v>
      </c>
      <c r="G384" t="str">
        <f>CONCATENATE(D384,D385,E384)</f>
        <v>FiratGiovanniW</v>
      </c>
      <c r="I384" s="7"/>
      <c r="J384" s="7" t="str">
        <f>VLOOKUP(D384,Stats!B:B,1,0)</f>
        <v>Firat</v>
      </c>
    </row>
    <row r="385" spans="1:10" x14ac:dyDescent="0.25">
      <c r="A385" s="22"/>
      <c r="B385" s="6" t="str">
        <f>CONCATENATE($D385,((COUNTIFS($D:$D,$D385)-COUNTIF($D$3:$D385,$D385))+1))</f>
        <v>Giovanni18</v>
      </c>
      <c r="C385" s="6">
        <f t="shared" si="21"/>
        <v>45461</v>
      </c>
      <c r="D385" t="s">
        <v>45</v>
      </c>
      <c r="E385" t="s">
        <v>72</v>
      </c>
      <c r="F385" s="32" t="str">
        <f>CONCATENATE(D383,D386,E383)</f>
        <v>DobroNimaW</v>
      </c>
      <c r="G385" t="str">
        <f>CONCATENATE(D384,D386,E384)</f>
        <v>FiratNimaW</v>
      </c>
      <c r="H385" t="str">
        <f>CONCATENATE(D385,D386,E385)</f>
        <v>GiovanniNimaW</v>
      </c>
      <c r="I385" s="7"/>
      <c r="J385" s="7" t="str">
        <f>VLOOKUP(D385,Stats!B:B,1,0)</f>
        <v>Giovanni</v>
      </c>
    </row>
    <row r="386" spans="1:10" x14ac:dyDescent="0.25">
      <c r="A386" s="22"/>
      <c r="B386" s="6" t="str">
        <f>CONCATENATE($D386,((COUNTIFS($D:$D,$D386)-COUNTIF($D$3:$D386,$D386))+1))</f>
        <v>Nima5</v>
      </c>
      <c r="C386" s="6">
        <f t="shared" si="21"/>
        <v>45461</v>
      </c>
      <c r="D386" t="s">
        <v>43</v>
      </c>
      <c r="E386" t="s">
        <v>72</v>
      </c>
      <c r="F386" s="32" t="str">
        <f>CONCATENATE(D383,D387,E383)</f>
        <v>DobroRezaW</v>
      </c>
      <c r="G386" t="str">
        <f>CONCATENATE(D384,D387,E384)</f>
        <v>FiratRezaW</v>
      </c>
      <c r="H386" t="str">
        <f>CONCATENATE(D385,D387,E385)</f>
        <v>GiovanniRezaW</v>
      </c>
      <c r="I386" s="7" t="str">
        <f>CONCATENATE(D386,D387,E386)</f>
        <v>NimaRezaW</v>
      </c>
      <c r="J386" s="7" t="str">
        <f>VLOOKUP(D386,Stats!B:B,1,0)</f>
        <v>Nima</v>
      </c>
    </row>
    <row r="387" spans="1:10" x14ac:dyDescent="0.25">
      <c r="A387" s="22"/>
      <c r="B387" s="6" t="str">
        <f>CONCATENATE($D387,((COUNTIFS($D:$D,$D387)-COUNTIF($D$3:$D387,$D387))+1))</f>
        <v>Reza10</v>
      </c>
      <c r="C387" s="6">
        <f t="shared" si="21"/>
        <v>45461</v>
      </c>
      <c r="D387" t="s">
        <v>32</v>
      </c>
      <c r="E387" t="s">
        <v>72</v>
      </c>
      <c r="F387" s="32"/>
      <c r="I387" s="7"/>
      <c r="J387" s="7" t="str">
        <f>VLOOKUP(D387,Stats!B:B,1,0)</f>
        <v>Reza</v>
      </c>
    </row>
    <row r="388" spans="1:10" x14ac:dyDescent="0.25">
      <c r="A388" s="22"/>
      <c r="B388" s="6" t="str">
        <f>CONCATENATE($D388,((COUNTIFS($D:$D,$D388)-COUNTIF($D$3:$D388,$D388))+1))</f>
        <v>Adam23</v>
      </c>
      <c r="C388" s="6">
        <f t="shared" si="21"/>
        <v>45461</v>
      </c>
      <c r="D388" t="s">
        <v>53</v>
      </c>
      <c r="E388" t="s">
        <v>73</v>
      </c>
      <c r="F388" s="32" t="str">
        <f>CONCATENATE(D388,D389,E388)</f>
        <v>AdamMaartenL</v>
      </c>
      <c r="I388" s="7"/>
      <c r="J388" s="7" t="str">
        <f>VLOOKUP(D388,Stats!B:B,1,0)</f>
        <v>Adam</v>
      </c>
    </row>
    <row r="389" spans="1:10" x14ac:dyDescent="0.25">
      <c r="A389" s="22"/>
      <c r="B389" s="6" t="str">
        <f>CONCATENATE($D389,((COUNTIFS($D:$D,$D389)-COUNTIF($D$3:$D389,$D389))+1))</f>
        <v>Maarten13</v>
      </c>
      <c r="C389" s="6">
        <f t="shared" si="21"/>
        <v>45461</v>
      </c>
      <c r="D389" t="s">
        <v>58</v>
      </c>
      <c r="E389" t="s">
        <v>73</v>
      </c>
      <c r="F389" s="32" t="str">
        <f>CONCATENATE(D388,D390,E388)</f>
        <v>AdamPeteL</v>
      </c>
      <c r="G389" t="str">
        <f>CONCATENATE(D389,D390,E389)</f>
        <v>MaartenPeteL</v>
      </c>
      <c r="I389" s="7"/>
      <c r="J389" s="7" t="str">
        <f>VLOOKUP(D389,Stats!B:B,1,0)</f>
        <v>Maarten</v>
      </c>
    </row>
    <row r="390" spans="1:10" x14ac:dyDescent="0.25">
      <c r="A390" s="22"/>
      <c r="B390" s="6" t="str">
        <f>CONCATENATE($D390,((COUNTIFS($D:$D,$D390)-COUNTIF($D$3:$D390,$D390))+1))</f>
        <v>Pete3</v>
      </c>
      <c r="C390" s="6">
        <f t="shared" si="21"/>
        <v>45461</v>
      </c>
      <c r="D390" t="s">
        <v>29</v>
      </c>
      <c r="E390" t="s">
        <v>73</v>
      </c>
      <c r="F390" s="32" t="str">
        <f>CONCATENATE(D388,D391,E388)</f>
        <v>AdamTchiL</v>
      </c>
      <c r="G390" t="str">
        <f>CONCATENATE(D389,D391,E389)</f>
        <v>MaartenTchiL</v>
      </c>
      <c r="H390" t="str">
        <f>CONCATENATE(D390,D391,E390)</f>
        <v>PeteTchiL</v>
      </c>
      <c r="I390" s="7"/>
      <c r="J390" s="7" t="str">
        <f>VLOOKUP(D390,Stats!B:B,1,0)</f>
        <v>Pete</v>
      </c>
    </row>
    <row r="391" spans="1:10" x14ac:dyDescent="0.25">
      <c r="A391" s="22"/>
      <c r="B391" s="6" t="str">
        <f>CONCATENATE($D391,((COUNTIFS($D:$D,$D391)-COUNTIF($D$3:$D391,$D391))+1))</f>
        <v>Tchi11</v>
      </c>
      <c r="C391" s="6">
        <f t="shared" si="21"/>
        <v>45461</v>
      </c>
      <c r="D391" t="s">
        <v>37</v>
      </c>
      <c r="E391" t="s">
        <v>73</v>
      </c>
      <c r="F391" s="32" t="str">
        <f>CONCATENATE(D388,D392,E388)</f>
        <v>AdamWouterL</v>
      </c>
      <c r="G391" t="str">
        <f>CONCATENATE(D389,D392,E389)</f>
        <v>MaartenWouterL</v>
      </c>
      <c r="H391" t="str">
        <f>CONCATENATE(D390,D392,E390)</f>
        <v>PeteWouterL</v>
      </c>
      <c r="I391" s="7" t="str">
        <f>CONCATENATE(D391,D392,E391)</f>
        <v>TchiWouterL</v>
      </c>
      <c r="J391" s="7" t="str">
        <f>VLOOKUP(D391,Stats!B:B,1,0)</f>
        <v>Tchi</v>
      </c>
    </row>
    <row r="392" spans="1:10" x14ac:dyDescent="0.25">
      <c r="A392" s="22"/>
      <c r="B392" s="8" t="str">
        <f>CONCATENATE($D392,((COUNTIFS($D:$D,$D392)-COUNTIF($D$3:$D392,$D392))+1))</f>
        <v>Wouter13</v>
      </c>
      <c r="C392" s="8">
        <f t="shared" si="21"/>
        <v>45461</v>
      </c>
      <c r="D392" s="2" t="s">
        <v>36</v>
      </c>
      <c r="E392" s="2" t="s">
        <v>73</v>
      </c>
      <c r="F392" s="13"/>
      <c r="G392" s="2"/>
      <c r="H392" s="2"/>
      <c r="I392" s="9"/>
      <c r="J392" s="9" t="str">
        <f>VLOOKUP(D392,Stats!B:B,1,0)</f>
        <v>Wouter</v>
      </c>
    </row>
    <row r="393" spans="1:10" x14ac:dyDescent="0.25">
      <c r="A393" s="22"/>
      <c r="B393" s="3" t="str">
        <f>CONCATENATE($D393,((COUNTIFS($D:$D,$D393)-COUNTIF($D$3:$D393,$D393))+1))</f>
        <v>Maarten12</v>
      </c>
      <c r="C393" s="3">
        <f>+C383+7</f>
        <v>45468</v>
      </c>
      <c r="D393" s="4" t="s">
        <v>58</v>
      </c>
      <c r="E393" s="4" t="s">
        <v>72</v>
      </c>
      <c r="F393" s="32" t="str">
        <f>CONCATENATE(D393,D394,E393)</f>
        <v>MaartenDobroW</v>
      </c>
      <c r="I393" s="5"/>
      <c r="J393" s="5" t="str">
        <f>VLOOKUP(D393,Stats!B:B,1,0)</f>
        <v>Maarten</v>
      </c>
    </row>
    <row r="394" spans="1:10" x14ac:dyDescent="0.25">
      <c r="A394" s="22"/>
      <c r="B394" s="6" t="str">
        <f>CONCATENATE($D394,((COUNTIFS($D:$D,$D394)-COUNTIF($D$3:$D394,$D394))+1))</f>
        <v>Dobro20</v>
      </c>
      <c r="C394" s="6">
        <f t="shared" si="21"/>
        <v>45468</v>
      </c>
      <c r="D394" t="s">
        <v>35</v>
      </c>
      <c r="E394" t="s">
        <v>72</v>
      </c>
      <c r="F394" s="32" t="str">
        <f>CONCATENATE(D393,D395,E393)</f>
        <v>MaartenTchiW</v>
      </c>
      <c r="G394" t="str">
        <f>CONCATENATE(D394,D395,E394)</f>
        <v>DobroTchiW</v>
      </c>
      <c r="I394" s="7"/>
      <c r="J394" s="7" t="str">
        <f>VLOOKUP(D394,Stats!B:B,1,0)</f>
        <v>Dobro</v>
      </c>
    </row>
    <row r="395" spans="1:10" x14ac:dyDescent="0.25">
      <c r="A395" s="22"/>
      <c r="B395" s="6" t="str">
        <f>CONCATENATE($D395,((COUNTIFS($D:$D,$D395)-COUNTIF($D$3:$D395,$D395))+1))</f>
        <v>Tchi10</v>
      </c>
      <c r="C395" s="6">
        <f t="shared" si="21"/>
        <v>45468</v>
      </c>
      <c r="D395" t="s">
        <v>37</v>
      </c>
      <c r="E395" t="s">
        <v>72</v>
      </c>
      <c r="F395" s="32" t="str">
        <f>CONCATENATE(D393,D396,E393)</f>
        <v>MaartenThijsW</v>
      </c>
      <c r="G395" t="str">
        <f>CONCATENATE(D394,D396,E394)</f>
        <v>DobroThijsW</v>
      </c>
      <c r="H395" t="str">
        <f>CONCATENATE(D395,D396,E395)</f>
        <v>TchiThijsW</v>
      </c>
      <c r="I395" s="7"/>
      <c r="J395" s="7" t="str">
        <f>VLOOKUP(D395,Stats!B:B,1,0)</f>
        <v>Tchi</v>
      </c>
    </row>
    <row r="396" spans="1:10" x14ac:dyDescent="0.25">
      <c r="A396" s="22"/>
      <c r="B396" s="6" t="str">
        <f>CONCATENATE($D396,((COUNTIFS($D:$D,$D396)-COUNTIF($D$3:$D396,$D396))+1))</f>
        <v>Thijs8</v>
      </c>
      <c r="C396" s="6">
        <f t="shared" si="21"/>
        <v>45468</v>
      </c>
      <c r="D396" t="s">
        <v>24</v>
      </c>
      <c r="E396" t="s">
        <v>72</v>
      </c>
      <c r="F396" s="32" t="str">
        <f>CONCATENATE(D393,D397,E393)</f>
        <v>MaartenAdiW</v>
      </c>
      <c r="G396" t="str">
        <f>CONCATENATE(D394,D397,E394)</f>
        <v>DobroAdiW</v>
      </c>
      <c r="H396" t="str">
        <f>CONCATENATE(D395,D397,E395)</f>
        <v>TchiAdiW</v>
      </c>
      <c r="I396" s="7" t="str">
        <f>CONCATENATE(D396,D397,E396)</f>
        <v>ThijsAdiW</v>
      </c>
      <c r="J396" s="7" t="str">
        <f>VLOOKUP(D396,Stats!B:B,1,0)</f>
        <v>Thijs</v>
      </c>
    </row>
    <row r="397" spans="1:10" x14ac:dyDescent="0.25">
      <c r="A397" s="22"/>
      <c r="B397" s="6" t="str">
        <f>CONCATENATE($D397,((COUNTIFS($D:$D,$D397)-COUNTIF($D$3:$D397,$D397))+1))</f>
        <v>Adi15</v>
      </c>
      <c r="C397" s="6">
        <f t="shared" si="21"/>
        <v>45468</v>
      </c>
      <c r="D397" t="s">
        <v>47</v>
      </c>
      <c r="E397" t="s">
        <v>72</v>
      </c>
      <c r="F397" s="32"/>
      <c r="I397" s="7"/>
      <c r="J397" s="7" t="str">
        <f>VLOOKUP(D397,Stats!B:B,1,0)</f>
        <v>Adi</v>
      </c>
    </row>
    <row r="398" spans="1:10" x14ac:dyDescent="0.25">
      <c r="A398" s="22"/>
      <c r="B398" s="6" t="str">
        <f>CONCATENATE($D398,((COUNTIFS($D:$D,$D398)-COUNTIF($D$3:$D398,$D398))+1))</f>
        <v>Adam22</v>
      </c>
      <c r="C398" s="6">
        <f t="shared" si="21"/>
        <v>45468</v>
      </c>
      <c r="D398" t="s">
        <v>53</v>
      </c>
      <c r="E398" t="s">
        <v>73</v>
      </c>
      <c r="F398" s="32" t="str">
        <f>CONCATENATE(D398,D399,E398)</f>
        <v>AdamSizweL</v>
      </c>
      <c r="I398" s="7"/>
      <c r="J398" s="7" t="str">
        <f>VLOOKUP(D398,Stats!B:B,1,0)</f>
        <v>Adam</v>
      </c>
    </row>
    <row r="399" spans="1:10" x14ac:dyDescent="0.25">
      <c r="A399" s="22"/>
      <c r="B399" s="6" t="str">
        <f>CONCATENATE($D399,((COUNTIFS($D:$D,$D399)-COUNTIF($D$3:$D399,$D399))+1))</f>
        <v>Sizwe10</v>
      </c>
      <c r="C399" s="6">
        <f t="shared" si="21"/>
        <v>45468</v>
      </c>
      <c r="D399" t="s">
        <v>44</v>
      </c>
      <c r="E399" t="s">
        <v>73</v>
      </c>
      <c r="F399" s="32" t="str">
        <f>CONCATENATE(D398,D400,E398)</f>
        <v>AdamNimaL</v>
      </c>
      <c r="G399" t="str">
        <f>CONCATENATE(D399,D400,E399)</f>
        <v>SizweNimaL</v>
      </c>
      <c r="I399" s="7"/>
      <c r="J399" s="7" t="str">
        <f>VLOOKUP(D399,Stats!B:B,1,0)</f>
        <v>Sizwe</v>
      </c>
    </row>
    <row r="400" spans="1:10" x14ac:dyDescent="0.25">
      <c r="A400" s="22"/>
      <c r="B400" s="6" t="str">
        <f>CONCATENATE($D400,((COUNTIFS($D:$D,$D400)-COUNTIF($D$3:$D400,$D400))+1))</f>
        <v>Nima4</v>
      </c>
      <c r="C400" s="6">
        <f t="shared" si="21"/>
        <v>45468</v>
      </c>
      <c r="D400" t="s">
        <v>43</v>
      </c>
      <c r="E400" t="s">
        <v>73</v>
      </c>
      <c r="F400" s="32" t="str">
        <f>CONCATENATE(D398,D401,E398)</f>
        <v>AdamGiovanniL</v>
      </c>
      <c r="G400" t="str">
        <f>CONCATENATE(D399,D401,E399)</f>
        <v>SizweGiovanniL</v>
      </c>
      <c r="H400" t="str">
        <f>CONCATENATE(D400,D401,E400)</f>
        <v>NimaGiovanniL</v>
      </c>
      <c r="I400" s="7"/>
      <c r="J400" s="7" t="str">
        <f>VLOOKUP(D400,Stats!B:B,1,0)</f>
        <v>Nima</v>
      </c>
    </row>
    <row r="401" spans="1:10" x14ac:dyDescent="0.25">
      <c r="A401" s="22"/>
      <c r="B401" s="6" t="str">
        <f>CONCATENATE($D401,((COUNTIFS($D:$D,$D401)-COUNTIF($D$3:$D401,$D401))+1))</f>
        <v>Giovanni17</v>
      </c>
      <c r="C401" s="6">
        <f t="shared" si="21"/>
        <v>45468</v>
      </c>
      <c r="D401" t="s">
        <v>45</v>
      </c>
      <c r="E401" t="s">
        <v>73</v>
      </c>
      <c r="F401" s="32" t="str">
        <f>CONCATENATE(D398,D402,E398)</f>
        <v>AdamWouterL</v>
      </c>
      <c r="G401" t="str">
        <f>CONCATENATE(D399,D402,E399)</f>
        <v>SizweWouterL</v>
      </c>
      <c r="H401" t="str">
        <f>CONCATENATE(D400,D402,E400)</f>
        <v>NimaWouterL</v>
      </c>
      <c r="I401" s="7" t="str">
        <f>CONCATENATE(D401,D402,E401)</f>
        <v>GiovanniWouterL</v>
      </c>
      <c r="J401" s="7" t="str">
        <f>VLOOKUP(D401,Stats!B:B,1,0)</f>
        <v>Giovanni</v>
      </c>
    </row>
    <row r="402" spans="1:10" x14ac:dyDescent="0.25">
      <c r="A402" s="22"/>
      <c r="B402" s="8" t="str">
        <f>CONCATENATE($D402,((COUNTIFS($D:$D,$D402)-COUNTIF($D$3:$D402,$D402))+1))</f>
        <v>Wouter12</v>
      </c>
      <c r="C402" s="8">
        <f t="shared" si="21"/>
        <v>45468</v>
      </c>
      <c r="D402" s="2" t="s">
        <v>36</v>
      </c>
      <c r="E402" s="2" t="s">
        <v>73</v>
      </c>
      <c r="F402" s="13"/>
      <c r="G402" s="2"/>
      <c r="H402" s="2"/>
      <c r="I402" s="9"/>
      <c r="J402" s="9" t="str">
        <f>VLOOKUP(D402,Stats!B:B,1,0)</f>
        <v>Wouter</v>
      </c>
    </row>
    <row r="403" spans="1:10" x14ac:dyDescent="0.25">
      <c r="A403" s="22"/>
      <c r="B403" s="3" t="str">
        <f>CONCATENATE($D403,((COUNTIFS($D:$D,$D403)-COUNTIF($D$3:$D403,$D403))+1))</f>
        <v>Nima3</v>
      </c>
      <c r="C403" s="3">
        <f>+C393+2</f>
        <v>45470</v>
      </c>
      <c r="D403" s="4" t="s">
        <v>43</v>
      </c>
      <c r="E403" s="4" t="s">
        <v>72</v>
      </c>
      <c r="F403" s="32" t="str">
        <f>CONCATENATE(D403,D404,E403)</f>
        <v>NimaAdelW</v>
      </c>
      <c r="I403" s="5"/>
      <c r="J403" s="5" t="str">
        <f>VLOOKUP(D403,Stats!B:B,1,0)</f>
        <v>Nima</v>
      </c>
    </row>
    <row r="404" spans="1:10" x14ac:dyDescent="0.25">
      <c r="A404" s="22"/>
      <c r="B404" s="6" t="str">
        <f>CONCATENATE($D404,((COUNTIFS($D:$D,$D404)-COUNTIF($D$3:$D404,$D404))+1))</f>
        <v>Adel2</v>
      </c>
      <c r="C404" s="6">
        <f t="shared" si="21"/>
        <v>45470</v>
      </c>
      <c r="D404" t="s">
        <v>17</v>
      </c>
      <c r="E404" t="s">
        <v>72</v>
      </c>
      <c r="F404" s="32" t="str">
        <f>CONCATENATE(D403,D405,E403)</f>
        <v>NimaTchiW</v>
      </c>
      <c r="G404" t="str">
        <f>CONCATENATE(D404,D405,E404)</f>
        <v>AdelTchiW</v>
      </c>
      <c r="I404" s="7"/>
      <c r="J404" s="7" t="str">
        <f>VLOOKUP(D404,Stats!B:B,1,0)</f>
        <v>Adel</v>
      </c>
    </row>
    <row r="405" spans="1:10" x14ac:dyDescent="0.25">
      <c r="A405" s="22"/>
      <c r="B405" s="6" t="str">
        <f>CONCATENATE($D405,((COUNTIFS($D:$D,$D405)-COUNTIF($D$3:$D405,$D405))+1))</f>
        <v>Tchi9</v>
      </c>
      <c r="C405" s="6">
        <f t="shared" si="21"/>
        <v>45470</v>
      </c>
      <c r="D405" t="s">
        <v>37</v>
      </c>
      <c r="E405" t="s">
        <v>72</v>
      </c>
      <c r="F405" s="32" t="str">
        <f>CONCATENATE(D403,D406,E403)</f>
        <v>NimaSizweW</v>
      </c>
      <c r="G405" t="str">
        <f>CONCATENATE(D404,D406,E404)</f>
        <v>AdelSizweW</v>
      </c>
      <c r="H405" t="str">
        <f>CONCATENATE(D405,D406,E405)</f>
        <v>TchiSizweW</v>
      </c>
      <c r="I405" s="7"/>
      <c r="J405" s="7" t="str">
        <f>VLOOKUP(D405,Stats!B:B,1,0)</f>
        <v>Tchi</v>
      </c>
    </row>
    <row r="406" spans="1:10" x14ac:dyDescent="0.25">
      <c r="A406" s="22"/>
      <c r="B406" s="6" t="str">
        <f>CONCATENATE($D406,((COUNTIFS($D:$D,$D406)-COUNTIF($D$3:$D406,$D406))+1))</f>
        <v>Sizwe9</v>
      </c>
      <c r="C406" s="6">
        <f t="shared" si="21"/>
        <v>45470</v>
      </c>
      <c r="D406" t="s">
        <v>44</v>
      </c>
      <c r="E406" t="s">
        <v>72</v>
      </c>
      <c r="F406" s="32" t="str">
        <f>CONCATENATE(D403,D407,E403)</f>
        <v>NimaMaartenW</v>
      </c>
      <c r="G406" t="str">
        <f>CONCATENATE(D404,D407,E404)</f>
        <v>AdelMaartenW</v>
      </c>
      <c r="H406" t="str">
        <f>CONCATENATE(D405,D407,E405)</f>
        <v>TchiMaartenW</v>
      </c>
      <c r="I406" s="7" t="str">
        <f>CONCATENATE(D406,D407,E406)</f>
        <v>SizweMaartenW</v>
      </c>
      <c r="J406" s="7" t="str">
        <f>VLOOKUP(D406,Stats!B:B,1,0)</f>
        <v>Sizwe</v>
      </c>
    </row>
    <row r="407" spans="1:10" x14ac:dyDescent="0.25">
      <c r="A407" s="22"/>
      <c r="B407" s="6" t="str">
        <f>CONCATENATE($D407,((COUNTIFS($D:$D,$D407)-COUNTIF($D$3:$D407,$D407))+1))</f>
        <v>Maarten11</v>
      </c>
      <c r="C407" s="6">
        <f t="shared" si="21"/>
        <v>45470</v>
      </c>
      <c r="D407" t="s">
        <v>58</v>
      </c>
      <c r="E407" t="s">
        <v>72</v>
      </c>
      <c r="F407" s="32"/>
      <c r="I407" s="7"/>
      <c r="J407" s="7" t="str">
        <f>VLOOKUP(D407,Stats!B:B,1,0)</f>
        <v>Maarten</v>
      </c>
    </row>
    <row r="408" spans="1:10" x14ac:dyDescent="0.25">
      <c r="A408" s="22"/>
      <c r="B408" s="6" t="str">
        <f>CONCATENATE($D408,((COUNTIFS($D:$D,$D408)-COUNTIF($D$3:$D408,$D408))+1))</f>
        <v>Jay2</v>
      </c>
      <c r="C408" s="6">
        <f t="shared" ref="C408:C412" si="22">C407</f>
        <v>45470</v>
      </c>
      <c r="D408" t="s">
        <v>60</v>
      </c>
      <c r="E408" t="s">
        <v>73</v>
      </c>
      <c r="F408" s="32" t="str">
        <f>CONCATENATE(D408,D409,E408)</f>
        <v>JayDobroL</v>
      </c>
      <c r="I408" s="7"/>
      <c r="J408" s="7" t="str">
        <f>VLOOKUP(D408,Stats!B:B,1,0)</f>
        <v>Jay</v>
      </c>
    </row>
    <row r="409" spans="1:10" x14ac:dyDescent="0.25">
      <c r="A409" s="22"/>
      <c r="B409" s="6" t="str">
        <f>CONCATENATE($D409,((COUNTIFS($D:$D,$D409)-COUNTIF($D$3:$D409,$D409))+1))</f>
        <v>Dobro19</v>
      </c>
      <c r="C409" s="6">
        <f t="shared" si="22"/>
        <v>45470</v>
      </c>
      <c r="D409" t="s">
        <v>35</v>
      </c>
      <c r="E409" t="s">
        <v>73</v>
      </c>
      <c r="F409" s="32" t="str">
        <f>CONCATENATE(D408,D410,E408)</f>
        <v>JayWouterL</v>
      </c>
      <c r="G409" t="str">
        <f>CONCATENATE(D409,D410,E409)</f>
        <v>DobroWouterL</v>
      </c>
      <c r="I409" s="7"/>
      <c r="J409" s="7" t="str">
        <f>VLOOKUP(D409,Stats!B:B,1,0)</f>
        <v>Dobro</v>
      </c>
    </row>
    <row r="410" spans="1:10" x14ac:dyDescent="0.25">
      <c r="A410" s="22"/>
      <c r="B410" s="6" t="str">
        <f>CONCATENATE($D410,((COUNTIFS($D:$D,$D410)-COUNTIF($D$3:$D410,$D410))+1))</f>
        <v>Wouter11</v>
      </c>
      <c r="C410" s="6">
        <f t="shared" si="22"/>
        <v>45470</v>
      </c>
      <c r="D410" t="s">
        <v>36</v>
      </c>
      <c r="E410" t="s">
        <v>73</v>
      </c>
      <c r="F410" s="32" t="str">
        <f>CONCATENATE(D408,D411,E408)</f>
        <v>JayGiovanniL</v>
      </c>
      <c r="G410" t="str">
        <f>CONCATENATE(D409,D411,E409)</f>
        <v>DobroGiovanniL</v>
      </c>
      <c r="H410" t="str">
        <f>CONCATENATE(D410,D411,E410)</f>
        <v>WouterGiovanniL</v>
      </c>
      <c r="I410" s="7"/>
      <c r="J410" s="7" t="str">
        <f>VLOOKUP(D410,Stats!B:B,1,0)</f>
        <v>Wouter</v>
      </c>
    </row>
    <row r="411" spans="1:10" x14ac:dyDescent="0.25">
      <c r="A411" s="22"/>
      <c r="B411" s="6" t="str">
        <f>CONCATENATE($D411,((COUNTIFS($D:$D,$D411)-COUNTIF($D$3:$D411,$D411))+1))</f>
        <v>Giovanni16</v>
      </c>
      <c r="C411" s="6">
        <f t="shared" si="22"/>
        <v>45470</v>
      </c>
      <c r="D411" t="s">
        <v>45</v>
      </c>
      <c r="E411" t="s">
        <v>73</v>
      </c>
      <c r="F411" s="32" t="str">
        <f>CONCATENATE(D408,D412,E408)</f>
        <v>JayAdamL</v>
      </c>
      <c r="G411" t="str">
        <f>CONCATENATE(D409,D412,E409)</f>
        <v>DobroAdamL</v>
      </c>
      <c r="H411" t="str">
        <f>CONCATENATE(D410,D412,E410)</f>
        <v>WouterAdamL</v>
      </c>
      <c r="I411" s="7" t="str">
        <f>CONCATENATE(D411,D412,E411)</f>
        <v>GiovanniAdamL</v>
      </c>
      <c r="J411" s="7" t="str">
        <f>VLOOKUP(D411,Stats!B:B,1,0)</f>
        <v>Giovanni</v>
      </c>
    </row>
    <row r="412" spans="1:10" x14ac:dyDescent="0.25">
      <c r="A412" s="22"/>
      <c r="B412" s="8" t="str">
        <f>CONCATENATE($D412,((COUNTIFS($D:$D,$D412)-COUNTIF($D$3:$D412,$D412))+1))</f>
        <v>Adam21</v>
      </c>
      <c r="C412" s="8">
        <f t="shared" si="22"/>
        <v>45470</v>
      </c>
      <c r="D412" s="2" t="s">
        <v>53</v>
      </c>
      <c r="E412" s="2" t="s">
        <v>73</v>
      </c>
      <c r="F412" s="13"/>
      <c r="G412" s="2"/>
      <c r="H412" s="2"/>
      <c r="I412" s="9"/>
      <c r="J412" s="9" t="str">
        <f>VLOOKUP(D412,Stats!B:B,1,0)</f>
        <v>Adam</v>
      </c>
    </row>
    <row r="413" spans="1:10" x14ac:dyDescent="0.25">
      <c r="A413" s="22"/>
      <c r="B413" s="3" t="str">
        <f>CONCATENATE($D413,((COUNTIFS($D:$D,$D413)-COUNTIF($D$3:$D413,$D413))+1))</f>
        <v>Adi14</v>
      </c>
      <c r="C413" s="3">
        <f>+C403+5</f>
        <v>45475</v>
      </c>
      <c r="D413" s="4" t="s">
        <v>47</v>
      </c>
      <c r="E413" s="4" t="s">
        <v>72</v>
      </c>
      <c r="F413" s="32" t="str">
        <f>CONCATENATE(D413,D414,E413)</f>
        <v>AdiAdamW</v>
      </c>
      <c r="I413" s="5"/>
      <c r="J413" s="5" t="str">
        <f>VLOOKUP(D413,Stats!B:B,1,0)</f>
        <v>Adi</v>
      </c>
    </row>
    <row r="414" spans="1:10" x14ac:dyDescent="0.25">
      <c r="A414" s="22"/>
      <c r="B414" s="6" t="str">
        <f>CONCATENATE($D414,((COUNTIFS($D:$D,$D414)-COUNTIF($D$3:$D414,$D414))+1))</f>
        <v>Adam20</v>
      </c>
      <c r="C414" s="6">
        <f t="shared" ref="C414:C450" si="23">C413</f>
        <v>45475</v>
      </c>
      <c r="D414" t="s">
        <v>53</v>
      </c>
      <c r="E414" t="s">
        <v>72</v>
      </c>
      <c r="F414" s="32" t="str">
        <f>CONCATENATE(D413,D415,E413)</f>
        <v>AdiFilipW</v>
      </c>
      <c r="G414" t="str">
        <f>CONCATENATE(D414,D415,E414)</f>
        <v>AdamFilipW</v>
      </c>
      <c r="I414" s="7"/>
      <c r="J414" s="7" t="str">
        <f>VLOOKUP(D414,Stats!B:B,1,0)</f>
        <v>Adam</v>
      </c>
    </row>
    <row r="415" spans="1:10" x14ac:dyDescent="0.25">
      <c r="A415" s="22"/>
      <c r="B415" s="6" t="str">
        <f>CONCATENATE($D415,((COUNTIFS($D:$D,$D415)-COUNTIF($D$3:$D415,$D415))+1))</f>
        <v>Filip1</v>
      </c>
      <c r="C415" s="6">
        <f t="shared" si="23"/>
        <v>45475</v>
      </c>
      <c r="D415" t="s">
        <v>59</v>
      </c>
      <c r="E415" t="s">
        <v>72</v>
      </c>
      <c r="F415" s="32" t="str">
        <f>CONCATENATE(D413,D416,E413)</f>
        <v>AdiWouterW</v>
      </c>
      <c r="G415" t="str">
        <f>CONCATENATE(D414,D416,E414)</f>
        <v>AdamWouterW</v>
      </c>
      <c r="H415" t="str">
        <f>CONCATENATE(D415,D416,E415)</f>
        <v>FilipWouterW</v>
      </c>
      <c r="I415" s="7"/>
      <c r="J415" s="7" t="str">
        <f>VLOOKUP(D415,Stats!B:B,1,0)</f>
        <v>Filip</v>
      </c>
    </row>
    <row r="416" spans="1:10" x14ac:dyDescent="0.25">
      <c r="A416" s="22"/>
      <c r="B416" s="6" t="str">
        <f>CONCATENATE($D416,((COUNTIFS($D:$D,$D416)-COUNTIF($D$3:$D416,$D416))+1))</f>
        <v>Wouter10</v>
      </c>
      <c r="C416" s="6">
        <f t="shared" si="23"/>
        <v>45475</v>
      </c>
      <c r="D416" t="s">
        <v>36</v>
      </c>
      <c r="E416" t="s">
        <v>72</v>
      </c>
      <c r="F416" s="32" t="str">
        <f>CONCATENATE(D413,D417,E413)</f>
        <v>AdiTchiW</v>
      </c>
      <c r="G416" t="str">
        <f>CONCATENATE(D414,D417,E414)</f>
        <v>AdamTchiW</v>
      </c>
      <c r="H416" t="str">
        <f>CONCATENATE(D415,D417,E415)</f>
        <v>FilipTchiW</v>
      </c>
      <c r="I416" s="7" t="str">
        <f>CONCATENATE(D416,D417,E416)</f>
        <v>WouterTchiW</v>
      </c>
      <c r="J416" s="7" t="str">
        <f>VLOOKUP(D416,Stats!B:B,1,0)</f>
        <v>Wouter</v>
      </c>
    </row>
    <row r="417" spans="1:10" x14ac:dyDescent="0.25">
      <c r="A417" s="22"/>
      <c r="B417" s="6" t="str">
        <f>CONCATENATE($D417,((COUNTIFS($D:$D,$D417)-COUNTIF($D$3:$D417,$D417))+1))</f>
        <v>Tchi8</v>
      </c>
      <c r="C417" s="6">
        <f t="shared" si="23"/>
        <v>45475</v>
      </c>
      <c r="D417" t="s">
        <v>37</v>
      </c>
      <c r="E417" t="s">
        <v>72</v>
      </c>
      <c r="F417" s="32"/>
      <c r="I417" s="7"/>
      <c r="J417" s="7" t="str">
        <f>VLOOKUP(D417,Stats!B:B,1,0)</f>
        <v>Tchi</v>
      </c>
    </row>
    <row r="418" spans="1:10" x14ac:dyDescent="0.25">
      <c r="A418" s="22"/>
      <c r="B418" s="6" t="str">
        <f>CONCATENATE($D418,((COUNTIFS($D:$D,$D418)-COUNTIF($D$3:$D418,$D418))+1))</f>
        <v>Luca16</v>
      </c>
      <c r="C418" s="6">
        <f t="shared" si="23"/>
        <v>45475</v>
      </c>
      <c r="D418" t="s">
        <v>46</v>
      </c>
      <c r="E418" t="s">
        <v>73</v>
      </c>
      <c r="F418" s="32" t="str">
        <f>CONCATENATE(D418,D419,E418)</f>
        <v>LucaDobroL</v>
      </c>
      <c r="I418" s="7"/>
      <c r="J418" s="7" t="str">
        <f>VLOOKUP(D418,Stats!B:B,1,0)</f>
        <v>Luca</v>
      </c>
    </row>
    <row r="419" spans="1:10" x14ac:dyDescent="0.25">
      <c r="A419" s="22"/>
      <c r="B419" s="6" t="str">
        <f>CONCATENATE($D419,((COUNTIFS($D:$D,$D419)-COUNTIF($D$3:$D419,$D419))+1))</f>
        <v>Dobro18</v>
      </c>
      <c r="C419" s="6">
        <f t="shared" si="23"/>
        <v>45475</v>
      </c>
      <c r="D419" t="s">
        <v>35</v>
      </c>
      <c r="E419" t="s">
        <v>73</v>
      </c>
      <c r="F419" s="32" t="str">
        <f>CONCATENATE(D418,D420,E418)</f>
        <v>LucaSizweL</v>
      </c>
      <c r="G419" t="str">
        <f>CONCATENATE(D419,D420,E419)</f>
        <v>DobroSizweL</v>
      </c>
      <c r="I419" s="7"/>
      <c r="J419" s="7" t="str">
        <f>VLOOKUP(D419,Stats!B:B,1,0)</f>
        <v>Dobro</v>
      </c>
    </row>
    <row r="420" spans="1:10" x14ac:dyDescent="0.25">
      <c r="A420" s="22"/>
      <c r="B420" s="6" t="str">
        <f>CONCATENATE($D420,((COUNTIFS($D:$D,$D420)-COUNTIF($D$3:$D420,$D420))+1))</f>
        <v>Sizwe8</v>
      </c>
      <c r="C420" s="6">
        <f t="shared" si="23"/>
        <v>45475</v>
      </c>
      <c r="D420" t="s">
        <v>44</v>
      </c>
      <c r="E420" t="s">
        <v>73</v>
      </c>
      <c r="F420" s="32" t="str">
        <f>CONCATENATE(D418,D421,E418)</f>
        <v>LucaGiovanniL</v>
      </c>
      <c r="G420" t="str">
        <f>CONCATENATE(D419,D421,E419)</f>
        <v>DobroGiovanniL</v>
      </c>
      <c r="H420" t="str">
        <f>CONCATENATE(D420,D421,E420)</f>
        <v>SizweGiovanniL</v>
      </c>
      <c r="I420" s="7"/>
      <c r="J420" s="7" t="str">
        <f>VLOOKUP(D420,Stats!B:B,1,0)</f>
        <v>Sizwe</v>
      </c>
    </row>
    <row r="421" spans="1:10" x14ac:dyDescent="0.25">
      <c r="A421" s="22"/>
      <c r="B421" s="6" t="str">
        <f>CONCATENATE($D421,((COUNTIFS($D:$D,$D421)-COUNTIF($D$3:$D421,$D421))+1))</f>
        <v>Giovanni15</v>
      </c>
      <c r="C421" s="6">
        <f t="shared" si="23"/>
        <v>45475</v>
      </c>
      <c r="D421" t="s">
        <v>45</v>
      </c>
      <c r="E421" t="s">
        <v>73</v>
      </c>
      <c r="F421" s="32" t="str">
        <f>CONCATENATE(D418,D422,E418)</f>
        <v>LucaPablo PL</v>
      </c>
      <c r="G421" t="str">
        <f>CONCATENATE(D419,D422,E419)</f>
        <v>DobroPablo PL</v>
      </c>
      <c r="H421" t="str">
        <f>CONCATENATE(D420,D422,E420)</f>
        <v>SizwePablo PL</v>
      </c>
      <c r="I421" s="7" t="str">
        <f>CONCATENATE(D421,D422,E421)</f>
        <v>GiovanniPablo PL</v>
      </c>
      <c r="J421" s="7" t="str">
        <f>VLOOKUP(D421,Stats!B:B,1,0)</f>
        <v>Giovanni</v>
      </c>
    </row>
    <row r="422" spans="1:10" x14ac:dyDescent="0.25">
      <c r="A422" s="22"/>
      <c r="B422" s="8" t="str">
        <f>CONCATENATE($D422,((COUNTIFS($D:$D,$D422)-COUNTIF($D$3:$D422,$D422))+1))</f>
        <v>Pablo P4</v>
      </c>
      <c r="C422" s="8">
        <f t="shared" si="23"/>
        <v>45475</v>
      </c>
      <c r="D422" s="2" t="s">
        <v>48</v>
      </c>
      <c r="E422" s="2" t="s">
        <v>73</v>
      </c>
      <c r="F422" s="13"/>
      <c r="G422" s="2"/>
      <c r="H422" s="2"/>
      <c r="I422" s="9"/>
      <c r="J422" s="9" t="str">
        <f>VLOOKUP(D422,Stats!B:B,1,0)</f>
        <v>Pablo P</v>
      </c>
    </row>
    <row r="423" spans="1:10" x14ac:dyDescent="0.25">
      <c r="A423" s="22"/>
      <c r="B423" s="3" t="str">
        <f>CONCATENATE($D423,((COUNTIFS($D:$D,$D423)-COUNTIF($D$3:$D423,$D423))+1))</f>
        <v>Adam19</v>
      </c>
      <c r="C423" s="3">
        <f>+C413+7</f>
        <v>45482</v>
      </c>
      <c r="D423" s="4" t="s">
        <v>53</v>
      </c>
      <c r="E423" s="4" t="s">
        <v>72</v>
      </c>
      <c r="F423" s="32" t="str">
        <f>CONCATENATE(D423,D424,E423)</f>
        <v>AdamCaiqueW</v>
      </c>
      <c r="I423" s="5"/>
      <c r="J423" s="5" t="str">
        <f>VLOOKUP(D423,Stats!B:B,1,0)</f>
        <v>Adam</v>
      </c>
    </row>
    <row r="424" spans="1:10" x14ac:dyDescent="0.25">
      <c r="A424" s="22"/>
      <c r="B424" s="6" t="str">
        <f>CONCATENATE($D424,((COUNTIFS($D:$D,$D424)-COUNTIF($D$3:$D424,$D424))+1))</f>
        <v>Caique1</v>
      </c>
      <c r="C424" s="6">
        <f t="shared" si="23"/>
        <v>45482</v>
      </c>
      <c r="D424" t="s">
        <v>15</v>
      </c>
      <c r="E424" t="s">
        <v>72</v>
      </c>
      <c r="F424" s="32" t="str">
        <f>CONCATENATE(D423,D425,E423)</f>
        <v>AdamAdiW</v>
      </c>
      <c r="G424" t="str">
        <f>CONCATENATE(D424,D425,E424)</f>
        <v>CaiqueAdiW</v>
      </c>
      <c r="I424" s="7"/>
      <c r="J424" s="7" t="str">
        <f>VLOOKUP(D424,Stats!B:B,1,0)</f>
        <v>Caique</v>
      </c>
    </row>
    <row r="425" spans="1:10" x14ac:dyDescent="0.25">
      <c r="A425" s="22"/>
      <c r="B425" s="6" t="str">
        <f>CONCATENATE($D425,((COUNTIFS($D:$D,$D425)-COUNTIF($D$3:$D425,$D425))+1))</f>
        <v>Adi13</v>
      </c>
      <c r="C425" s="6">
        <f t="shared" si="23"/>
        <v>45482</v>
      </c>
      <c r="D425" t="s">
        <v>47</v>
      </c>
      <c r="E425" t="s">
        <v>72</v>
      </c>
      <c r="F425" s="32" t="str">
        <f>CONCATENATE(D423,D426,E423)</f>
        <v>AdamSizweW</v>
      </c>
      <c r="G425" t="str">
        <f>CONCATENATE(D424,D426,E424)</f>
        <v>CaiqueSizweW</v>
      </c>
      <c r="H425" t="str">
        <f>CONCATENATE(D425,D426,E425)</f>
        <v>AdiSizweW</v>
      </c>
      <c r="I425" s="7"/>
      <c r="J425" s="7" t="str">
        <f>VLOOKUP(D425,Stats!B:B,1,0)</f>
        <v>Adi</v>
      </c>
    </row>
    <row r="426" spans="1:10" x14ac:dyDescent="0.25">
      <c r="A426" s="22"/>
      <c r="B426" s="6" t="str">
        <f>CONCATENATE($D426,((COUNTIFS($D:$D,$D426)-COUNTIF($D$3:$D426,$D426))+1))</f>
        <v>Sizwe7</v>
      </c>
      <c r="C426" s="6">
        <f t="shared" si="23"/>
        <v>45482</v>
      </c>
      <c r="D426" t="s">
        <v>44</v>
      </c>
      <c r="E426" t="s">
        <v>72</v>
      </c>
      <c r="F426" s="32" t="str">
        <f>CONCATENATE(D423,D427,E423)</f>
        <v>AdamLucaW</v>
      </c>
      <c r="G426" t="str">
        <f>CONCATENATE(D424,D427,E424)</f>
        <v>CaiqueLucaW</v>
      </c>
      <c r="H426" t="str">
        <f>CONCATENATE(D425,D427,E425)</f>
        <v>AdiLucaW</v>
      </c>
      <c r="I426" s="7" t="str">
        <f>CONCATENATE(D426,D427,E426)</f>
        <v>SizweLucaW</v>
      </c>
      <c r="J426" s="7" t="str">
        <f>VLOOKUP(D426,Stats!B:B,1,0)</f>
        <v>Sizwe</v>
      </c>
    </row>
    <row r="427" spans="1:10" x14ac:dyDescent="0.25">
      <c r="A427" s="22"/>
      <c r="B427" s="6" t="str">
        <f>CONCATENATE($D427,((COUNTIFS($D:$D,$D427)-COUNTIF($D$3:$D427,$D427))+1))</f>
        <v>Luca15</v>
      </c>
      <c r="C427" s="6">
        <f t="shared" si="23"/>
        <v>45482</v>
      </c>
      <c r="D427" t="s">
        <v>46</v>
      </c>
      <c r="E427" t="s">
        <v>72</v>
      </c>
      <c r="F427" s="32"/>
      <c r="I427" s="7"/>
      <c r="J427" s="7" t="str">
        <f>VLOOKUP(D427,Stats!B:B,1,0)</f>
        <v>Luca</v>
      </c>
    </row>
    <row r="428" spans="1:10" x14ac:dyDescent="0.25">
      <c r="A428" s="22"/>
      <c r="B428" s="6" t="str">
        <f>CONCATENATE($D428,((COUNTIFS($D:$D,$D428)-COUNTIF($D$3:$D428,$D428))+1))</f>
        <v>Miguel3</v>
      </c>
      <c r="C428" s="6">
        <f t="shared" si="23"/>
        <v>45482</v>
      </c>
      <c r="D428" t="s">
        <v>22</v>
      </c>
      <c r="E428" t="s">
        <v>73</v>
      </c>
      <c r="F428" s="32" t="str">
        <f>CONCATENATE(D428,D429,E428)</f>
        <v>MiguelSanderoL</v>
      </c>
      <c r="I428" s="7"/>
      <c r="J428" s="7" t="str">
        <f>VLOOKUP(D428,Stats!B:B,1,0)</f>
        <v>Miguel</v>
      </c>
    </row>
    <row r="429" spans="1:10" x14ac:dyDescent="0.25">
      <c r="A429" s="22"/>
      <c r="B429" s="6" t="str">
        <f>CONCATENATE($D429,((COUNTIFS($D:$D,$D429)-COUNTIF($D$3:$D429,$D429))+1))</f>
        <v>Sandero9</v>
      </c>
      <c r="C429" s="6">
        <f t="shared" si="23"/>
        <v>45482</v>
      </c>
      <c r="D429" t="s">
        <v>57</v>
      </c>
      <c r="E429" t="s">
        <v>73</v>
      </c>
      <c r="F429" s="32" t="str">
        <f>CONCATENATE(D428,D430,E428)</f>
        <v>MiguelDobroL</v>
      </c>
      <c r="G429" t="str">
        <f>CONCATENATE(D429,D430,E429)</f>
        <v>SanderoDobroL</v>
      </c>
      <c r="I429" s="7"/>
      <c r="J429" s="7" t="str">
        <f>VLOOKUP(D429,Stats!B:B,1,0)</f>
        <v>Sandero</v>
      </c>
    </row>
    <row r="430" spans="1:10" x14ac:dyDescent="0.25">
      <c r="A430" s="22"/>
      <c r="B430" s="6" t="str">
        <f>CONCATENATE($D430,((COUNTIFS($D:$D,$D430)-COUNTIF($D$3:$D430,$D430))+1))</f>
        <v>Dobro17</v>
      </c>
      <c r="C430" s="6">
        <f t="shared" si="23"/>
        <v>45482</v>
      </c>
      <c r="D430" t="s">
        <v>35</v>
      </c>
      <c r="E430" t="s">
        <v>73</v>
      </c>
      <c r="F430" s="32" t="str">
        <f>CONCATENATE(D428,D431,E428)</f>
        <v>MiguelVinnyL</v>
      </c>
      <c r="G430" t="str">
        <f>CONCATENATE(D429,D431,E429)</f>
        <v>SanderoVinnyL</v>
      </c>
      <c r="H430" t="str">
        <f>CONCATENATE(D430,D431,E430)</f>
        <v>DobroVinnyL</v>
      </c>
      <c r="I430" s="7"/>
      <c r="J430" s="7" t="str">
        <f>VLOOKUP(D430,Stats!B:B,1,0)</f>
        <v>Dobro</v>
      </c>
    </row>
    <row r="431" spans="1:10" x14ac:dyDescent="0.25">
      <c r="A431" s="22"/>
      <c r="B431" s="6" t="str">
        <f>CONCATENATE($D431,((COUNTIFS($D:$D,$D431)-COUNTIF($D$3:$D431,$D431))+1))</f>
        <v>Vinny4</v>
      </c>
      <c r="C431" s="6">
        <f t="shared" si="23"/>
        <v>45482</v>
      </c>
      <c r="D431" t="s">
        <v>27</v>
      </c>
      <c r="E431" t="s">
        <v>73</v>
      </c>
      <c r="F431" s="32" t="str">
        <f>CONCATENATE(D428,D432,E428)</f>
        <v>MiguelMaartenL</v>
      </c>
      <c r="G431" t="str">
        <f>CONCATENATE(D429,D432,E429)</f>
        <v>SanderoMaartenL</v>
      </c>
      <c r="H431" t="str">
        <f>CONCATENATE(D430,D432,E430)</f>
        <v>DobroMaartenL</v>
      </c>
      <c r="I431" s="7" t="str">
        <f>CONCATENATE(D431,D432,E431)</f>
        <v>VinnyMaartenL</v>
      </c>
      <c r="J431" s="7" t="str">
        <f>VLOOKUP(D431,Stats!B:B,1,0)</f>
        <v>Vinny</v>
      </c>
    </row>
    <row r="432" spans="1:10" x14ac:dyDescent="0.25">
      <c r="A432" s="22"/>
      <c r="B432" s="8" t="str">
        <f>CONCATENATE($D432,((COUNTIFS($D:$D,$D432)-COUNTIF($D$3:$D432,$D432))+1))</f>
        <v>Maarten10</v>
      </c>
      <c r="C432" s="8">
        <f t="shared" si="23"/>
        <v>45482</v>
      </c>
      <c r="D432" s="2" t="s">
        <v>58</v>
      </c>
      <c r="E432" s="2" t="s">
        <v>73</v>
      </c>
      <c r="F432" s="13"/>
      <c r="G432" s="2"/>
      <c r="H432" s="2"/>
      <c r="I432" s="9"/>
      <c r="J432" s="9" t="str">
        <f>VLOOKUP(D432,Stats!B:B,1,0)</f>
        <v>Maarten</v>
      </c>
    </row>
    <row r="433" spans="1:10" x14ac:dyDescent="0.25">
      <c r="A433" s="22"/>
      <c r="B433" s="3" t="str">
        <f>CONCATENATE($D433,((COUNTIFS($D:$D,$D433)-COUNTIF($D$3:$D433,$D433))+1))</f>
        <v>Luca14</v>
      </c>
      <c r="C433" s="3">
        <f>+C423+2</f>
        <v>45484</v>
      </c>
      <c r="D433" s="4" t="s">
        <v>46</v>
      </c>
      <c r="E433" s="4" t="s">
        <v>72</v>
      </c>
      <c r="F433" s="32" t="str">
        <f>CONCATENATE(D433,D434,E433)</f>
        <v>LucaMiguelW</v>
      </c>
      <c r="I433" s="5"/>
      <c r="J433" s="5" t="str">
        <f>VLOOKUP(D433,Stats!B:B,1,0)</f>
        <v>Luca</v>
      </c>
    </row>
    <row r="434" spans="1:10" x14ac:dyDescent="0.25">
      <c r="A434" s="22"/>
      <c r="B434" s="6" t="str">
        <f>CONCATENATE($D434,((COUNTIFS($D:$D,$D434)-COUNTIF($D$3:$D434,$D434))+1))</f>
        <v>Miguel2</v>
      </c>
      <c r="C434" s="6">
        <f t="shared" si="23"/>
        <v>45484</v>
      </c>
      <c r="D434" t="s">
        <v>22</v>
      </c>
      <c r="E434" t="s">
        <v>72</v>
      </c>
      <c r="F434" s="32" t="str">
        <f>CONCATENATE(D433,D435,E433)</f>
        <v>LucaMaartenW</v>
      </c>
      <c r="G434" t="str">
        <f>CONCATENATE(D434,D435,E434)</f>
        <v>MiguelMaartenW</v>
      </c>
      <c r="I434" s="7"/>
      <c r="J434" s="7" t="str">
        <f>VLOOKUP(D434,Stats!B:B,1,0)</f>
        <v>Miguel</v>
      </c>
    </row>
    <row r="435" spans="1:10" x14ac:dyDescent="0.25">
      <c r="A435" s="22"/>
      <c r="B435" s="6" t="str">
        <f>CONCATENATE($D435,((COUNTIFS($D:$D,$D435)-COUNTIF($D$3:$D435,$D435))+1))</f>
        <v>Maarten9</v>
      </c>
      <c r="C435" s="6">
        <f t="shared" si="23"/>
        <v>45484</v>
      </c>
      <c r="D435" t="s">
        <v>58</v>
      </c>
      <c r="E435" t="s">
        <v>72</v>
      </c>
      <c r="F435" s="32" t="str">
        <f>CONCATENATE(D433,D436,E433)</f>
        <v>LucaMohsenW</v>
      </c>
      <c r="G435" t="str">
        <f>CONCATENATE(D434,D436,E434)</f>
        <v>MiguelMohsenW</v>
      </c>
      <c r="H435" t="str">
        <f>CONCATENATE(D435,D436,E435)</f>
        <v>MaartenMohsenW</v>
      </c>
      <c r="I435" s="7"/>
      <c r="J435" s="7" t="str">
        <f>VLOOKUP(D435,Stats!B:B,1,0)</f>
        <v>Maarten</v>
      </c>
    </row>
    <row r="436" spans="1:10" x14ac:dyDescent="0.25">
      <c r="A436" s="22"/>
      <c r="B436" s="6" t="str">
        <f>CONCATENATE($D436,((COUNTIFS($D:$D,$D436)-COUNTIF($D$3:$D436,$D436))+1))</f>
        <v>Mohsen1</v>
      </c>
      <c r="C436" s="6">
        <f t="shared" si="23"/>
        <v>45484</v>
      </c>
      <c r="D436" t="s">
        <v>140</v>
      </c>
      <c r="E436" t="s">
        <v>72</v>
      </c>
      <c r="F436" s="32"/>
      <c r="I436" s="7"/>
      <c r="J436" s="7" t="str">
        <f>VLOOKUP(D436,Stats!B:B,1,0)</f>
        <v>Mohsen</v>
      </c>
    </row>
    <row r="437" spans="1:10" x14ac:dyDescent="0.25">
      <c r="A437" s="22"/>
      <c r="B437" s="6" t="str">
        <f>CONCATENATE($D437,((COUNTIFS($D:$D,$D437)-COUNTIF($D$3:$D437,$D437))+1))</f>
        <v>Adi12</v>
      </c>
      <c r="C437" s="6">
        <f>C436</f>
        <v>45484</v>
      </c>
      <c r="D437" t="s">
        <v>47</v>
      </c>
      <c r="E437" t="s">
        <v>73</v>
      </c>
      <c r="F437" s="32" t="str">
        <f>CONCATENATE(D437,D438,E437)</f>
        <v>AdiGiosafatL</v>
      </c>
      <c r="I437" s="7"/>
      <c r="J437" s="7" t="str">
        <f>VLOOKUP(D437,Stats!B:B,1,0)</f>
        <v>Adi</v>
      </c>
    </row>
    <row r="438" spans="1:10" x14ac:dyDescent="0.25">
      <c r="A438" s="22"/>
      <c r="B438" s="6" t="str">
        <f>CONCATENATE($D438,((COUNTIFS($D:$D,$D438)-COUNTIF($D$3:$D438,$D438))+1))</f>
        <v>Giosafat1</v>
      </c>
      <c r="C438" s="6">
        <f t="shared" si="23"/>
        <v>45484</v>
      </c>
      <c r="D438" t="s">
        <v>56</v>
      </c>
      <c r="E438" t="s">
        <v>73</v>
      </c>
      <c r="F438" s="32" t="str">
        <f>CONCATENATE(D437,D439,E437)</f>
        <v>AdiWouterL</v>
      </c>
      <c r="G438" t="str">
        <f>CONCATENATE(D438,D439,E438)</f>
        <v>GiosafatWouterL</v>
      </c>
      <c r="I438" s="7"/>
      <c r="J438" s="7" t="str">
        <f>VLOOKUP(D438,Stats!B:B,1,0)</f>
        <v>Giosafat</v>
      </c>
    </row>
    <row r="439" spans="1:10" x14ac:dyDescent="0.25">
      <c r="A439" s="22"/>
      <c r="B439" s="6" t="str">
        <f>CONCATENATE($D439,((COUNTIFS($D:$D,$D439)-COUNTIF($D$3:$D439,$D439))+1))</f>
        <v>Wouter9</v>
      </c>
      <c r="C439" s="6">
        <f t="shared" si="23"/>
        <v>45484</v>
      </c>
      <c r="D439" t="s">
        <v>36</v>
      </c>
      <c r="E439" t="s">
        <v>73</v>
      </c>
      <c r="F439" s="32" t="str">
        <f>CONCATENATE(D437,D440,E437)</f>
        <v>AdiVinnyL</v>
      </c>
      <c r="G439" t="str">
        <f>CONCATENATE(D438,D440,E438)</f>
        <v>GiosafatVinnyL</v>
      </c>
      <c r="H439" t="str">
        <f>CONCATENATE(D439,D440,E439)</f>
        <v>WouterVinnyL</v>
      </c>
      <c r="I439" s="7"/>
      <c r="J439" s="7" t="str">
        <f>VLOOKUP(D439,Stats!B:B,1,0)</f>
        <v>Wouter</v>
      </c>
    </row>
    <row r="440" spans="1:10" x14ac:dyDescent="0.25">
      <c r="A440" s="22"/>
      <c r="B440" s="109" t="str">
        <f>CONCATENATE($D440,((COUNTIFS($D:$D,$D440)-COUNTIF($D$3:$D440,$D440))+1))</f>
        <v>Vinny3</v>
      </c>
      <c r="C440" s="109">
        <f t="shared" si="23"/>
        <v>45484</v>
      </c>
      <c r="D440" s="110" t="s">
        <v>27</v>
      </c>
      <c r="E440" s="110" t="s">
        <v>73</v>
      </c>
      <c r="F440" s="71"/>
      <c r="G440" s="110"/>
      <c r="H440" s="110"/>
      <c r="I440" s="111"/>
      <c r="J440" s="111" t="str">
        <f>VLOOKUP(D440,Stats!B:B,1,0)</f>
        <v>Vinny</v>
      </c>
    </row>
    <row r="441" spans="1:10" x14ac:dyDescent="0.25">
      <c r="A441" s="22"/>
      <c r="B441" s="3" t="str">
        <f>CONCATENATE($D441,((COUNTIFS($D:$D,$D441)-COUNTIF($D$3:$D441,$D441))+1))</f>
        <v>Adel1</v>
      </c>
      <c r="C441" s="3">
        <v>45505</v>
      </c>
      <c r="D441" s="4" t="s">
        <v>17</v>
      </c>
      <c r="E441" s="4" t="s">
        <v>72</v>
      </c>
      <c r="F441" s="32" t="str">
        <f>CONCATENATE(D441,D442,E441)</f>
        <v>AdelAdiW</v>
      </c>
      <c r="I441" s="5"/>
      <c r="J441" s="5" t="str">
        <f>VLOOKUP(D441,Stats!B:B,1,0)</f>
        <v>Adel</v>
      </c>
    </row>
    <row r="442" spans="1:10" x14ac:dyDescent="0.25">
      <c r="A442" s="22"/>
      <c r="B442" s="6" t="str">
        <f>CONCATENATE($D442,((COUNTIFS($D:$D,$D442)-COUNTIF($D$3:$D442,$D442))+1))</f>
        <v>Adi11</v>
      </c>
      <c r="C442" s="6">
        <f t="shared" si="23"/>
        <v>45505</v>
      </c>
      <c r="D442" t="s">
        <v>47</v>
      </c>
      <c r="E442" t="s">
        <v>72</v>
      </c>
      <c r="F442" s="32" t="str">
        <f>CONCATENATE(D441,D443,E441)</f>
        <v>AdelBishoyW</v>
      </c>
      <c r="G442" t="str">
        <f>CONCATENATE(D442,D443,E442)</f>
        <v>AdiBishoyW</v>
      </c>
      <c r="I442" s="7"/>
      <c r="J442" s="7" t="str">
        <f>VLOOKUP(D442,Stats!B:B,1,0)</f>
        <v>Adi</v>
      </c>
    </row>
    <row r="443" spans="1:10" x14ac:dyDescent="0.25">
      <c r="A443" s="22"/>
      <c r="B443" s="6" t="str">
        <f>CONCATENATE($D443,((COUNTIFS($D:$D,$D443)-COUNTIF($D$3:$D443,$D443))+1))</f>
        <v>Bishoy16</v>
      </c>
      <c r="C443" s="6">
        <f t="shared" si="23"/>
        <v>45505</v>
      </c>
      <c r="D443" t="s">
        <v>61</v>
      </c>
      <c r="E443" t="s">
        <v>72</v>
      </c>
      <c r="F443" s="32" t="str">
        <f>CONCATENATE(D441,D444,E441)</f>
        <v>AdelNimaW</v>
      </c>
      <c r="G443" t="str">
        <f>CONCATENATE(D442,D444,E442)</f>
        <v>AdiNimaW</v>
      </c>
      <c r="H443" t="str">
        <f>CONCATENATE(D443,D444,E443)</f>
        <v>BishoyNimaW</v>
      </c>
      <c r="I443" s="7"/>
      <c r="J443" s="7" t="str">
        <f>VLOOKUP(D443,Stats!B:B,1,0)</f>
        <v>Bishoy</v>
      </c>
    </row>
    <row r="444" spans="1:10" x14ac:dyDescent="0.25">
      <c r="A444" s="22"/>
      <c r="B444" s="6" t="str">
        <f>CONCATENATE($D444,((COUNTIFS($D:$D,$D444)-COUNTIF($D$3:$D444,$D444))+1))</f>
        <v>Nima2</v>
      </c>
      <c r="C444" s="6">
        <f t="shared" si="23"/>
        <v>45505</v>
      </c>
      <c r="D444" t="s">
        <v>43</v>
      </c>
      <c r="E444" t="s">
        <v>72</v>
      </c>
      <c r="F444" s="32" t="str">
        <f>CONCATENATE(D441,D445,E441)</f>
        <v>AdelVinnyW</v>
      </c>
      <c r="G444" t="str">
        <f>CONCATENATE(D442,D445,E442)</f>
        <v>AdiVinnyW</v>
      </c>
      <c r="H444" t="str">
        <f>CONCATENATE(D443,D445,E443)</f>
        <v>BishoyVinnyW</v>
      </c>
      <c r="I444" s="7" t="str">
        <f>CONCATENATE(D444,D445,E444)</f>
        <v>NimaVinnyW</v>
      </c>
      <c r="J444" s="7" t="str">
        <f>VLOOKUP(D444,Stats!B:B,1,0)</f>
        <v>Nima</v>
      </c>
    </row>
    <row r="445" spans="1:10" x14ac:dyDescent="0.25">
      <c r="A445" s="22"/>
      <c r="B445" s="6" t="str">
        <f>CONCATENATE($D445,((COUNTIFS($D:$D,$D445)-COUNTIF($D$3:$D445,$D445))+1))</f>
        <v>Vinny2</v>
      </c>
      <c r="C445" s="6">
        <f t="shared" si="23"/>
        <v>45505</v>
      </c>
      <c r="D445" t="s">
        <v>27</v>
      </c>
      <c r="E445" t="s">
        <v>72</v>
      </c>
      <c r="F445" s="32"/>
      <c r="I445" s="7"/>
      <c r="J445" s="7" t="str">
        <f>VLOOKUP(D445,Stats!B:B,1,0)</f>
        <v>Vinny</v>
      </c>
    </row>
    <row r="446" spans="1:10" x14ac:dyDescent="0.25">
      <c r="A446" s="22"/>
      <c r="B446" s="6" t="str">
        <f>CONCATENATE($D446,((COUNTIFS($D:$D,$D446)-COUNTIF($D$3:$D446,$D446))+1))</f>
        <v>Dmytro10</v>
      </c>
      <c r="C446" s="6">
        <f t="shared" si="23"/>
        <v>45505</v>
      </c>
      <c r="D446" t="s">
        <v>28</v>
      </c>
      <c r="E446" t="s">
        <v>73</v>
      </c>
      <c r="F446" s="32" t="str">
        <f>CONCATENATE(D446,D447,E446)</f>
        <v>DmytroDobroL</v>
      </c>
      <c r="I446" s="7"/>
      <c r="J446" s="7" t="str">
        <f>VLOOKUP(D446,Stats!B:B,1,0)</f>
        <v>Dmytro</v>
      </c>
    </row>
    <row r="447" spans="1:10" x14ac:dyDescent="0.25">
      <c r="A447" s="22"/>
      <c r="B447" s="6" t="str">
        <f>CONCATENATE($D447,((COUNTIFS($D:$D,$D447)-COUNTIF($D$3:$D447,$D447))+1))</f>
        <v>Dobro16</v>
      </c>
      <c r="C447" s="6">
        <f t="shared" si="23"/>
        <v>45505</v>
      </c>
      <c r="D447" t="s">
        <v>35</v>
      </c>
      <c r="E447" t="s">
        <v>73</v>
      </c>
      <c r="F447" s="32" t="str">
        <f>CONCATENATE(D446,D448,E446)</f>
        <v>DmytroGiovanniL</v>
      </c>
      <c r="G447" t="str">
        <f>CONCATENATE(D447,D448,E447)</f>
        <v>DobroGiovanniL</v>
      </c>
      <c r="I447" s="7"/>
      <c r="J447" s="7" t="str">
        <f>VLOOKUP(D447,Stats!B:B,1,0)</f>
        <v>Dobro</v>
      </c>
    </row>
    <row r="448" spans="1:10" x14ac:dyDescent="0.25">
      <c r="A448" s="22"/>
      <c r="B448" s="6" t="str">
        <f>CONCATENATE($D448,((COUNTIFS($D:$D,$D448)-COUNTIF($D$3:$D448,$D448))+1))</f>
        <v>Giovanni14</v>
      </c>
      <c r="C448" s="6">
        <f t="shared" si="23"/>
        <v>45505</v>
      </c>
      <c r="D448" t="s">
        <v>45</v>
      </c>
      <c r="E448" t="s">
        <v>73</v>
      </c>
      <c r="F448" s="32" t="str">
        <f>CONCATENATE(D446,D449,E446)</f>
        <v>DmytroMaartenL</v>
      </c>
      <c r="G448" t="str">
        <f>CONCATENATE(D447,D449,E447)</f>
        <v>DobroMaartenL</v>
      </c>
      <c r="H448" t="str">
        <f>CONCATENATE(D448,D449,E448)</f>
        <v>GiovanniMaartenL</v>
      </c>
      <c r="I448" s="7"/>
      <c r="J448" s="7" t="str">
        <f>VLOOKUP(D448,Stats!B:B,1,0)</f>
        <v>Giovanni</v>
      </c>
    </row>
    <row r="449" spans="1:10" x14ac:dyDescent="0.25">
      <c r="A449" s="22"/>
      <c r="B449" s="6" t="str">
        <f>CONCATENATE($D449,((COUNTIFS($D:$D,$D449)-COUNTIF($D$3:$D449,$D449))+1))</f>
        <v>Maarten8</v>
      </c>
      <c r="C449" s="6">
        <f t="shared" si="23"/>
        <v>45505</v>
      </c>
      <c r="D449" t="s">
        <v>58</v>
      </c>
      <c r="E449" t="s">
        <v>73</v>
      </c>
      <c r="F449" s="32" t="str">
        <f>CONCATENATE(D446,D450,E446)</f>
        <v>DmytroRezaL</v>
      </c>
      <c r="G449" t="str">
        <f>CONCATENATE(D447,D450,E447)</f>
        <v>DobroRezaL</v>
      </c>
      <c r="H449" t="str">
        <f>CONCATENATE(D448,D450,E448)</f>
        <v>GiovanniRezaL</v>
      </c>
      <c r="I449" s="7" t="str">
        <f>CONCATENATE(D449,D450,E449)</f>
        <v>MaartenRezaL</v>
      </c>
      <c r="J449" s="7" t="str">
        <f>VLOOKUP(D449,Stats!B:B,1,0)</f>
        <v>Maarten</v>
      </c>
    </row>
    <row r="450" spans="1:10" x14ac:dyDescent="0.25">
      <c r="A450" s="22"/>
      <c r="B450" s="8" t="str">
        <f>CONCATENATE($D450,((COUNTIFS($D:$D,$D450)-COUNTIF($D$3:$D450,$D450))+1))</f>
        <v>Reza9</v>
      </c>
      <c r="C450" s="8">
        <f t="shared" si="23"/>
        <v>45505</v>
      </c>
      <c r="D450" s="2" t="s">
        <v>32</v>
      </c>
      <c r="E450" s="2" t="s">
        <v>73</v>
      </c>
      <c r="F450" s="13"/>
      <c r="G450" s="2"/>
      <c r="H450" s="2"/>
      <c r="I450" s="9"/>
      <c r="J450" s="9" t="str">
        <f>VLOOKUP(D450,Stats!B:B,1,0)</f>
        <v>Reza</v>
      </c>
    </row>
    <row r="451" spans="1:10" x14ac:dyDescent="0.25">
      <c r="A451" s="22"/>
      <c r="B451" s="3" t="str">
        <f>CONCATENATE($D451,((COUNTIFS($D:$D,$D451)-COUNTIF($D$3:$D451,$D451))+1))</f>
        <v>Adam18</v>
      </c>
      <c r="C451" s="3">
        <f>+C441+5</f>
        <v>45510</v>
      </c>
      <c r="D451" s="4" t="s">
        <v>53</v>
      </c>
      <c r="E451" s="4" t="s">
        <v>72</v>
      </c>
      <c r="F451" s="32" t="str">
        <f>CONCATENATE(D451,D452,E451)</f>
        <v>AdamAdiW</v>
      </c>
      <c r="I451" s="5"/>
      <c r="J451" s="5" t="str">
        <f>VLOOKUP(D451,Stats!B:B,1,0)</f>
        <v>Adam</v>
      </c>
    </row>
    <row r="452" spans="1:10" x14ac:dyDescent="0.25">
      <c r="A452" s="22"/>
      <c r="B452" s="6" t="str">
        <f>CONCATENATE($D452,((COUNTIFS($D:$D,$D452)-COUNTIF($D$3:$D452,$D452))+1))</f>
        <v>Adi10</v>
      </c>
      <c r="C452" s="6">
        <f t="shared" ref="C452:C460" si="24">C451</f>
        <v>45510</v>
      </c>
      <c r="D452" t="s">
        <v>47</v>
      </c>
      <c r="E452" t="s">
        <v>72</v>
      </c>
      <c r="F452" s="32" t="str">
        <f>CONCATENATE(D451,D453,E451)</f>
        <v>AdamBishoyW</v>
      </c>
      <c r="G452" t="str">
        <f>CONCATENATE(D452,D453,E452)</f>
        <v>AdiBishoyW</v>
      </c>
      <c r="I452" s="7"/>
      <c r="J452" s="7" t="str">
        <f>VLOOKUP(D452,Stats!B:B,1,0)</f>
        <v>Adi</v>
      </c>
    </row>
    <row r="453" spans="1:10" x14ac:dyDescent="0.25">
      <c r="A453" s="22"/>
      <c r="B453" s="6" t="str">
        <f>CONCATENATE($D453,((COUNTIFS($D:$D,$D453)-COUNTIF($D$3:$D453,$D453))+1))</f>
        <v>Bishoy15</v>
      </c>
      <c r="C453" s="6">
        <f t="shared" si="24"/>
        <v>45510</v>
      </c>
      <c r="D453" t="s">
        <v>61</v>
      </c>
      <c r="E453" t="s">
        <v>72</v>
      </c>
      <c r="F453" s="32" t="str">
        <f>CONCATENATE(D451,D454,E451)</f>
        <v>AdamRezaW</v>
      </c>
      <c r="G453" t="str">
        <f>CONCATENATE(D452,D454,E452)</f>
        <v>AdiRezaW</v>
      </c>
      <c r="H453" t="str">
        <f>CONCATENATE(D453,D454,E453)</f>
        <v>BishoyRezaW</v>
      </c>
      <c r="I453" s="7"/>
      <c r="J453" s="7" t="str">
        <f>VLOOKUP(D453,Stats!B:B,1,0)</f>
        <v>Bishoy</v>
      </c>
    </row>
    <row r="454" spans="1:10" x14ac:dyDescent="0.25">
      <c r="A454" s="22"/>
      <c r="B454" s="6" t="str">
        <f>CONCATENATE($D454,((COUNTIFS($D:$D,$D454)-COUNTIF($D$3:$D454,$D454))+1))</f>
        <v>Reza8</v>
      </c>
      <c r="C454" s="6">
        <f t="shared" si="24"/>
        <v>45510</v>
      </c>
      <c r="D454" t="s">
        <v>32</v>
      </c>
      <c r="E454" t="s">
        <v>72</v>
      </c>
      <c r="F454" s="32" t="str">
        <f>CONCATENATE(D451,D455,E451)</f>
        <v>AdamMiguelW</v>
      </c>
      <c r="G454" t="str">
        <f>CONCATENATE(D452,D455,E452)</f>
        <v>AdiMiguelW</v>
      </c>
      <c r="H454" t="str">
        <f>CONCATENATE(D453,D455,E453)</f>
        <v>BishoyMiguelW</v>
      </c>
      <c r="I454" s="7" t="str">
        <f>CONCATENATE(D454,D455,E454)</f>
        <v>RezaMiguelW</v>
      </c>
      <c r="J454" s="7" t="str">
        <f>VLOOKUP(D454,Stats!B:B,1,0)</f>
        <v>Reza</v>
      </c>
    </row>
    <row r="455" spans="1:10" x14ac:dyDescent="0.25">
      <c r="A455" s="22"/>
      <c r="B455" s="6" t="str">
        <f>CONCATENATE($D455,((COUNTIFS($D:$D,$D455)-COUNTIF($D$3:$D455,$D455))+1))</f>
        <v>Miguel1</v>
      </c>
      <c r="C455" s="6">
        <f t="shared" si="24"/>
        <v>45510</v>
      </c>
      <c r="D455" t="s">
        <v>22</v>
      </c>
      <c r="E455" t="s">
        <v>72</v>
      </c>
      <c r="F455" s="32"/>
      <c r="I455" s="7"/>
      <c r="J455" s="7" t="str">
        <f>VLOOKUP(D455,Stats!B:B,1,0)</f>
        <v>Miguel</v>
      </c>
    </row>
    <row r="456" spans="1:10" x14ac:dyDescent="0.25">
      <c r="A456" s="22"/>
      <c r="B456" s="6" t="str">
        <f>CONCATENATE($D456,((COUNTIFS($D:$D,$D456)-COUNTIF($D$3:$D456,$D456))+1))</f>
        <v>Dmytro9</v>
      </c>
      <c r="C456" s="6">
        <f t="shared" si="24"/>
        <v>45510</v>
      </c>
      <c r="D456" t="s">
        <v>28</v>
      </c>
      <c r="E456" t="s">
        <v>73</v>
      </c>
      <c r="F456" s="32" t="str">
        <f>CONCATENATE(D456,D457,E456)</f>
        <v>DmytroMaartenL</v>
      </c>
      <c r="I456" s="7"/>
      <c r="J456" s="7" t="str">
        <f>VLOOKUP(D456,Stats!B:B,1,0)</f>
        <v>Dmytro</v>
      </c>
    </row>
    <row r="457" spans="1:10" x14ac:dyDescent="0.25">
      <c r="A457" s="22"/>
      <c r="B457" s="6" t="str">
        <f>CONCATENATE($D457,((COUNTIFS($D:$D,$D457)-COUNTIF($D$3:$D457,$D457))+1))</f>
        <v>Maarten7</v>
      </c>
      <c r="C457" s="6">
        <f t="shared" si="24"/>
        <v>45510</v>
      </c>
      <c r="D457" t="s">
        <v>58</v>
      </c>
      <c r="E457" t="s">
        <v>73</v>
      </c>
      <c r="F457" s="32" t="str">
        <f>CONCATENATE(D456,D458,E456)</f>
        <v>DmytroSanderoL</v>
      </c>
      <c r="G457" t="str">
        <f>CONCATENATE(D457,D458,E457)</f>
        <v>MaartenSanderoL</v>
      </c>
      <c r="I457" s="7"/>
      <c r="J457" s="7" t="str">
        <f>VLOOKUP(D457,Stats!B:B,1,0)</f>
        <v>Maarten</v>
      </c>
    </row>
    <row r="458" spans="1:10" x14ac:dyDescent="0.25">
      <c r="A458" s="22"/>
      <c r="B458" s="6" t="str">
        <f>CONCATENATE($D458,((COUNTIFS($D:$D,$D458)-COUNTIF($D$3:$D458,$D458))+1))</f>
        <v>Sandero8</v>
      </c>
      <c r="C458" s="6">
        <f t="shared" si="24"/>
        <v>45510</v>
      </c>
      <c r="D458" t="s">
        <v>57</v>
      </c>
      <c r="E458" t="s">
        <v>73</v>
      </c>
      <c r="F458" s="32" t="str">
        <f>CONCATENATE(D456,D459,E456)</f>
        <v>DmytroAkbarL</v>
      </c>
      <c r="G458" t="str">
        <f>CONCATENATE(D457,D459,E457)</f>
        <v>MaartenAkbarL</v>
      </c>
      <c r="H458" t="str">
        <f>CONCATENATE(D458,D459,E458)</f>
        <v>SanderoAkbarL</v>
      </c>
      <c r="I458" s="7"/>
      <c r="J458" s="7" t="str">
        <f>VLOOKUP(D458,Stats!B:B,1,0)</f>
        <v>Sandero</v>
      </c>
    </row>
    <row r="459" spans="1:10" x14ac:dyDescent="0.25">
      <c r="A459" s="22"/>
      <c r="B459" s="6" t="str">
        <f>CONCATENATE($D459,((COUNTIFS($D:$D,$D459)-COUNTIF($D$3:$D459,$D459))+1))</f>
        <v>Akbar11</v>
      </c>
      <c r="C459" s="6">
        <f t="shared" si="24"/>
        <v>45510</v>
      </c>
      <c r="D459" t="s">
        <v>54</v>
      </c>
      <c r="E459" t="s">
        <v>73</v>
      </c>
      <c r="F459" s="32" t="str">
        <f>CONCATENATE(D456,D460,E456)</f>
        <v>DmytroFiratL</v>
      </c>
      <c r="G459" t="str">
        <f>CONCATENATE(D457,D460,E457)</f>
        <v>MaartenFiratL</v>
      </c>
      <c r="H459" t="str">
        <f>CONCATENATE(D458,D460,E458)</f>
        <v>SanderoFiratL</v>
      </c>
      <c r="I459" s="7" t="str">
        <f>CONCATENATE(D459,D460,E459)</f>
        <v>AkbarFiratL</v>
      </c>
      <c r="J459" s="7" t="str">
        <f>VLOOKUP(D459,Stats!B:B,1,0)</f>
        <v>Akbar</v>
      </c>
    </row>
    <row r="460" spans="1:10" x14ac:dyDescent="0.25">
      <c r="A460" s="22"/>
      <c r="B460" s="8" t="str">
        <f>CONCATENATE($D460,((COUNTIFS($D:$D,$D460)-COUNTIF($D$3:$D460,$D460))+1))</f>
        <v>Firat7</v>
      </c>
      <c r="C460" s="8">
        <f t="shared" si="24"/>
        <v>45510</v>
      </c>
      <c r="D460" s="2" t="s">
        <v>33</v>
      </c>
      <c r="E460" s="2" t="s">
        <v>73</v>
      </c>
      <c r="F460" s="13"/>
      <c r="G460" s="2"/>
      <c r="H460" s="2"/>
      <c r="I460" s="9"/>
      <c r="J460" s="9" t="str">
        <f>VLOOKUP(D460,Stats!B:B,1,0)</f>
        <v>Firat</v>
      </c>
    </row>
    <row r="461" spans="1:10" x14ac:dyDescent="0.25">
      <c r="A461" s="22"/>
      <c r="B461" s="3" t="str">
        <f>CONCATENATE($D461,((COUNTIFS($D:$D,$D461)-COUNTIF($D$3:$D461,$D461))+1))</f>
        <v>Adam17</v>
      </c>
      <c r="C461" s="3">
        <f>+C451+5</f>
        <v>45515</v>
      </c>
      <c r="D461" s="4" t="s">
        <v>53</v>
      </c>
      <c r="E461" s="4" t="s">
        <v>72</v>
      </c>
      <c r="F461" s="32" t="str">
        <f>CONCATENATE(D461,D462,E461)</f>
        <v>AdamAdiW</v>
      </c>
      <c r="I461" s="5"/>
      <c r="J461" s="5" t="str">
        <f>VLOOKUP(D461,Stats!B:B,1,0)</f>
        <v>Adam</v>
      </c>
    </row>
    <row r="462" spans="1:10" x14ac:dyDescent="0.25">
      <c r="A462" s="22"/>
      <c r="B462" s="6" t="str">
        <f>CONCATENATE($D462,((COUNTIFS($D:$D,$D462)-COUNTIF($D$3:$D462,$D462))+1))</f>
        <v>Adi9</v>
      </c>
      <c r="C462" s="6">
        <f t="shared" ref="C462:C525" si="25">C461</f>
        <v>45515</v>
      </c>
      <c r="D462" t="s">
        <v>47</v>
      </c>
      <c r="E462" t="s">
        <v>72</v>
      </c>
      <c r="F462" s="32" t="str">
        <f>CONCATENATE(D461,D463,E461)</f>
        <v>AdamDobroW</v>
      </c>
      <c r="G462" t="str">
        <f>CONCATENATE(D462,D463,E462)</f>
        <v>AdiDobroW</v>
      </c>
      <c r="I462" s="7"/>
      <c r="J462" s="7" t="str">
        <f>VLOOKUP(D462,Stats!B:B,1,0)</f>
        <v>Adi</v>
      </c>
    </row>
    <row r="463" spans="1:10" x14ac:dyDescent="0.25">
      <c r="A463" s="22"/>
      <c r="B463" s="6" t="str">
        <f>CONCATENATE($D463,((COUNTIFS($D:$D,$D463)-COUNTIF($D$3:$D463,$D463))+1))</f>
        <v>Dobro15</v>
      </c>
      <c r="C463" s="6">
        <f t="shared" si="25"/>
        <v>45515</v>
      </c>
      <c r="D463" t="s">
        <v>35</v>
      </c>
      <c r="E463" t="s">
        <v>72</v>
      </c>
      <c r="F463" s="32" t="str">
        <f>CONCATENATE(D461,D464,E461)</f>
        <v>AdamGiovanniW</v>
      </c>
      <c r="G463" t="str">
        <f>CONCATENATE(D462,D464,E462)</f>
        <v>AdiGiovanniW</v>
      </c>
      <c r="H463" t="str">
        <f>CONCATENATE(D463,D464,E463)</f>
        <v>DobroGiovanniW</v>
      </c>
      <c r="I463" s="7"/>
      <c r="J463" s="7" t="str">
        <f>VLOOKUP(D463,Stats!B:B,1,0)</f>
        <v>Dobro</v>
      </c>
    </row>
    <row r="464" spans="1:10" x14ac:dyDescent="0.25">
      <c r="A464" s="22"/>
      <c r="B464" s="6" t="str">
        <f>CONCATENATE($D464,((COUNTIFS($D:$D,$D464)-COUNTIF($D$3:$D464,$D464))+1))</f>
        <v>Giovanni13</v>
      </c>
      <c r="C464" s="6">
        <f t="shared" si="25"/>
        <v>45515</v>
      </c>
      <c r="D464" t="s">
        <v>45</v>
      </c>
      <c r="E464" t="s">
        <v>72</v>
      </c>
      <c r="F464" s="32" t="str">
        <f>CONCATENATE(D461,D465,E461)</f>
        <v>AdamPedjaW</v>
      </c>
      <c r="G464" t="str">
        <f>CONCATENATE(D462,D465,E462)</f>
        <v>AdiPedjaW</v>
      </c>
      <c r="H464" t="str">
        <f>CONCATENATE(D463,D465,E463)</f>
        <v>DobroPedjaW</v>
      </c>
      <c r="I464" s="7" t="str">
        <f>CONCATENATE(D464,D465,E464)</f>
        <v>GiovanniPedjaW</v>
      </c>
      <c r="J464" s="7" t="str">
        <f>VLOOKUP(D464,Stats!B:B,1,0)</f>
        <v>Giovanni</v>
      </c>
    </row>
    <row r="465" spans="1:10" x14ac:dyDescent="0.25">
      <c r="A465" s="22"/>
      <c r="B465" s="6" t="str">
        <f>CONCATENATE($D465,((COUNTIFS($D:$D,$D465)-COUNTIF($D$3:$D465,$D465))+1))</f>
        <v>Pedja1</v>
      </c>
      <c r="C465" s="6">
        <f t="shared" si="25"/>
        <v>45515</v>
      </c>
      <c r="D465" t="s">
        <v>141</v>
      </c>
      <c r="E465" t="s">
        <v>72</v>
      </c>
      <c r="F465" s="32"/>
      <c r="I465" s="7"/>
      <c r="J465" s="7" t="str">
        <f>VLOOKUP(D465,Stats!B:B,1,0)</f>
        <v>Pedja</v>
      </c>
    </row>
    <row r="466" spans="1:10" x14ac:dyDescent="0.25">
      <c r="A466" s="22"/>
      <c r="B466" s="6" t="str">
        <f>CONCATENATE($D466,((COUNTIFS($D:$D,$D466)-COUNTIF($D$3:$D466,$D466))+1))</f>
        <v>Akbar10</v>
      </c>
      <c r="C466" s="6">
        <f t="shared" si="25"/>
        <v>45515</v>
      </c>
      <c r="D466" t="s">
        <v>54</v>
      </c>
      <c r="E466" t="s">
        <v>73</v>
      </c>
      <c r="F466" s="32" t="str">
        <f>CONCATENATE(D466,D467,E466)</f>
        <v>AkbarBarisL</v>
      </c>
      <c r="I466" s="7"/>
      <c r="J466" s="7" t="str">
        <f>VLOOKUP(D466,Stats!B:B,1,0)</f>
        <v>Akbar</v>
      </c>
    </row>
    <row r="467" spans="1:10" x14ac:dyDescent="0.25">
      <c r="A467" s="22"/>
      <c r="B467" s="6" t="str">
        <f>CONCATENATE($D467,((COUNTIFS($D:$D,$D467)-COUNTIF($D$3:$D467,$D467))+1))</f>
        <v>Baris11</v>
      </c>
      <c r="C467" s="6">
        <f t="shared" si="25"/>
        <v>45515</v>
      </c>
      <c r="D467" t="s">
        <v>55</v>
      </c>
      <c r="E467" t="s">
        <v>73</v>
      </c>
      <c r="F467" s="32" t="str">
        <f>CONCATENATE(D466,D468,E466)</f>
        <v>AkbarFiratL</v>
      </c>
      <c r="G467" t="str">
        <f>CONCATENATE(D467,D468,E467)</f>
        <v>BarisFiratL</v>
      </c>
      <c r="I467" s="7"/>
      <c r="J467" s="7" t="str">
        <f>VLOOKUP(D467,Stats!B:B,1,0)</f>
        <v>Baris</v>
      </c>
    </row>
    <row r="468" spans="1:10" x14ac:dyDescent="0.25">
      <c r="A468" s="22"/>
      <c r="B468" s="6" t="str">
        <f>CONCATENATE($D468,((COUNTIFS($D:$D,$D468)-COUNTIF($D$3:$D468,$D468))+1))</f>
        <v>Firat6</v>
      </c>
      <c r="C468" s="6">
        <f t="shared" si="25"/>
        <v>45515</v>
      </c>
      <c r="D468" t="s">
        <v>33</v>
      </c>
      <c r="E468" t="s">
        <v>73</v>
      </c>
      <c r="F468" s="32" t="str">
        <f>CONCATENATE(D466,D469,E466)</f>
        <v>AkbarRezaL</v>
      </c>
      <c r="G468" t="str">
        <f>CONCATENATE(D467,D469,E467)</f>
        <v>BarisRezaL</v>
      </c>
      <c r="H468" t="str">
        <f>CONCATENATE(D468,D469,E468)</f>
        <v>FiratRezaL</v>
      </c>
      <c r="I468" s="7"/>
      <c r="J468" s="7" t="str">
        <f>VLOOKUP(D468,Stats!B:B,1,0)</f>
        <v>Firat</v>
      </c>
    </row>
    <row r="469" spans="1:10" x14ac:dyDescent="0.25">
      <c r="A469" s="22"/>
      <c r="B469" s="6" t="str">
        <f>CONCATENATE($D469,((COUNTIFS($D:$D,$D469)-COUNTIF($D$3:$D469,$D469))+1))</f>
        <v>Reza7</v>
      </c>
      <c r="C469" s="6">
        <f t="shared" si="25"/>
        <v>45515</v>
      </c>
      <c r="D469" t="s">
        <v>32</v>
      </c>
      <c r="E469" t="s">
        <v>73</v>
      </c>
      <c r="F469" s="32" t="str">
        <f>CONCATENATE(D466,D470,E466)</f>
        <v>AkbarSanderoL</v>
      </c>
      <c r="G469" t="str">
        <f>CONCATENATE(D467,D470,E467)</f>
        <v>BarisSanderoL</v>
      </c>
      <c r="H469" t="str">
        <f>CONCATENATE(D468,D470,E468)</f>
        <v>FiratSanderoL</v>
      </c>
      <c r="I469" s="7" t="str">
        <f>CONCATENATE(D469,D470,E469)</f>
        <v>RezaSanderoL</v>
      </c>
      <c r="J469" s="7" t="str">
        <f>VLOOKUP(D469,Stats!B:B,1,0)</f>
        <v>Reza</v>
      </c>
    </row>
    <row r="470" spans="1:10" x14ac:dyDescent="0.25">
      <c r="A470" s="22"/>
      <c r="B470" s="8" t="str">
        <f>CONCATENATE($D470,((COUNTIFS($D:$D,$D470)-COUNTIF($D$3:$D470,$D470))+1))</f>
        <v>Sandero7</v>
      </c>
      <c r="C470" s="8">
        <f t="shared" si="25"/>
        <v>45515</v>
      </c>
      <c r="D470" s="2" t="s">
        <v>57</v>
      </c>
      <c r="E470" s="2" t="s">
        <v>73</v>
      </c>
      <c r="F470" s="13"/>
      <c r="G470" s="2"/>
      <c r="H470" s="2"/>
      <c r="I470" s="9"/>
      <c r="J470" s="9" t="str">
        <f>VLOOKUP(D470,Stats!B:B,1,0)</f>
        <v>Sandero</v>
      </c>
    </row>
    <row r="471" spans="1:10" x14ac:dyDescent="0.25">
      <c r="A471" s="22"/>
      <c r="B471" s="3" t="str">
        <f>CONCATENATE($D471,((COUNTIFS($D:$D,$D471)-COUNTIF($D$3:$D471,$D471))+1))</f>
        <v>Giovanni12</v>
      </c>
      <c r="C471" s="3">
        <f>+C461+9</f>
        <v>45524</v>
      </c>
      <c r="D471" s="4" t="s">
        <v>45</v>
      </c>
      <c r="E471" s="4" t="s">
        <v>72</v>
      </c>
      <c r="F471" s="32" t="str">
        <f>CONCATENATE(D471,D472,E471)</f>
        <v>GiovanniAdiW</v>
      </c>
      <c r="I471" s="5"/>
      <c r="J471" s="5" t="str">
        <f>VLOOKUP(D471,Stats!B:B,1,0)</f>
        <v>Giovanni</v>
      </c>
    </row>
    <row r="472" spans="1:10" x14ac:dyDescent="0.25">
      <c r="A472" s="22"/>
      <c r="B472" s="6" t="str">
        <f>CONCATENATE($D472,((COUNTIFS($D:$D,$D472)-COUNTIF($D$3:$D472,$D472))+1))</f>
        <v>Adi8</v>
      </c>
      <c r="C472" s="6">
        <f t="shared" si="25"/>
        <v>45524</v>
      </c>
      <c r="D472" t="s">
        <v>47</v>
      </c>
      <c r="E472" t="s">
        <v>72</v>
      </c>
      <c r="F472" s="32" t="str">
        <f>CONCATENATE(D471,D473,E471)</f>
        <v>GiovanniRezaW</v>
      </c>
      <c r="G472" t="str">
        <f>CONCATENATE(D472,D473,E472)</f>
        <v>AdiRezaW</v>
      </c>
      <c r="I472" s="7"/>
      <c r="J472" s="7" t="str">
        <f>VLOOKUP(D472,Stats!B:B,1,0)</f>
        <v>Adi</v>
      </c>
    </row>
    <row r="473" spans="1:10" x14ac:dyDescent="0.25">
      <c r="A473" s="22"/>
      <c r="B473" s="6" t="str">
        <f>CONCATENATE($D473,((COUNTIFS($D:$D,$D473)-COUNTIF($D$3:$D473,$D473))+1))</f>
        <v>Reza6</v>
      </c>
      <c r="C473" s="6">
        <f t="shared" si="25"/>
        <v>45524</v>
      </c>
      <c r="D473" t="s">
        <v>32</v>
      </c>
      <c r="E473" t="s">
        <v>72</v>
      </c>
      <c r="F473" s="32" t="str">
        <f>CONCATENATE(D471,D474,E471)</f>
        <v>GiovanniSanderoW</v>
      </c>
      <c r="G473" t="str">
        <f>CONCATENATE(D472,D474,E472)</f>
        <v>AdiSanderoW</v>
      </c>
      <c r="H473" t="str">
        <f>CONCATENATE(D473,D474,E473)</f>
        <v>RezaSanderoW</v>
      </c>
      <c r="I473" s="7"/>
      <c r="J473" s="7" t="str">
        <f>VLOOKUP(D473,Stats!B:B,1,0)</f>
        <v>Reza</v>
      </c>
    </row>
    <row r="474" spans="1:10" x14ac:dyDescent="0.25">
      <c r="A474" s="22"/>
      <c r="B474" s="6" t="str">
        <f>CONCATENATE($D474,((COUNTIFS($D:$D,$D474)-COUNTIF($D$3:$D474,$D474))+1))</f>
        <v>Sandero6</v>
      </c>
      <c r="C474" s="6">
        <f t="shared" si="25"/>
        <v>45524</v>
      </c>
      <c r="D474" t="s">
        <v>57</v>
      </c>
      <c r="E474" t="s">
        <v>72</v>
      </c>
      <c r="F474" s="32" t="str">
        <f>CONCATENATE(D471,D475,E471)</f>
        <v>GiovanniVinnyW</v>
      </c>
      <c r="G474" t="str">
        <f>CONCATENATE(D472,D475,E472)</f>
        <v>AdiVinnyW</v>
      </c>
      <c r="H474" t="str">
        <f>CONCATENATE(D473,D475,E473)</f>
        <v>RezaVinnyW</v>
      </c>
      <c r="I474" s="7" t="str">
        <f>CONCATENATE(D474,D475,E474)</f>
        <v>SanderoVinnyW</v>
      </c>
      <c r="J474" s="7" t="str">
        <f>VLOOKUP(D474,Stats!B:B,1,0)</f>
        <v>Sandero</v>
      </c>
    </row>
    <row r="475" spans="1:10" x14ac:dyDescent="0.25">
      <c r="A475" s="22"/>
      <c r="B475" s="6" t="str">
        <f>CONCATENATE($D475,((COUNTIFS($D:$D,$D475)-COUNTIF($D$3:$D475,$D475))+1))</f>
        <v>Vinny1</v>
      </c>
      <c r="C475" s="6">
        <f t="shared" si="25"/>
        <v>45524</v>
      </c>
      <c r="D475" t="s">
        <v>27</v>
      </c>
      <c r="E475" t="s">
        <v>72</v>
      </c>
      <c r="F475" s="32"/>
      <c r="I475" s="7"/>
      <c r="J475" s="7" t="str">
        <f>VLOOKUP(D475,Stats!B:B,1,0)</f>
        <v>Vinny</v>
      </c>
    </row>
    <row r="476" spans="1:10" x14ac:dyDescent="0.25">
      <c r="A476" s="22"/>
      <c r="B476" s="6" t="str">
        <f>CONCATENATE($D476,((COUNTIFS($D:$D,$D476)-COUNTIF($D$3:$D476,$D476))+1))</f>
        <v>Akbar9</v>
      </c>
      <c r="C476" s="6">
        <f t="shared" si="25"/>
        <v>45524</v>
      </c>
      <c r="D476" t="s">
        <v>54</v>
      </c>
      <c r="E476" t="s">
        <v>73</v>
      </c>
      <c r="F476" s="32" t="str">
        <f>CONCATENATE(D476,D477,E476)</f>
        <v>AkbarBarisL</v>
      </c>
      <c r="I476" s="7"/>
      <c r="J476" s="7" t="str">
        <f>VLOOKUP(D476,Stats!B:B,1,0)</f>
        <v>Akbar</v>
      </c>
    </row>
    <row r="477" spans="1:10" x14ac:dyDescent="0.25">
      <c r="A477" s="22"/>
      <c r="B477" s="6" t="str">
        <f>CONCATENATE($D477,((COUNTIFS($D:$D,$D477)-COUNTIF($D$3:$D477,$D477))+1))</f>
        <v>Baris10</v>
      </c>
      <c r="C477" s="6">
        <f t="shared" si="25"/>
        <v>45524</v>
      </c>
      <c r="D477" t="s">
        <v>55</v>
      </c>
      <c r="E477" t="s">
        <v>73</v>
      </c>
      <c r="F477" s="32" t="str">
        <f>CONCATENATE(D476,D478,E476)</f>
        <v>AkbarBishoyL</v>
      </c>
      <c r="G477" t="str">
        <f>CONCATENATE(D477,D478,E477)</f>
        <v>BarisBishoyL</v>
      </c>
      <c r="I477" s="7"/>
      <c r="J477" s="7" t="str">
        <f>VLOOKUP(D477,Stats!B:B,1,0)</f>
        <v>Baris</v>
      </c>
    </row>
    <row r="478" spans="1:10" x14ac:dyDescent="0.25">
      <c r="A478" s="22"/>
      <c r="B478" s="6" t="str">
        <f>CONCATENATE($D478,((COUNTIFS($D:$D,$D478)-COUNTIF($D$3:$D478,$D478))+1))</f>
        <v>Bishoy14</v>
      </c>
      <c r="C478" s="6">
        <f t="shared" si="25"/>
        <v>45524</v>
      </c>
      <c r="D478" t="s">
        <v>61</v>
      </c>
      <c r="E478" t="s">
        <v>73</v>
      </c>
      <c r="F478" s="32" t="str">
        <f>CONCATENATE(D476,D479,E476)</f>
        <v>AkbarPeteL</v>
      </c>
      <c r="G478" t="str">
        <f>CONCATENATE(D477,D479,E477)</f>
        <v>BarisPeteL</v>
      </c>
      <c r="H478" t="str">
        <f>CONCATENATE(D478,D479,E478)</f>
        <v>BishoyPeteL</v>
      </c>
      <c r="I478" s="7"/>
      <c r="J478" s="7" t="str">
        <f>VLOOKUP(D478,Stats!B:B,1,0)</f>
        <v>Bishoy</v>
      </c>
    </row>
    <row r="479" spans="1:10" x14ac:dyDescent="0.25">
      <c r="A479" s="22"/>
      <c r="B479" s="6" t="str">
        <f>CONCATENATE($D479,((COUNTIFS($D:$D,$D479)-COUNTIF($D$3:$D479,$D479))+1))</f>
        <v>Pete2</v>
      </c>
      <c r="C479" s="6">
        <f t="shared" si="25"/>
        <v>45524</v>
      </c>
      <c r="D479" t="s">
        <v>29</v>
      </c>
      <c r="E479" t="s">
        <v>73</v>
      </c>
      <c r="F479" s="32" t="str">
        <f>CONCATENATE(D476,D480,E476)</f>
        <v>AkbarTchiL</v>
      </c>
      <c r="G479" t="str">
        <f>CONCATENATE(D477,D480,E477)</f>
        <v>BarisTchiL</v>
      </c>
      <c r="H479" t="str">
        <f>CONCATENATE(D478,D480,E478)</f>
        <v>BishoyTchiL</v>
      </c>
      <c r="I479" s="7" t="str">
        <f>CONCATENATE(D479,D480,E479)</f>
        <v>PeteTchiL</v>
      </c>
      <c r="J479" s="7" t="str">
        <f>VLOOKUP(D479,Stats!B:B,1,0)</f>
        <v>Pete</v>
      </c>
    </row>
    <row r="480" spans="1:10" x14ac:dyDescent="0.25">
      <c r="A480" s="22"/>
      <c r="B480" s="8" t="str">
        <f>CONCATENATE($D480,((COUNTIFS($D:$D,$D480)-COUNTIF($D$3:$D480,$D480))+1))</f>
        <v>Tchi7</v>
      </c>
      <c r="C480" s="8">
        <f t="shared" si="25"/>
        <v>45524</v>
      </c>
      <c r="D480" s="2" t="s">
        <v>37</v>
      </c>
      <c r="E480" s="2" t="s">
        <v>73</v>
      </c>
      <c r="F480" s="13"/>
      <c r="G480" s="2"/>
      <c r="H480" s="2"/>
      <c r="I480" s="9"/>
      <c r="J480" s="9" t="str">
        <f>VLOOKUP(D480,Stats!B:B,1,0)</f>
        <v>Tchi</v>
      </c>
    </row>
    <row r="481" spans="1:10" x14ac:dyDescent="0.25">
      <c r="A481" s="22"/>
      <c r="B481" s="3" t="str">
        <f>CONCATENATE($D481,((COUNTIFS($D:$D,$D481)-COUNTIF($D$3:$D481,$D481))+1))</f>
        <v>Bishoy13</v>
      </c>
      <c r="C481" s="3">
        <f>+C471+7</f>
        <v>45531</v>
      </c>
      <c r="D481" s="4" t="s">
        <v>61</v>
      </c>
      <c r="E481" s="4" t="s">
        <v>72</v>
      </c>
      <c r="F481" s="32" t="str">
        <f>CONCATENATE(D481,D482,E481)</f>
        <v>BishoyNimaW</v>
      </c>
      <c r="I481" s="5"/>
      <c r="J481" s="5" t="str">
        <f>VLOOKUP(D481,Stats!B:B,1,0)</f>
        <v>Bishoy</v>
      </c>
    </row>
    <row r="482" spans="1:10" x14ac:dyDescent="0.25">
      <c r="A482" s="22"/>
      <c r="B482" s="6" t="str">
        <f>CONCATENATE($D482,((COUNTIFS($D:$D,$D482)-COUNTIF($D$3:$D482,$D482))+1))</f>
        <v>Nima1</v>
      </c>
      <c r="C482" s="6">
        <f t="shared" si="25"/>
        <v>45531</v>
      </c>
      <c r="D482" t="s">
        <v>43</v>
      </c>
      <c r="E482" t="s">
        <v>72</v>
      </c>
      <c r="F482" s="32" t="str">
        <f>CONCATENATE(D481,D483,E481)</f>
        <v>BishoyMaartenW</v>
      </c>
      <c r="G482" t="str">
        <f>CONCATENATE(D482,D483,E482)</f>
        <v>NimaMaartenW</v>
      </c>
      <c r="I482" s="7"/>
      <c r="J482" s="7" t="str">
        <f>VLOOKUP(D482,Stats!B:B,1,0)</f>
        <v>Nima</v>
      </c>
    </row>
    <row r="483" spans="1:10" x14ac:dyDescent="0.25">
      <c r="A483" s="22"/>
      <c r="B483" s="6" t="str">
        <f>CONCATENATE($D483,((COUNTIFS($D:$D,$D483)-COUNTIF($D$3:$D483,$D483))+1))</f>
        <v>Maarten6</v>
      </c>
      <c r="C483" s="6">
        <f t="shared" si="25"/>
        <v>45531</v>
      </c>
      <c r="D483" t="s">
        <v>58</v>
      </c>
      <c r="E483" t="s">
        <v>72</v>
      </c>
      <c r="F483" s="32" t="str">
        <f>CONCATENATE(D481,D484,E481)</f>
        <v>BishoyAdiW</v>
      </c>
      <c r="G483" t="str">
        <f>CONCATENATE(D482,D484,E482)</f>
        <v>NimaAdiW</v>
      </c>
      <c r="H483" t="str">
        <f>CONCATENATE(D483,D484,E483)</f>
        <v>MaartenAdiW</v>
      </c>
      <c r="I483" s="7"/>
      <c r="J483" s="7" t="str">
        <f>VLOOKUP(D483,Stats!B:B,1,0)</f>
        <v>Maarten</v>
      </c>
    </row>
    <row r="484" spans="1:10" x14ac:dyDescent="0.25">
      <c r="A484" s="22"/>
      <c r="B484" s="6" t="str">
        <f>CONCATENATE($D484,((COUNTIFS($D:$D,$D484)-COUNTIF($D$3:$D484,$D484))+1))</f>
        <v>Adi7</v>
      </c>
      <c r="C484" s="6">
        <f t="shared" si="25"/>
        <v>45531</v>
      </c>
      <c r="D484" t="s">
        <v>47</v>
      </c>
      <c r="E484" t="s">
        <v>72</v>
      </c>
      <c r="F484" s="32" t="str">
        <f>CONCATENATE(D481,D485,E481)</f>
        <v>BishoyRezaW</v>
      </c>
      <c r="G484" t="str">
        <f>CONCATENATE(D482,D485,E482)</f>
        <v>NimaRezaW</v>
      </c>
      <c r="H484" t="str">
        <f>CONCATENATE(D483,D485,E483)</f>
        <v>MaartenRezaW</v>
      </c>
      <c r="I484" s="7" t="str">
        <f>CONCATENATE(D484,D485,E484)</f>
        <v>AdiRezaW</v>
      </c>
      <c r="J484" s="7" t="str">
        <f>VLOOKUP(D484,Stats!B:B,1,0)</f>
        <v>Adi</v>
      </c>
    </row>
    <row r="485" spans="1:10" x14ac:dyDescent="0.25">
      <c r="A485" s="22"/>
      <c r="B485" s="6" t="str">
        <f>CONCATENATE($D485,((COUNTIFS($D:$D,$D485)-COUNTIF($D$3:$D485,$D485))+1))</f>
        <v>Reza5</v>
      </c>
      <c r="C485" s="6">
        <f t="shared" si="25"/>
        <v>45531</v>
      </c>
      <c r="D485" t="s">
        <v>32</v>
      </c>
      <c r="E485" t="s">
        <v>72</v>
      </c>
      <c r="F485" s="32"/>
      <c r="I485" s="7"/>
      <c r="J485" s="7" t="str">
        <f>VLOOKUP(D485,Stats!B:B,1,0)</f>
        <v>Reza</v>
      </c>
    </row>
    <row r="486" spans="1:10" x14ac:dyDescent="0.25">
      <c r="A486" s="22"/>
      <c r="B486" s="6" t="str">
        <f>CONCATENATE($D486,((COUNTIFS($D:$D,$D486)-COUNTIF($D$3:$D486,$D486))+1))</f>
        <v>Tchi6</v>
      </c>
      <c r="C486" s="6">
        <f t="shared" si="25"/>
        <v>45531</v>
      </c>
      <c r="D486" t="s">
        <v>37</v>
      </c>
      <c r="E486" t="s">
        <v>73</v>
      </c>
      <c r="F486" s="32" t="str">
        <f>CONCATENATE(D486,D487,E486)</f>
        <v>TchiDavidL</v>
      </c>
      <c r="I486" s="7"/>
      <c r="J486" s="7" t="str">
        <f>VLOOKUP(D486,Stats!B:B,1,0)</f>
        <v>Tchi</v>
      </c>
    </row>
    <row r="487" spans="1:10" x14ac:dyDescent="0.25">
      <c r="A487" s="22"/>
      <c r="B487" s="6" t="str">
        <f>CONCATENATE($D487,((COUNTIFS($D:$D,$D487)-COUNTIF($D$3:$D487,$D487))+1))</f>
        <v>David1</v>
      </c>
      <c r="C487" s="6">
        <f t="shared" si="25"/>
        <v>45531</v>
      </c>
      <c r="D487" t="s">
        <v>142</v>
      </c>
      <c r="E487" t="s">
        <v>73</v>
      </c>
      <c r="F487" s="32" t="str">
        <f>CONCATENATE(D486,D488,E486)</f>
        <v>TchiPablo pL</v>
      </c>
      <c r="G487" t="str">
        <f>CONCATENATE(D487,D488,E487)</f>
        <v>DavidPablo pL</v>
      </c>
      <c r="I487" s="7"/>
      <c r="J487" s="7" t="str">
        <f>VLOOKUP(D487,Stats!B:B,1,0)</f>
        <v>David</v>
      </c>
    </row>
    <row r="488" spans="1:10" x14ac:dyDescent="0.25">
      <c r="A488" s="22"/>
      <c r="B488" s="6" t="str">
        <f>CONCATENATE($D488,((COUNTIFS($D:$D,$D488)-COUNTIF($D$3:$D488,$D488))+1))</f>
        <v>Pablo p3</v>
      </c>
      <c r="C488" s="6">
        <f t="shared" si="25"/>
        <v>45531</v>
      </c>
      <c r="D488" t="s">
        <v>143</v>
      </c>
      <c r="E488" t="s">
        <v>73</v>
      </c>
      <c r="F488" s="32" t="str">
        <f>CONCATENATE(D486,D489,E486)</f>
        <v>TchiPeteL</v>
      </c>
      <c r="G488" t="str">
        <f>CONCATENATE(D487,D489,E487)</f>
        <v>DavidPeteL</v>
      </c>
      <c r="H488" t="str">
        <f>CONCATENATE(D488,D489,E488)</f>
        <v>Pablo pPeteL</v>
      </c>
      <c r="I488" s="7"/>
      <c r="J488" s="7" t="str">
        <f>VLOOKUP(D488,Stats!B:B,1,0)</f>
        <v>Pablo P</v>
      </c>
    </row>
    <row r="489" spans="1:10" x14ac:dyDescent="0.25">
      <c r="A489" s="22"/>
      <c r="B489" s="6" t="str">
        <f>CONCATENATE($D489,((COUNTIFS($D:$D,$D489)-COUNTIF($D$3:$D489,$D489))+1))</f>
        <v>Pete1</v>
      </c>
      <c r="C489" s="6">
        <f t="shared" si="25"/>
        <v>45531</v>
      </c>
      <c r="D489" t="s">
        <v>29</v>
      </c>
      <c r="E489" t="s">
        <v>73</v>
      </c>
      <c r="F489" s="32" t="str">
        <f>CONCATENATE(D486,D490,E486)</f>
        <v>TchiAdamL</v>
      </c>
      <c r="G489" t="str">
        <f>CONCATENATE(D487,D490,E487)</f>
        <v>DavidAdamL</v>
      </c>
      <c r="H489" t="str">
        <f>CONCATENATE(D488,D490,E488)</f>
        <v>Pablo pAdamL</v>
      </c>
      <c r="I489" s="7" t="str">
        <f>CONCATENATE(D489,D490,E489)</f>
        <v>PeteAdamL</v>
      </c>
      <c r="J489" s="7" t="str">
        <f>VLOOKUP(D489,Stats!B:B,1,0)</f>
        <v>Pete</v>
      </c>
    </row>
    <row r="490" spans="1:10" x14ac:dyDescent="0.25">
      <c r="A490" s="22"/>
      <c r="B490" s="8" t="str">
        <f>CONCATENATE($D490,((COUNTIFS($D:$D,$D490)-COUNTIF($D$3:$D490,$D490))+1))</f>
        <v>Adam16</v>
      </c>
      <c r="C490" s="8">
        <f t="shared" si="25"/>
        <v>45531</v>
      </c>
      <c r="D490" s="2" t="s">
        <v>53</v>
      </c>
      <c r="E490" s="2" t="s">
        <v>73</v>
      </c>
      <c r="F490" s="13"/>
      <c r="G490" s="2"/>
      <c r="H490" s="2"/>
      <c r="I490" s="9"/>
      <c r="J490" s="9" t="str">
        <f>VLOOKUP(D490,Stats!B:B,1,0)</f>
        <v>Adam</v>
      </c>
    </row>
    <row r="491" spans="1:10" x14ac:dyDescent="0.25">
      <c r="A491" s="22"/>
      <c r="B491" s="3" t="str">
        <f>CONCATENATE($D491,((COUNTIFS($D:$D,$D491)-COUNTIF($D$3:$D491,$D491))+1))</f>
        <v>Adam15</v>
      </c>
      <c r="C491" s="3">
        <f>+C481+9</f>
        <v>45540</v>
      </c>
      <c r="D491" s="4" t="s">
        <v>53</v>
      </c>
      <c r="E491" s="4" t="s">
        <v>72</v>
      </c>
      <c r="F491" s="32" t="str">
        <f>CONCATENATE(D491,D492,E491)</f>
        <v>AdamDobroW</v>
      </c>
      <c r="I491" s="5"/>
      <c r="J491" s="5" t="str">
        <f>VLOOKUP(D491,Stats!B:B,1,0)</f>
        <v>Adam</v>
      </c>
    </row>
    <row r="492" spans="1:10" x14ac:dyDescent="0.25">
      <c r="A492" s="22"/>
      <c r="B492" s="6" t="str">
        <f>CONCATENATE($D492,((COUNTIFS($D:$D,$D492)-COUNTIF($D$3:$D492,$D492))+1))</f>
        <v>Dobro14</v>
      </c>
      <c r="C492" s="6">
        <f t="shared" si="25"/>
        <v>45540</v>
      </c>
      <c r="D492" t="s">
        <v>35</v>
      </c>
      <c r="E492" t="s">
        <v>72</v>
      </c>
      <c r="F492" s="32" t="str">
        <f>CONCATENATE(D491,D493,E491)</f>
        <v>AdamPablo pW</v>
      </c>
      <c r="G492" t="str">
        <f>CONCATENATE(D492,D493,E492)</f>
        <v>DobroPablo pW</v>
      </c>
      <c r="I492" s="7"/>
      <c r="J492" s="7" t="str">
        <f>VLOOKUP(D492,Stats!B:B,1,0)</f>
        <v>Dobro</v>
      </c>
    </row>
    <row r="493" spans="1:10" x14ac:dyDescent="0.25">
      <c r="A493" s="22"/>
      <c r="B493" s="6" t="str">
        <f>CONCATENATE($D493,((COUNTIFS($D:$D,$D493)-COUNTIF($D$3:$D493,$D493))+1))</f>
        <v>Pablo p2</v>
      </c>
      <c r="C493" s="6">
        <f t="shared" si="25"/>
        <v>45540</v>
      </c>
      <c r="D493" t="s">
        <v>143</v>
      </c>
      <c r="E493" t="s">
        <v>72</v>
      </c>
      <c r="F493" s="32" t="str">
        <f>CONCATENATE(D491,D494,E491)</f>
        <v>AdamAdiW</v>
      </c>
      <c r="G493" t="str">
        <f>CONCATENATE(D492,D494,E492)</f>
        <v>DobroAdiW</v>
      </c>
      <c r="H493" t="str">
        <f>CONCATENATE(D493,D494,E493)</f>
        <v>Pablo pAdiW</v>
      </c>
      <c r="I493" s="7"/>
      <c r="J493" s="7" t="str">
        <f>VLOOKUP(D493,Stats!B:B,1,0)</f>
        <v>Pablo P</v>
      </c>
    </row>
    <row r="494" spans="1:10" x14ac:dyDescent="0.25">
      <c r="A494" s="22"/>
      <c r="B494" s="6" t="str">
        <f>CONCATENATE($D494,((COUNTIFS($D:$D,$D494)-COUNTIF($D$3:$D494,$D494))+1))</f>
        <v>Adi6</v>
      </c>
      <c r="C494" s="6">
        <f t="shared" si="25"/>
        <v>45540</v>
      </c>
      <c r="D494" t="s">
        <v>47</v>
      </c>
      <c r="E494" t="s">
        <v>72</v>
      </c>
      <c r="F494" s="32" t="str">
        <f>CONCATENATE(D491,D495,E491)</f>
        <v>AdamDmytroW</v>
      </c>
      <c r="G494" t="str">
        <f>CONCATENATE(D492,D495,E492)</f>
        <v>DobroDmytroW</v>
      </c>
      <c r="H494" t="str">
        <f>CONCATENATE(D493,D495,E493)</f>
        <v>Pablo pDmytroW</v>
      </c>
      <c r="I494" s="7" t="str">
        <f>CONCATENATE(D494,D495,E494)</f>
        <v>AdiDmytroW</v>
      </c>
      <c r="J494" s="7" t="str">
        <f>VLOOKUP(D494,Stats!B:B,1,0)</f>
        <v>Adi</v>
      </c>
    </row>
    <row r="495" spans="1:10" x14ac:dyDescent="0.25">
      <c r="A495" s="22"/>
      <c r="B495" s="6" t="str">
        <f>CONCATENATE($D495,((COUNTIFS($D:$D,$D495)-COUNTIF($D$3:$D495,$D495))+1))</f>
        <v>Dmytro8</v>
      </c>
      <c r="C495" s="6">
        <f t="shared" si="25"/>
        <v>45540</v>
      </c>
      <c r="D495" t="s">
        <v>28</v>
      </c>
      <c r="E495" t="s">
        <v>72</v>
      </c>
      <c r="F495" s="32"/>
      <c r="I495" s="7"/>
      <c r="J495" s="7" t="str">
        <f>VLOOKUP(D495,Stats!B:B,1,0)</f>
        <v>Dmytro</v>
      </c>
    </row>
    <row r="496" spans="1:10" x14ac:dyDescent="0.25">
      <c r="A496" s="22"/>
      <c r="B496" s="6" t="str">
        <f>CONCATENATE($D496,((COUNTIFS($D:$D,$D496)-COUNTIF($D$3:$D496,$D496))+1))</f>
        <v>Maarten5</v>
      </c>
      <c r="C496" s="6">
        <f t="shared" si="25"/>
        <v>45540</v>
      </c>
      <c r="D496" t="s">
        <v>58</v>
      </c>
      <c r="E496" t="s">
        <v>73</v>
      </c>
      <c r="F496" s="32" t="str">
        <f>CONCATENATE(D496,D497,E496)</f>
        <v>MaartenThijsL</v>
      </c>
      <c r="I496" s="7"/>
      <c r="J496" s="7" t="str">
        <f>VLOOKUP(D496,Stats!B:B,1,0)</f>
        <v>Maarten</v>
      </c>
    </row>
    <row r="497" spans="1:10" x14ac:dyDescent="0.25">
      <c r="A497" s="22"/>
      <c r="B497" s="6" t="str">
        <f>CONCATENATE($D497,((COUNTIFS($D:$D,$D497)-COUNTIF($D$3:$D497,$D497))+1))</f>
        <v>Thijs7</v>
      </c>
      <c r="C497" s="6">
        <f t="shared" si="25"/>
        <v>45540</v>
      </c>
      <c r="D497" t="s">
        <v>24</v>
      </c>
      <c r="E497" t="s">
        <v>73</v>
      </c>
      <c r="F497" s="32" t="str">
        <f>CONCATENATE(D496,D498,E496)</f>
        <v>MaartenThibautL</v>
      </c>
      <c r="G497" t="str">
        <f>CONCATENATE(D497,D498,E497)</f>
        <v>ThijsThibautL</v>
      </c>
      <c r="I497" s="7"/>
      <c r="J497" s="7" t="str">
        <f>VLOOKUP(D497,Stats!B:B,1,0)</f>
        <v>Thijs</v>
      </c>
    </row>
    <row r="498" spans="1:10" x14ac:dyDescent="0.25">
      <c r="A498" s="22"/>
      <c r="B498" s="6" t="str">
        <f>CONCATENATE($D498,((COUNTIFS($D:$D,$D498)-COUNTIF($D$3:$D498,$D498))+1))</f>
        <v>Thibaut2</v>
      </c>
      <c r="C498" s="6">
        <f t="shared" si="25"/>
        <v>45540</v>
      </c>
      <c r="D498" t="s">
        <v>144</v>
      </c>
      <c r="E498" t="s">
        <v>73</v>
      </c>
      <c r="F498" s="32" t="str">
        <f>CONCATENATE(D496,D499,E496)</f>
        <v>MaartenJoachimL</v>
      </c>
      <c r="G498" t="str">
        <f>CONCATENATE(D497,D499,E497)</f>
        <v>ThijsJoachimL</v>
      </c>
      <c r="H498" t="str">
        <f>CONCATENATE(D498,D499,E498)</f>
        <v>ThibautJoachimL</v>
      </c>
      <c r="I498" s="7"/>
      <c r="J498" s="7" t="str">
        <f>VLOOKUP(D498,Stats!B:B,1,0)</f>
        <v>Thibaut</v>
      </c>
    </row>
    <row r="499" spans="1:10" x14ac:dyDescent="0.25">
      <c r="A499" s="22"/>
      <c r="B499" s="6" t="str">
        <f>CONCATENATE($D499,((COUNTIFS($D:$D,$D499)-COUNTIF($D$3:$D499,$D499))+1))</f>
        <v>Joachim3</v>
      </c>
      <c r="C499" s="6">
        <f t="shared" si="25"/>
        <v>45540</v>
      </c>
      <c r="D499" t="s">
        <v>145</v>
      </c>
      <c r="E499" t="s">
        <v>73</v>
      </c>
      <c r="F499" s="32" t="str">
        <f>CONCATENATE(D496,D500,E496)</f>
        <v>MaartenRezaL</v>
      </c>
      <c r="G499" t="str">
        <f>CONCATENATE(D497,D500,E497)</f>
        <v>ThijsRezaL</v>
      </c>
      <c r="H499" t="str">
        <f>CONCATENATE(D498,D500,E498)</f>
        <v>ThibautRezaL</v>
      </c>
      <c r="I499" s="7" t="str">
        <f>CONCATENATE(D499,D500,E499)</f>
        <v>JoachimRezaL</v>
      </c>
      <c r="J499" s="7" t="str">
        <f>VLOOKUP(D499,Stats!B:B,1,0)</f>
        <v>Joachim</v>
      </c>
    </row>
    <row r="500" spans="1:10" x14ac:dyDescent="0.25">
      <c r="A500" s="22"/>
      <c r="B500" s="8" t="str">
        <f>CONCATENATE($D500,((COUNTIFS($D:$D,$D500)-COUNTIF($D$3:$D500,$D500))+1))</f>
        <v>Reza4</v>
      </c>
      <c r="C500" s="8">
        <f t="shared" si="25"/>
        <v>45540</v>
      </c>
      <c r="D500" s="2" t="s">
        <v>32</v>
      </c>
      <c r="E500" s="2" t="s">
        <v>73</v>
      </c>
      <c r="F500" s="13"/>
      <c r="G500" s="2"/>
      <c r="H500" s="2"/>
      <c r="I500" s="9"/>
      <c r="J500" s="9" t="str">
        <f>VLOOKUP(D500,Stats!B:B,1,0)</f>
        <v>Reza</v>
      </c>
    </row>
    <row r="501" spans="1:10" x14ac:dyDescent="0.25">
      <c r="A501" s="22"/>
      <c r="B501" s="3" t="str">
        <f>CONCATENATE($D501,((COUNTIFS($D:$D,$D501)-COUNTIF($D$3:$D501,$D501))+1))</f>
        <v>Adam14</v>
      </c>
      <c r="C501" s="3">
        <f>+C491+7</f>
        <v>45547</v>
      </c>
      <c r="D501" s="4" t="s">
        <v>53</v>
      </c>
      <c r="E501" s="4" t="s">
        <v>72</v>
      </c>
      <c r="F501" s="32" t="str">
        <f>CONCATENATE(D501,D502,E501)</f>
        <v>AdamAkbarW</v>
      </c>
      <c r="I501" s="5"/>
      <c r="J501" s="5" t="str">
        <f>VLOOKUP(D501,Stats!B:B,1,0)</f>
        <v>Adam</v>
      </c>
    </row>
    <row r="502" spans="1:10" x14ac:dyDescent="0.25">
      <c r="A502" s="22"/>
      <c r="B502" s="6" t="str">
        <f>CONCATENATE($D502,((COUNTIFS($D:$D,$D502)-COUNTIF($D$3:$D502,$D502))+1))</f>
        <v>Akbar8</v>
      </c>
      <c r="C502" s="6">
        <f t="shared" si="25"/>
        <v>45547</v>
      </c>
      <c r="D502" t="s">
        <v>54</v>
      </c>
      <c r="E502" t="s">
        <v>72</v>
      </c>
      <c r="F502" s="32" t="str">
        <f>CONCATENATE(D501,D503,E501)</f>
        <v>AdamPablo OGW</v>
      </c>
      <c r="G502" t="str">
        <f>CONCATENATE(D502,D503,E502)</f>
        <v>AkbarPablo OGW</v>
      </c>
      <c r="I502" s="7"/>
      <c r="J502" s="7" t="str">
        <f>VLOOKUP(D502,Stats!B:B,1,0)</f>
        <v>Akbar</v>
      </c>
    </row>
    <row r="503" spans="1:10" x14ac:dyDescent="0.25">
      <c r="A503" s="22"/>
      <c r="B503" s="6" t="str">
        <f>CONCATENATE($D503,((COUNTIFS($D:$D,$D503)-COUNTIF($D$3:$D503,$D503))+1))</f>
        <v>Pablo OG12</v>
      </c>
      <c r="C503" s="6">
        <f t="shared" si="25"/>
        <v>45547</v>
      </c>
      <c r="D503" t="s">
        <v>42</v>
      </c>
      <c r="E503" t="s">
        <v>72</v>
      </c>
      <c r="F503" s="32" t="str">
        <f>CONCATENATE(D501,D504,E501)</f>
        <v>AdamAdiW</v>
      </c>
      <c r="G503" t="str">
        <f>CONCATENATE(D502,D504,E502)</f>
        <v>AkbarAdiW</v>
      </c>
      <c r="H503" t="str">
        <f>CONCATENATE(D503,D504,E503)</f>
        <v>Pablo OGAdiW</v>
      </c>
      <c r="I503" s="7"/>
      <c r="J503" s="7" t="str">
        <f>VLOOKUP(D503,Stats!B:B,1,0)</f>
        <v>Pablo OG</v>
      </c>
    </row>
    <row r="504" spans="1:10" x14ac:dyDescent="0.25">
      <c r="A504" s="22"/>
      <c r="B504" s="6" t="str">
        <f>CONCATENATE($D504,((COUNTIFS($D:$D,$D504)-COUNTIF($D$3:$D504,$D504))+1))</f>
        <v>Adi5</v>
      </c>
      <c r="C504" s="6">
        <f t="shared" si="25"/>
        <v>45547</v>
      </c>
      <c r="D504" t="s">
        <v>47</v>
      </c>
      <c r="E504" t="s">
        <v>72</v>
      </c>
      <c r="F504" s="32" t="str">
        <f>CONCATENATE(D501,D505,E501)</f>
        <v>AdamLarsW</v>
      </c>
      <c r="G504" t="str">
        <f>CONCATENATE(D502,D505,E502)</f>
        <v>AkbarLarsW</v>
      </c>
      <c r="H504" t="str">
        <f>CONCATENATE(D503,D505,E503)</f>
        <v>Pablo OGLarsW</v>
      </c>
      <c r="I504" s="7" t="str">
        <f>CONCATENATE(D504,D505,E504)</f>
        <v>AdiLarsW</v>
      </c>
      <c r="J504" s="7" t="str">
        <f>VLOOKUP(D504,Stats!B:B,1,0)</f>
        <v>Adi</v>
      </c>
    </row>
    <row r="505" spans="1:10" x14ac:dyDescent="0.25">
      <c r="A505" s="22"/>
      <c r="B505" s="6" t="str">
        <f>CONCATENATE($D505,((COUNTIFS($D:$D,$D505)-COUNTIF($D$3:$D505,$D505))+1))</f>
        <v>Lars4</v>
      </c>
      <c r="C505" s="6">
        <f t="shared" si="25"/>
        <v>45547</v>
      </c>
      <c r="D505" t="s">
        <v>146</v>
      </c>
      <c r="E505" t="s">
        <v>72</v>
      </c>
      <c r="F505" s="32"/>
      <c r="I505" s="7"/>
      <c r="J505" s="7" t="str">
        <f>VLOOKUP(D505,Stats!B:B,1,0)</f>
        <v>Lars</v>
      </c>
    </row>
    <row r="506" spans="1:10" x14ac:dyDescent="0.25">
      <c r="A506" s="22"/>
      <c r="B506" s="6" t="str">
        <f>CONCATENATE($D506,((COUNTIFS($D:$D,$D506)-COUNTIF($D$3:$D506,$D506))+1))</f>
        <v>Maarten4</v>
      </c>
      <c r="C506" s="6">
        <f t="shared" si="25"/>
        <v>45547</v>
      </c>
      <c r="D506" t="s">
        <v>58</v>
      </c>
      <c r="E506" t="s">
        <v>73</v>
      </c>
      <c r="F506" s="32" t="str">
        <f>CONCATENATE(D506,D507,E506)</f>
        <v>MaartenThijsL</v>
      </c>
      <c r="I506" s="7"/>
      <c r="J506" s="7" t="str">
        <f>VLOOKUP(D506,Stats!B:B,1,0)</f>
        <v>Maarten</v>
      </c>
    </row>
    <row r="507" spans="1:10" x14ac:dyDescent="0.25">
      <c r="A507" s="22"/>
      <c r="B507" s="6" t="str">
        <f>CONCATENATE($D507,((COUNTIFS($D:$D,$D507)-COUNTIF($D$3:$D507,$D507))+1))</f>
        <v>Thijs6</v>
      </c>
      <c r="C507" s="6">
        <f t="shared" si="25"/>
        <v>45547</v>
      </c>
      <c r="D507" t="s">
        <v>24</v>
      </c>
      <c r="E507" t="s">
        <v>73</v>
      </c>
      <c r="F507" s="32" t="str">
        <f>CONCATENATE(D506,D508,E506)</f>
        <v>MaartenThibautL</v>
      </c>
      <c r="G507" t="str">
        <f>CONCATENATE(D507,D508,E507)</f>
        <v>ThijsThibautL</v>
      </c>
      <c r="I507" s="7"/>
      <c r="J507" s="7" t="str">
        <f>VLOOKUP(D507,Stats!B:B,1,0)</f>
        <v>Thijs</v>
      </c>
    </row>
    <row r="508" spans="1:10" x14ac:dyDescent="0.25">
      <c r="A508" s="22"/>
      <c r="B508" s="6" t="str">
        <f>CONCATENATE($D508,((COUNTIFS($D:$D,$D508)-COUNTIF($D$3:$D508,$D508))+1))</f>
        <v>Thibaut1</v>
      </c>
      <c r="C508" s="6">
        <f t="shared" si="25"/>
        <v>45547</v>
      </c>
      <c r="D508" t="s">
        <v>144</v>
      </c>
      <c r="E508" t="s">
        <v>73</v>
      </c>
      <c r="F508" s="32" t="str">
        <f>CONCATENATE(D506,D509,E506)</f>
        <v>MaartenJoachimL</v>
      </c>
      <c r="G508" t="str">
        <f>CONCATENATE(D507,D509,E507)</f>
        <v>ThijsJoachimL</v>
      </c>
      <c r="H508" t="str">
        <f>CONCATENATE(D508,D509,E508)</f>
        <v>ThibautJoachimL</v>
      </c>
      <c r="I508" s="7"/>
      <c r="J508" s="7" t="str">
        <f>VLOOKUP(D508,Stats!B:B,1,0)</f>
        <v>Thibaut</v>
      </c>
    </row>
    <row r="509" spans="1:10" x14ac:dyDescent="0.25">
      <c r="A509" s="22"/>
      <c r="B509" s="6" t="str">
        <f>CONCATENATE($D509,((COUNTIFS($D:$D,$D509)-COUNTIF($D$3:$D509,$D509))+1))</f>
        <v>Joachim2</v>
      </c>
      <c r="C509" s="6">
        <f t="shared" si="25"/>
        <v>45547</v>
      </c>
      <c r="D509" t="s">
        <v>145</v>
      </c>
      <c r="E509" t="s">
        <v>73</v>
      </c>
      <c r="F509" s="32" t="str">
        <f>CONCATENATE(D506,D510,E506)</f>
        <v>MaartenLucaL</v>
      </c>
      <c r="G509" t="str">
        <f>CONCATENATE(D507,D510,E507)</f>
        <v>ThijsLucaL</v>
      </c>
      <c r="H509" t="str">
        <f>CONCATENATE(D508,D510,E508)</f>
        <v>ThibautLucaL</v>
      </c>
      <c r="I509" s="7" t="str">
        <f>CONCATENATE(D509,D510,E509)</f>
        <v>JoachimLucaL</v>
      </c>
      <c r="J509" s="7" t="str">
        <f>VLOOKUP(D509,Stats!B:B,1,0)</f>
        <v>Joachim</v>
      </c>
    </row>
    <row r="510" spans="1:10" x14ac:dyDescent="0.25">
      <c r="A510" s="22"/>
      <c r="B510" s="8" t="str">
        <f>CONCATENATE($D510,((COUNTIFS($D:$D,$D510)-COUNTIF($D$3:$D510,$D510))+1))</f>
        <v>Luca13</v>
      </c>
      <c r="C510" s="8">
        <f t="shared" si="25"/>
        <v>45547</v>
      </c>
      <c r="D510" s="2" t="s">
        <v>46</v>
      </c>
      <c r="E510" s="2" t="s">
        <v>73</v>
      </c>
      <c r="F510" s="13"/>
      <c r="G510" s="2"/>
      <c r="H510" s="2"/>
      <c r="I510" s="9"/>
      <c r="J510" s="9" t="str">
        <f>VLOOKUP(D510,Stats!B:B,1,0)</f>
        <v>Luca</v>
      </c>
    </row>
    <row r="511" spans="1:10" x14ac:dyDescent="0.25">
      <c r="A511" s="22"/>
      <c r="B511" s="3" t="str">
        <f>CONCATENATE($D511,((COUNTIFS($D:$D,$D511)-COUNTIF($D$3:$D511,$D511))+1))</f>
        <v>Dobro13</v>
      </c>
      <c r="C511" s="3">
        <f>+C501+7</f>
        <v>45554</v>
      </c>
      <c r="D511" s="4" t="s">
        <v>35</v>
      </c>
      <c r="E511" s="4" t="s">
        <v>72</v>
      </c>
      <c r="F511" s="32" t="str">
        <f>CONCATENATE(D511,D512,E511)</f>
        <v>DobroGiovanniW</v>
      </c>
      <c r="I511" s="5"/>
      <c r="J511" s="5" t="str">
        <f>VLOOKUP(D511,Stats!B:B,1,0)</f>
        <v>Dobro</v>
      </c>
    </row>
    <row r="512" spans="1:10" x14ac:dyDescent="0.25">
      <c r="A512" s="22"/>
      <c r="B512" s="6" t="str">
        <f>CONCATENATE($D512,((COUNTIFS($D:$D,$D512)-COUNTIF($D$3:$D512,$D512))+1))</f>
        <v>Giovanni11</v>
      </c>
      <c r="C512" s="6">
        <f t="shared" si="25"/>
        <v>45554</v>
      </c>
      <c r="D512" t="s">
        <v>45</v>
      </c>
      <c r="E512" t="s">
        <v>72</v>
      </c>
      <c r="F512" s="32" t="str">
        <f>CONCATENATE(D511,D513,E511)</f>
        <v>DobroTchiW</v>
      </c>
      <c r="G512" t="str">
        <f>CONCATENATE(D512,D513,E512)</f>
        <v>GiovanniTchiW</v>
      </c>
      <c r="I512" s="7"/>
      <c r="J512" s="7" t="str">
        <f>VLOOKUP(D512,Stats!B:B,1,0)</f>
        <v>Giovanni</v>
      </c>
    </row>
    <row r="513" spans="1:10" x14ac:dyDescent="0.25">
      <c r="A513" s="22"/>
      <c r="B513" s="6" t="str">
        <f>CONCATENATE($D513,((COUNTIFS($D:$D,$D513)-COUNTIF($D$3:$D513,$D513))+1))</f>
        <v>Tchi5</v>
      </c>
      <c r="C513" s="6">
        <f t="shared" si="25"/>
        <v>45554</v>
      </c>
      <c r="D513" t="s">
        <v>37</v>
      </c>
      <c r="E513" t="s">
        <v>72</v>
      </c>
      <c r="F513" s="32" t="str">
        <f>CONCATENATE(D511,D514,E511)</f>
        <v>DobroMaartenW</v>
      </c>
      <c r="G513" t="str">
        <f>CONCATENATE(D512,D514,E512)</f>
        <v>GiovanniMaartenW</v>
      </c>
      <c r="H513" t="str">
        <f>CONCATENATE(D513,D514,E513)</f>
        <v>TchiMaartenW</v>
      </c>
      <c r="I513" s="7"/>
      <c r="J513" s="7" t="str">
        <f>VLOOKUP(D513,Stats!B:B,1,0)</f>
        <v>Tchi</v>
      </c>
    </row>
    <row r="514" spans="1:10" x14ac:dyDescent="0.25">
      <c r="A514" s="22"/>
      <c r="B514" s="6" t="str">
        <f>CONCATENATE($D514,((COUNTIFS($D:$D,$D514)-COUNTIF($D$3:$D514,$D514))+1))</f>
        <v>Maarten3</v>
      </c>
      <c r="C514" s="6">
        <f t="shared" si="25"/>
        <v>45554</v>
      </c>
      <c r="D514" t="s">
        <v>58</v>
      </c>
      <c r="E514" t="s">
        <v>72</v>
      </c>
      <c r="F514" s="32" t="str">
        <f>CONCATENATE(D511,D515,E511)</f>
        <v>DobroThijsW</v>
      </c>
      <c r="G514" t="str">
        <f>CONCATENATE(D512,D515,E512)</f>
        <v>GiovanniThijsW</v>
      </c>
      <c r="H514" t="str">
        <f>CONCATENATE(D513,D515,E513)</f>
        <v>TchiThijsW</v>
      </c>
      <c r="I514" s="7" t="str">
        <f>CONCATENATE(D514,D515,E514)</f>
        <v>MaartenThijsW</v>
      </c>
      <c r="J514" s="7" t="str">
        <f>VLOOKUP(D514,Stats!B:B,1,0)</f>
        <v>Maarten</v>
      </c>
    </row>
    <row r="515" spans="1:10" x14ac:dyDescent="0.25">
      <c r="A515" s="22"/>
      <c r="B515" s="6" t="str">
        <f>CONCATENATE($D515,((COUNTIFS($D:$D,$D515)-COUNTIF($D$3:$D515,$D515))+1))</f>
        <v>Thijs5</v>
      </c>
      <c r="C515" s="6">
        <f t="shared" si="25"/>
        <v>45554</v>
      </c>
      <c r="D515" t="s">
        <v>24</v>
      </c>
      <c r="E515" t="s">
        <v>72</v>
      </c>
      <c r="F515" s="32"/>
      <c r="I515" s="7"/>
      <c r="J515" s="7" t="str">
        <f>VLOOKUP(D515,Stats!B:B,1,0)</f>
        <v>Thijs</v>
      </c>
    </row>
    <row r="516" spans="1:10" x14ac:dyDescent="0.25">
      <c r="A516" s="22"/>
      <c r="B516" s="6" t="str">
        <f>CONCATENATE($D516,((COUNTIFS($D:$D,$D516)-COUNTIF($D$3:$D516,$D516))+1))</f>
        <v>Luca12</v>
      </c>
      <c r="C516" s="6">
        <f t="shared" si="25"/>
        <v>45554</v>
      </c>
      <c r="D516" t="s">
        <v>46</v>
      </c>
      <c r="E516" t="s">
        <v>73</v>
      </c>
      <c r="F516" s="32" t="str">
        <f>CONCATENATE(D516,D517,E516)</f>
        <v>LucaAdamL</v>
      </c>
      <c r="I516" s="7"/>
      <c r="J516" s="7" t="str">
        <f>VLOOKUP(D516,Stats!B:B,1,0)</f>
        <v>Luca</v>
      </c>
    </row>
    <row r="517" spans="1:10" x14ac:dyDescent="0.25">
      <c r="A517" s="22"/>
      <c r="B517" s="6" t="str">
        <f>CONCATENATE($D517,((COUNTIFS($D:$D,$D517)-COUNTIF($D$3:$D517,$D517))+1))</f>
        <v>Adam13</v>
      </c>
      <c r="C517" s="6">
        <f t="shared" si="25"/>
        <v>45554</v>
      </c>
      <c r="D517" t="s">
        <v>53</v>
      </c>
      <c r="E517" t="s">
        <v>73</v>
      </c>
      <c r="F517" s="32" t="str">
        <f>CONCATENATE(D516,D518,E516)</f>
        <v>LucaRezaL</v>
      </c>
      <c r="G517" t="str">
        <f>CONCATENATE(D517,D518,E517)</f>
        <v>AdamRezaL</v>
      </c>
      <c r="I517" s="7"/>
      <c r="J517" s="7" t="str">
        <f>VLOOKUP(D517,Stats!B:B,1,0)</f>
        <v>Adam</v>
      </c>
    </row>
    <row r="518" spans="1:10" x14ac:dyDescent="0.25">
      <c r="A518" s="22"/>
      <c r="B518" s="6" t="str">
        <f>CONCATENATE($D518,((COUNTIFS($D:$D,$D518)-COUNTIF($D$3:$D518,$D518))+1))</f>
        <v>Reza3</v>
      </c>
      <c r="C518" s="6">
        <f t="shared" si="25"/>
        <v>45554</v>
      </c>
      <c r="D518" t="s">
        <v>32</v>
      </c>
      <c r="E518" t="s">
        <v>73</v>
      </c>
      <c r="F518" s="32" t="str">
        <f>CONCATENATE(D516,D519,E516)</f>
        <v>LucaBarisL</v>
      </c>
      <c r="G518" t="str">
        <f>CONCATENATE(D517,D519,E517)</f>
        <v>AdamBarisL</v>
      </c>
      <c r="H518" t="str">
        <f>CONCATENATE(D518,D519,E518)</f>
        <v>RezaBarisL</v>
      </c>
      <c r="I518" s="7"/>
      <c r="J518" s="7" t="str">
        <f>VLOOKUP(D518,Stats!B:B,1,0)</f>
        <v>Reza</v>
      </c>
    </row>
    <row r="519" spans="1:10" x14ac:dyDescent="0.25">
      <c r="A519" s="22"/>
      <c r="B519" s="6" t="str">
        <f>CONCATENATE($D519,((COUNTIFS($D:$D,$D519)-COUNTIF($D$3:$D519,$D519))+1))</f>
        <v>Baris9</v>
      </c>
      <c r="C519" s="6">
        <f t="shared" si="25"/>
        <v>45554</v>
      </c>
      <c r="D519" t="s">
        <v>55</v>
      </c>
      <c r="E519" t="s">
        <v>73</v>
      </c>
      <c r="F519" s="32" t="str">
        <f>CONCATENATE(D516,D520,E516)</f>
        <v>LucaFiratL</v>
      </c>
      <c r="G519" t="str">
        <f>CONCATENATE(D517,D520,E517)</f>
        <v>AdamFiratL</v>
      </c>
      <c r="H519" t="str">
        <f>CONCATENATE(D518,D520,E518)</f>
        <v>RezaFiratL</v>
      </c>
      <c r="I519" s="7" t="str">
        <f>CONCATENATE(D519,D520,E519)</f>
        <v>BarisFiratL</v>
      </c>
      <c r="J519" s="7" t="str">
        <f>VLOOKUP(D519,Stats!B:B,1,0)</f>
        <v>Baris</v>
      </c>
    </row>
    <row r="520" spans="1:10" x14ac:dyDescent="0.25">
      <c r="A520" s="22"/>
      <c r="B520" s="8" t="str">
        <f>CONCATENATE($D520,((COUNTIFS($D:$D,$D520)-COUNTIF($D$3:$D520,$D520))+1))</f>
        <v>Firat5</v>
      </c>
      <c r="C520" s="8">
        <f t="shared" si="25"/>
        <v>45554</v>
      </c>
      <c r="D520" s="2" t="s">
        <v>33</v>
      </c>
      <c r="E520" s="2" t="s">
        <v>73</v>
      </c>
      <c r="F520" s="13"/>
      <c r="G520" s="2"/>
      <c r="H520" s="2"/>
      <c r="I520" s="9"/>
      <c r="J520" s="9" t="str">
        <f>VLOOKUP(D520,Stats!B:B,1,0)</f>
        <v>Firat</v>
      </c>
    </row>
    <row r="521" spans="1:10" x14ac:dyDescent="0.25">
      <c r="A521" s="22"/>
      <c r="B521" s="3" t="str">
        <f>CONCATENATE($D521,((COUNTIFS($D:$D,$D521)-COUNTIF($D$3:$D521,$D521))+1))</f>
        <v>Adi4</v>
      </c>
      <c r="C521" s="3">
        <f>+C511+5</f>
        <v>45559</v>
      </c>
      <c r="D521" s="4" t="s">
        <v>47</v>
      </c>
      <c r="E521" s="4" t="s">
        <v>72</v>
      </c>
      <c r="F521" s="32" t="str">
        <f>CONCATENATE(D521,D522,E521)</f>
        <v>AdiAkbarW</v>
      </c>
      <c r="I521" s="5"/>
      <c r="J521" s="5" t="str">
        <f>VLOOKUP(D521,Stats!B:B,1,0)</f>
        <v>Adi</v>
      </c>
    </row>
    <row r="522" spans="1:10" x14ac:dyDescent="0.25">
      <c r="A522" s="22"/>
      <c r="B522" s="6" t="str">
        <f>CONCATENATE($D522,((COUNTIFS($D:$D,$D522)-COUNTIF($D$3:$D522,$D522))+1))</f>
        <v>Akbar7</v>
      </c>
      <c r="C522" s="6">
        <f t="shared" si="25"/>
        <v>45559</v>
      </c>
      <c r="D522" t="s">
        <v>54</v>
      </c>
      <c r="E522" t="s">
        <v>72</v>
      </c>
      <c r="F522" s="32" t="str">
        <f>CONCATENATE(D521,D523,E521)</f>
        <v>AdiBishoyW</v>
      </c>
      <c r="G522" t="str">
        <f>CONCATENATE(D522,D523,E522)</f>
        <v>AkbarBishoyW</v>
      </c>
      <c r="I522" s="7"/>
      <c r="J522" s="7" t="str">
        <f>VLOOKUP(D522,Stats!B:B,1,0)</f>
        <v>Akbar</v>
      </c>
    </row>
    <row r="523" spans="1:10" x14ac:dyDescent="0.25">
      <c r="A523" s="22"/>
      <c r="B523" s="6" t="str">
        <f>CONCATENATE($D523,((COUNTIFS($D:$D,$D523)-COUNTIF($D$3:$D523,$D523))+1))</f>
        <v>Bishoy12</v>
      </c>
      <c r="C523" s="6">
        <f t="shared" si="25"/>
        <v>45559</v>
      </c>
      <c r="D523" t="s">
        <v>61</v>
      </c>
      <c r="E523" t="s">
        <v>72</v>
      </c>
      <c r="F523" s="32" t="str">
        <f>CONCATENATE(D521,D524,E521)</f>
        <v>AdiGiovanniW</v>
      </c>
      <c r="G523" t="str">
        <f>CONCATENATE(D522,D524,E522)</f>
        <v>AkbarGiovanniW</v>
      </c>
      <c r="H523" t="str">
        <f>CONCATENATE(D523,D524,E523)</f>
        <v>BishoyGiovanniW</v>
      </c>
      <c r="I523" s="7"/>
      <c r="J523" s="7" t="str">
        <f>VLOOKUP(D523,Stats!B:B,1,0)</f>
        <v>Bishoy</v>
      </c>
    </row>
    <row r="524" spans="1:10" x14ac:dyDescent="0.25">
      <c r="A524" s="22"/>
      <c r="B524" s="6" t="str">
        <f>CONCATENATE($D524,((COUNTIFS($D:$D,$D524)-COUNTIF($D$3:$D524,$D524))+1))</f>
        <v>Giovanni10</v>
      </c>
      <c r="C524" s="6">
        <f t="shared" si="25"/>
        <v>45559</v>
      </c>
      <c r="D524" t="s">
        <v>45</v>
      </c>
      <c r="E524" t="s">
        <v>72</v>
      </c>
      <c r="F524" s="32" t="str">
        <f>CONCATENATE(D521,D525,E521)</f>
        <v>AdiLucaW</v>
      </c>
      <c r="G524" t="str">
        <f>CONCATENATE(D522,D525,E522)</f>
        <v>AkbarLucaW</v>
      </c>
      <c r="H524" t="str">
        <f>CONCATENATE(D523,D525,E523)</f>
        <v>BishoyLucaW</v>
      </c>
      <c r="I524" s="7" t="str">
        <f>CONCATENATE(D524,D525,E524)</f>
        <v>GiovanniLucaW</v>
      </c>
      <c r="J524" s="7" t="str">
        <f>VLOOKUP(D524,Stats!B:B,1,0)</f>
        <v>Giovanni</v>
      </c>
    </row>
    <row r="525" spans="1:10" x14ac:dyDescent="0.25">
      <c r="A525" s="22"/>
      <c r="B525" s="6" t="str">
        <f>CONCATENATE($D525,((COUNTIFS($D:$D,$D525)-COUNTIF($D$3:$D525,$D525))+1))</f>
        <v>Luca11</v>
      </c>
      <c r="C525" s="6">
        <f t="shared" si="25"/>
        <v>45559</v>
      </c>
      <c r="D525" t="s">
        <v>46</v>
      </c>
      <c r="E525" t="s">
        <v>72</v>
      </c>
      <c r="F525" s="32"/>
      <c r="I525" s="7"/>
      <c r="J525" s="7" t="str">
        <f>VLOOKUP(D525,Stats!B:B,1,0)</f>
        <v>Luca</v>
      </c>
    </row>
    <row r="526" spans="1:10" x14ac:dyDescent="0.25">
      <c r="A526" s="22"/>
      <c r="B526" s="6" t="str">
        <f>CONCATENATE($D526,((COUNTIFS($D:$D,$D526)-COUNTIF($D$3:$D526,$D526))+1))</f>
        <v>Adam12</v>
      </c>
      <c r="C526" s="6">
        <f t="shared" ref="C526:C530" si="26">C525</f>
        <v>45559</v>
      </c>
      <c r="D526" t="s">
        <v>53</v>
      </c>
      <c r="E526" t="s">
        <v>73</v>
      </c>
      <c r="F526" s="32" t="str">
        <f>CONCATENATE(D526,D527,E526)</f>
        <v>AdamBarisL</v>
      </c>
      <c r="I526" s="7"/>
      <c r="J526" s="7" t="str">
        <f>VLOOKUP(D526,Stats!B:B,1,0)</f>
        <v>Adam</v>
      </c>
    </row>
    <row r="527" spans="1:10" x14ac:dyDescent="0.25">
      <c r="A527" s="22"/>
      <c r="B527" s="6" t="str">
        <f>CONCATENATE($D527,((COUNTIFS($D:$D,$D527)-COUNTIF($D$3:$D527,$D527))+1))</f>
        <v>Baris8</v>
      </c>
      <c r="C527" s="6">
        <f t="shared" si="26"/>
        <v>45559</v>
      </c>
      <c r="D527" t="s">
        <v>55</v>
      </c>
      <c r="E527" t="s">
        <v>73</v>
      </c>
      <c r="F527" s="32" t="str">
        <f>CONCATENATE(D526,D528,E526)</f>
        <v>AdamDobroL</v>
      </c>
      <c r="G527" t="str">
        <f>CONCATENATE(D527,D528,E527)</f>
        <v>BarisDobroL</v>
      </c>
      <c r="I527" s="7"/>
      <c r="J527" s="7" t="str">
        <f>VLOOKUP(D527,Stats!B:B,1,0)</f>
        <v>Baris</v>
      </c>
    </row>
    <row r="528" spans="1:10" x14ac:dyDescent="0.25">
      <c r="A528" s="22"/>
      <c r="B528" s="6" t="str">
        <f>CONCATENATE($D528,((COUNTIFS($D:$D,$D528)-COUNTIF($D$3:$D528,$D528))+1))</f>
        <v>Dobro12</v>
      </c>
      <c r="C528" s="6">
        <f t="shared" si="26"/>
        <v>45559</v>
      </c>
      <c r="D528" t="s">
        <v>35</v>
      </c>
      <c r="E528" t="s">
        <v>73</v>
      </c>
      <c r="F528" s="32" t="str">
        <f>CONCATENATE(D526,D529,E526)</f>
        <v>AdamRezaL</v>
      </c>
      <c r="G528" t="str">
        <f>CONCATENATE(D527,D529,E527)</f>
        <v>BarisRezaL</v>
      </c>
      <c r="H528" t="str">
        <f>CONCATENATE(D528,D529,E528)</f>
        <v>DobroRezaL</v>
      </c>
      <c r="I528" s="7"/>
      <c r="J528" s="7" t="str">
        <f>VLOOKUP(D528,Stats!B:B,1,0)</f>
        <v>Dobro</v>
      </c>
    </row>
    <row r="529" spans="1:10" x14ac:dyDescent="0.25">
      <c r="A529" s="22"/>
      <c r="B529" s="6" t="str">
        <f>CONCATENATE($D529,((COUNTIFS($D:$D,$D529)-COUNTIF($D$3:$D529,$D529))+1))</f>
        <v>Reza2</v>
      </c>
      <c r="C529" s="6">
        <f t="shared" si="26"/>
        <v>45559</v>
      </c>
      <c r="D529" t="s">
        <v>32</v>
      </c>
      <c r="E529" t="s">
        <v>73</v>
      </c>
      <c r="F529" s="32" t="str">
        <f>CONCATENATE(D526,D530,E526)</f>
        <v>AdamWouterL</v>
      </c>
      <c r="G529" t="str">
        <f>CONCATENATE(D527,D530,E527)</f>
        <v>BarisWouterL</v>
      </c>
      <c r="H529" t="str">
        <f>CONCATENATE(D528,D530,E528)</f>
        <v>DobroWouterL</v>
      </c>
      <c r="I529" s="7" t="str">
        <f>CONCATENATE(D529,D530,E529)</f>
        <v>RezaWouterL</v>
      </c>
      <c r="J529" s="7" t="str">
        <f>VLOOKUP(D529,Stats!B:B,1,0)</f>
        <v>Reza</v>
      </c>
    </row>
    <row r="530" spans="1:10" x14ac:dyDescent="0.25">
      <c r="A530" s="22"/>
      <c r="B530" s="8" t="str">
        <f>CONCATENATE($D530,((COUNTIFS($D:$D,$D530)-COUNTIF($D$3:$D530,$D530))+1))</f>
        <v>Wouter8</v>
      </c>
      <c r="C530" s="8">
        <f t="shared" si="26"/>
        <v>45559</v>
      </c>
      <c r="D530" s="2" t="s">
        <v>36</v>
      </c>
      <c r="E530" s="2" t="s">
        <v>73</v>
      </c>
      <c r="F530" s="13"/>
      <c r="G530" s="2"/>
      <c r="H530" s="2"/>
      <c r="I530" s="9"/>
      <c r="J530" s="9" t="str">
        <f>VLOOKUP(D530,Stats!B:B,1,0)</f>
        <v>Wouter</v>
      </c>
    </row>
    <row r="531" spans="1:10" x14ac:dyDescent="0.25">
      <c r="A531" s="22"/>
      <c r="B531" s="3" t="str">
        <f>CONCATENATE($D531,((COUNTIFS($D:$D,$D531)-COUNTIF($D$3:$D531,$D531))+1))</f>
        <v>Luca10</v>
      </c>
      <c r="C531" s="3">
        <f>+C521+7</f>
        <v>45566</v>
      </c>
      <c r="D531" s="4" t="s">
        <v>46</v>
      </c>
      <c r="E531" s="4" t="s">
        <v>72</v>
      </c>
      <c r="F531" s="32" t="str">
        <f>CONCATENATE(D531,D532,E531)</f>
        <v>LucaDobroW</v>
      </c>
      <c r="I531" s="5"/>
      <c r="J531" s="5" t="str">
        <f>VLOOKUP(D531,Stats!B:B,1,0)</f>
        <v>Luca</v>
      </c>
    </row>
    <row r="532" spans="1:10" x14ac:dyDescent="0.25">
      <c r="A532" s="22"/>
      <c r="B532" s="6" t="str">
        <f>CONCATENATE($D532,((COUNTIFS($D:$D,$D532)-COUNTIF($D$3:$D532,$D532))+1))</f>
        <v>Dobro11</v>
      </c>
      <c r="C532" s="6">
        <f t="shared" ref="C532:C595" si="27">C531</f>
        <v>45566</v>
      </c>
      <c r="D532" t="s">
        <v>35</v>
      </c>
      <c r="E532" t="s">
        <v>72</v>
      </c>
      <c r="F532" s="32" t="str">
        <f>CONCATENATE(D531,D533,E531)</f>
        <v>LucaAdamW</v>
      </c>
      <c r="G532" t="str">
        <f>CONCATENATE(D532,D533,E532)</f>
        <v>DobroAdamW</v>
      </c>
      <c r="I532" s="7"/>
      <c r="J532" s="7" t="str">
        <f>VLOOKUP(D532,Stats!B:B,1,0)</f>
        <v>Dobro</v>
      </c>
    </row>
    <row r="533" spans="1:10" x14ac:dyDescent="0.25">
      <c r="A533" s="22"/>
      <c r="B533" s="6" t="str">
        <f>CONCATENATE($D533,((COUNTIFS($D:$D,$D533)-COUNTIF($D$3:$D533,$D533))+1))</f>
        <v>Adam11</v>
      </c>
      <c r="C533" s="6">
        <f t="shared" si="27"/>
        <v>45566</v>
      </c>
      <c r="D533" t="s">
        <v>53</v>
      </c>
      <c r="E533" t="s">
        <v>72</v>
      </c>
      <c r="F533" s="32" t="str">
        <f>CONCATENATE(D531,D534,E531)</f>
        <v>LucaMaartenW</v>
      </c>
      <c r="G533" t="str">
        <f>CONCATENATE(D532,D534,E532)</f>
        <v>DobroMaartenW</v>
      </c>
      <c r="H533" t="str">
        <f>CONCATENATE(D533,D534,E533)</f>
        <v>AdamMaartenW</v>
      </c>
      <c r="I533" s="7"/>
      <c r="J533" s="7" t="str">
        <f>VLOOKUP(D533,Stats!B:B,1,0)</f>
        <v>Adam</v>
      </c>
    </row>
    <row r="534" spans="1:10" x14ac:dyDescent="0.25">
      <c r="A534" s="22"/>
      <c r="B534" s="6" t="str">
        <f>CONCATENATE($D534,((COUNTIFS($D:$D,$D534)-COUNTIF($D$3:$D534,$D534))+1))</f>
        <v>Maarten2</v>
      </c>
      <c r="C534" s="6">
        <f t="shared" si="27"/>
        <v>45566</v>
      </c>
      <c r="D534" t="s">
        <v>58</v>
      </c>
      <c r="E534" t="s">
        <v>72</v>
      </c>
      <c r="F534" s="32" t="str">
        <f>CONCATENATE(D531,D535,E531)</f>
        <v>LucaKieranW</v>
      </c>
      <c r="G534" t="str">
        <f>CONCATENATE(D532,D535,E532)</f>
        <v>DobroKieranW</v>
      </c>
      <c r="H534" t="str">
        <f>CONCATENATE(D533,D535,E533)</f>
        <v>AdamKieranW</v>
      </c>
      <c r="I534" s="7" t="str">
        <f>CONCATENATE(D534,D535,E534)</f>
        <v>MaartenKieranW</v>
      </c>
      <c r="J534" s="7" t="str">
        <f>VLOOKUP(D534,Stats!B:B,1,0)</f>
        <v>Maarten</v>
      </c>
    </row>
    <row r="535" spans="1:10" x14ac:dyDescent="0.25">
      <c r="A535" s="22"/>
      <c r="B535" s="6" t="str">
        <f>CONCATENATE($D535,((COUNTIFS($D:$D,$D535)-COUNTIF($D$3:$D535,$D535))+1))</f>
        <v>Kieran2</v>
      </c>
      <c r="C535" s="6">
        <f t="shared" si="27"/>
        <v>45566</v>
      </c>
      <c r="D535" t="s">
        <v>21</v>
      </c>
      <c r="E535" t="s">
        <v>72</v>
      </c>
      <c r="F535" s="32"/>
      <c r="I535" s="7"/>
      <c r="J535" s="7" t="str">
        <f>VLOOKUP(D535,Stats!B:B,1,0)</f>
        <v>Kieran</v>
      </c>
    </row>
    <row r="536" spans="1:10" x14ac:dyDescent="0.25">
      <c r="A536" s="22"/>
      <c r="B536" s="6" t="str">
        <f>CONCATENATE($D536,((COUNTIFS($D:$D,$D536)-COUNTIF($D$3:$D536,$D536))+1))</f>
        <v>Onur3</v>
      </c>
      <c r="C536" s="6">
        <f t="shared" si="27"/>
        <v>45566</v>
      </c>
      <c r="D536" t="s">
        <v>39</v>
      </c>
      <c r="E536" t="s">
        <v>73</v>
      </c>
      <c r="F536" s="32" t="str">
        <f>CONCATENATE(D536,D537,E536)</f>
        <v>OnurBishoyL</v>
      </c>
      <c r="I536" s="7"/>
      <c r="J536" s="7" t="str">
        <f>VLOOKUP(D536,Stats!B:B,1,0)</f>
        <v>Onur</v>
      </c>
    </row>
    <row r="537" spans="1:10" x14ac:dyDescent="0.25">
      <c r="A537" s="22"/>
      <c r="B537" s="6" t="str">
        <f>CONCATENATE($D537,((COUNTIFS($D:$D,$D537)-COUNTIF($D$3:$D537,$D537))+1))</f>
        <v>Bishoy11</v>
      </c>
      <c r="C537" s="6">
        <f t="shared" si="27"/>
        <v>45566</v>
      </c>
      <c r="D537" t="s">
        <v>61</v>
      </c>
      <c r="E537" t="s">
        <v>73</v>
      </c>
      <c r="F537" s="32" t="str">
        <f>CONCATENATE(D536,D538,E536)</f>
        <v>OnurAkbarL</v>
      </c>
      <c r="G537" t="str">
        <f>CONCATENATE(D537,D538,E537)</f>
        <v>BishoyAkbarL</v>
      </c>
      <c r="I537" s="7"/>
      <c r="J537" s="7" t="str">
        <f>VLOOKUP(D537,Stats!B:B,1,0)</f>
        <v>Bishoy</v>
      </c>
    </row>
    <row r="538" spans="1:10" x14ac:dyDescent="0.25">
      <c r="A538" s="22"/>
      <c r="B538" s="6" t="str">
        <f>CONCATENATE($D538,((COUNTIFS($D:$D,$D538)-COUNTIF($D$3:$D538,$D538))+1))</f>
        <v>Akbar6</v>
      </c>
      <c r="C538" s="6">
        <f t="shared" si="27"/>
        <v>45566</v>
      </c>
      <c r="D538" t="s">
        <v>54</v>
      </c>
      <c r="E538" t="s">
        <v>73</v>
      </c>
      <c r="F538" s="32" t="str">
        <f>CONCATENATE(D536,D539,E536)</f>
        <v>OnurGiovanniL</v>
      </c>
      <c r="G538" t="str">
        <f>CONCATENATE(D537,D539,E537)</f>
        <v>BishoyGiovanniL</v>
      </c>
      <c r="H538" t="str">
        <f>CONCATENATE(D538,D539,E538)</f>
        <v>AkbarGiovanniL</v>
      </c>
      <c r="I538" s="7"/>
      <c r="J538" s="7" t="str">
        <f>VLOOKUP(D538,Stats!B:B,1,0)</f>
        <v>Akbar</v>
      </c>
    </row>
    <row r="539" spans="1:10" x14ac:dyDescent="0.25">
      <c r="A539" s="22"/>
      <c r="B539" s="6" t="str">
        <f>CONCATENATE($D539,((COUNTIFS($D:$D,$D539)-COUNTIF($D$3:$D539,$D539))+1))</f>
        <v>Giovanni9</v>
      </c>
      <c r="C539" s="6">
        <f t="shared" si="27"/>
        <v>45566</v>
      </c>
      <c r="D539" t="s">
        <v>45</v>
      </c>
      <c r="E539" t="s">
        <v>73</v>
      </c>
      <c r="F539" s="32" t="str">
        <f>CONCATENATE(D536,D540,E536)</f>
        <v>OnurThijsL</v>
      </c>
      <c r="G539" t="str">
        <f>CONCATENATE(D537,D540,E537)</f>
        <v>BishoyThijsL</v>
      </c>
      <c r="H539" t="str">
        <f>CONCATENATE(D538,D540,E538)</f>
        <v>AkbarThijsL</v>
      </c>
      <c r="I539" s="7" t="str">
        <f>CONCATENATE(D539,D540,E539)</f>
        <v>GiovanniThijsL</v>
      </c>
      <c r="J539" s="7" t="str">
        <f>VLOOKUP(D539,Stats!B:B,1,0)</f>
        <v>Giovanni</v>
      </c>
    </row>
    <row r="540" spans="1:10" x14ac:dyDescent="0.25">
      <c r="A540" s="22"/>
      <c r="B540" s="8" t="str">
        <f>CONCATENATE($D540,((COUNTIFS($D:$D,$D540)-COUNTIF($D$3:$D540,$D540))+1))</f>
        <v>Thijs4</v>
      </c>
      <c r="C540" s="8">
        <f t="shared" si="27"/>
        <v>45566</v>
      </c>
      <c r="D540" s="2" t="s">
        <v>24</v>
      </c>
      <c r="E540" s="2" t="s">
        <v>73</v>
      </c>
      <c r="F540" s="13"/>
      <c r="G540" s="2"/>
      <c r="H540" s="2"/>
      <c r="I540" s="9"/>
      <c r="J540" s="9" t="str">
        <f>VLOOKUP(D540,Stats!B:B,1,0)</f>
        <v>Thijs</v>
      </c>
    </row>
    <row r="541" spans="1:10" x14ac:dyDescent="0.25">
      <c r="A541" s="22"/>
      <c r="B541" s="3" t="str">
        <f>CONCATENATE($D541,((COUNTIFS($D:$D,$D541)-COUNTIF($D$3:$D541,$D541))+1))</f>
        <v>Adam10</v>
      </c>
      <c r="C541" s="3">
        <f>+C531+2</f>
        <v>45568</v>
      </c>
      <c r="D541" s="4" t="s">
        <v>53</v>
      </c>
      <c r="E541" s="4" t="s">
        <v>72</v>
      </c>
      <c r="F541" s="32" t="str">
        <f>CONCATENATE(D541,D542,E541)</f>
        <v>AdamAdiW</v>
      </c>
      <c r="I541" s="5"/>
      <c r="J541" s="5" t="str">
        <f>VLOOKUP(D541,Stats!B:B,1,0)</f>
        <v>Adam</v>
      </c>
    </row>
    <row r="542" spans="1:10" x14ac:dyDescent="0.25">
      <c r="A542" s="22"/>
      <c r="B542" s="6" t="str">
        <f>CONCATENATE($D542,((COUNTIFS($D:$D,$D542)-COUNTIF($D$3:$D542,$D542))+1))</f>
        <v>Adi3</v>
      </c>
      <c r="C542" s="6">
        <f t="shared" si="27"/>
        <v>45568</v>
      </c>
      <c r="D542" t="s">
        <v>47</v>
      </c>
      <c r="E542" t="s">
        <v>72</v>
      </c>
      <c r="F542" s="32" t="str">
        <f>CONCATENATE(D541,D543,E541)</f>
        <v>AdamJoachimW</v>
      </c>
      <c r="G542" t="str">
        <f>CONCATENATE(D542,D543,E542)</f>
        <v>AdiJoachimW</v>
      </c>
      <c r="I542" s="7"/>
      <c r="J542" s="7" t="str">
        <f>VLOOKUP(D542,Stats!B:B,1,0)</f>
        <v>Adi</v>
      </c>
    </row>
    <row r="543" spans="1:10" x14ac:dyDescent="0.25">
      <c r="A543" s="22"/>
      <c r="B543" s="6" t="str">
        <f>CONCATENATE($D543,((COUNTIFS($D:$D,$D543)-COUNTIF($D$3:$D543,$D543))+1))</f>
        <v>Joachim1</v>
      </c>
      <c r="C543" s="6">
        <f t="shared" si="27"/>
        <v>45568</v>
      </c>
      <c r="D543" t="s">
        <v>145</v>
      </c>
      <c r="E543" t="s">
        <v>72</v>
      </c>
      <c r="F543" s="32" t="str">
        <f>CONCATENATE(D541,D544,E541)</f>
        <v>AdamMaartenW</v>
      </c>
      <c r="G543" t="str">
        <f>CONCATENATE(D542,D544,E542)</f>
        <v>AdiMaartenW</v>
      </c>
      <c r="H543" t="str">
        <f>CONCATENATE(D543,D544,E543)</f>
        <v>JoachimMaartenW</v>
      </c>
      <c r="I543" s="7"/>
      <c r="J543" s="7" t="str">
        <f>VLOOKUP(D543,Stats!B:B,1,0)</f>
        <v>Joachim</v>
      </c>
    </row>
    <row r="544" spans="1:10" x14ac:dyDescent="0.25">
      <c r="A544" s="22"/>
      <c r="B544" s="6" t="str">
        <f>CONCATENATE($D544,((COUNTIFS($D:$D,$D544)-COUNTIF($D$3:$D544,$D544))+1))</f>
        <v>Maarten1</v>
      </c>
      <c r="C544" s="6">
        <f t="shared" si="27"/>
        <v>45568</v>
      </c>
      <c r="D544" t="s">
        <v>58</v>
      </c>
      <c r="E544" t="s">
        <v>72</v>
      </c>
      <c r="F544" s="32" t="str">
        <f>CONCATENATE(D541,D545,E541)</f>
        <v>AdamSanderoW</v>
      </c>
      <c r="G544" t="str">
        <f>CONCATENATE(D542,D545,E542)</f>
        <v>AdiSanderoW</v>
      </c>
      <c r="H544" t="str">
        <f>CONCATENATE(D543,D545,E543)</f>
        <v>JoachimSanderoW</v>
      </c>
      <c r="I544" s="7" t="str">
        <f>CONCATENATE(D544,D545,E544)</f>
        <v>MaartenSanderoW</v>
      </c>
      <c r="J544" s="7" t="str">
        <f>VLOOKUP(D544,Stats!B:B,1,0)</f>
        <v>Maarten</v>
      </c>
    </row>
    <row r="545" spans="1:10" x14ac:dyDescent="0.25">
      <c r="A545" s="22"/>
      <c r="B545" s="6" t="str">
        <f>CONCATENATE($D545,((COUNTIFS($D:$D,$D545)-COUNTIF($D$3:$D545,$D545))+1))</f>
        <v>Sandero5</v>
      </c>
      <c r="C545" s="6">
        <f t="shared" si="27"/>
        <v>45568</v>
      </c>
      <c r="D545" t="s">
        <v>57</v>
      </c>
      <c r="E545" t="s">
        <v>72</v>
      </c>
      <c r="F545" s="32"/>
      <c r="I545" s="7"/>
      <c r="J545" s="7" t="str">
        <f>VLOOKUP(D545,Stats!B:B,1,0)</f>
        <v>Sandero</v>
      </c>
    </row>
    <row r="546" spans="1:10" x14ac:dyDescent="0.25">
      <c r="A546" s="22"/>
      <c r="B546" s="6" t="str">
        <f>CONCATENATE($D546,((COUNTIFS($D:$D,$D546)-COUNTIF($D$3:$D546,$D546))+1))</f>
        <v>Giovanni8</v>
      </c>
      <c r="C546" s="6">
        <f t="shared" si="27"/>
        <v>45568</v>
      </c>
      <c r="D546" t="s">
        <v>45</v>
      </c>
      <c r="E546" t="s">
        <v>73</v>
      </c>
      <c r="F546" s="32" t="str">
        <f>CONCATENATE(D546,D547,E546)</f>
        <v>GiovanniImanL</v>
      </c>
      <c r="I546" s="7"/>
      <c r="J546" s="7" t="str">
        <f>VLOOKUP(D546,Stats!B:B,1,0)</f>
        <v>Giovanni</v>
      </c>
    </row>
    <row r="547" spans="1:10" x14ac:dyDescent="0.25">
      <c r="A547" s="22"/>
      <c r="B547" s="6" t="str">
        <f>CONCATENATE($D547,((COUNTIFS($D:$D,$D547)-COUNTIF($D$3:$D547,$D547))+1))</f>
        <v>Iman1</v>
      </c>
      <c r="C547" s="6">
        <f t="shared" si="27"/>
        <v>45568</v>
      </c>
      <c r="D547" t="s">
        <v>50</v>
      </c>
      <c r="E547" t="s">
        <v>73</v>
      </c>
      <c r="F547" s="32" t="str">
        <f>CONCATENATE(D546,D548,E546)</f>
        <v>GiovanniLarsL</v>
      </c>
      <c r="G547" t="str">
        <f>CONCATENATE(D547,D548,E547)</f>
        <v>ImanLarsL</v>
      </c>
      <c r="I547" s="7"/>
      <c r="J547" s="7" t="str">
        <f>VLOOKUP(D547,Stats!B:B,1,0)</f>
        <v>Iman</v>
      </c>
    </row>
    <row r="548" spans="1:10" x14ac:dyDescent="0.25">
      <c r="A548" s="22"/>
      <c r="B548" s="6" t="str">
        <f>CONCATENATE($D548,((COUNTIFS($D:$D,$D548)-COUNTIF($D$3:$D548,$D548))+1))</f>
        <v>Lars3</v>
      </c>
      <c r="C548" s="6">
        <f t="shared" si="27"/>
        <v>45568</v>
      </c>
      <c r="D548" t="s">
        <v>146</v>
      </c>
      <c r="E548" t="s">
        <v>73</v>
      </c>
      <c r="F548" s="32" t="str">
        <f>CONCATENATE(D546,D549,E546)</f>
        <v>GiovanniPablo OGL</v>
      </c>
      <c r="G548" t="str">
        <f>CONCATENATE(D547,D549,E547)</f>
        <v>ImanPablo OGL</v>
      </c>
      <c r="H548" t="str">
        <f>CONCATENATE(D548,D549,E548)</f>
        <v>LarsPablo OGL</v>
      </c>
      <c r="I548" s="7"/>
      <c r="J548" s="7" t="str">
        <f>VLOOKUP(D548,Stats!B:B,1,0)</f>
        <v>Lars</v>
      </c>
    </row>
    <row r="549" spans="1:10" x14ac:dyDescent="0.25">
      <c r="A549" s="22"/>
      <c r="B549" s="6" t="str">
        <f>CONCATENATE($D549,((COUNTIFS($D:$D,$D549)-COUNTIF($D$3:$D549,$D549))+1))</f>
        <v>Pablo OG11</v>
      </c>
      <c r="C549" s="6">
        <f t="shared" si="27"/>
        <v>45568</v>
      </c>
      <c r="D549" t="s">
        <v>42</v>
      </c>
      <c r="E549" t="s">
        <v>73</v>
      </c>
      <c r="F549" s="32" t="str">
        <f>CONCATENATE(D546,D550,E546)</f>
        <v>GiovanniThijsL</v>
      </c>
      <c r="G549" t="str">
        <f>CONCATENATE(D547,D550,E547)</f>
        <v>ImanThijsL</v>
      </c>
      <c r="H549" t="str">
        <f>CONCATENATE(D548,D550,E548)</f>
        <v>LarsThijsL</v>
      </c>
      <c r="I549" s="7" t="str">
        <f>CONCATENATE(D549,D550,E549)</f>
        <v>Pablo OGThijsL</v>
      </c>
      <c r="J549" s="7" t="str">
        <f>VLOOKUP(D549,Stats!B:B,1,0)</f>
        <v>Pablo OG</v>
      </c>
    </row>
    <row r="550" spans="1:10" x14ac:dyDescent="0.25">
      <c r="A550" s="22"/>
      <c r="B550" s="8" t="str">
        <f>CONCATENATE($D550,((COUNTIFS($D:$D,$D550)-COUNTIF($D$3:$D550,$D550))+1))</f>
        <v>Thijs3</v>
      </c>
      <c r="C550" s="8">
        <f t="shared" si="27"/>
        <v>45568</v>
      </c>
      <c r="D550" t="s">
        <v>24</v>
      </c>
      <c r="E550" s="2" t="s">
        <v>73</v>
      </c>
      <c r="F550" s="13"/>
      <c r="G550" s="2"/>
      <c r="H550" s="2"/>
      <c r="I550" s="9"/>
      <c r="J550" s="9" t="str">
        <f>VLOOKUP(D550,Stats!B:B,1,0)</f>
        <v>Thijs</v>
      </c>
    </row>
    <row r="551" spans="1:10" x14ac:dyDescent="0.25">
      <c r="A551" s="22"/>
      <c r="B551" s="3" t="str">
        <f>CONCATENATE($D551,((COUNTIFS($D:$D,$D551)-COUNTIF($D$3:$D551,$D551))+1))</f>
        <v>Dobro10</v>
      </c>
      <c r="C551" s="3">
        <f>+C541+5</f>
        <v>45573</v>
      </c>
      <c r="D551" s="131" t="s">
        <v>35</v>
      </c>
      <c r="E551" s="4" t="s">
        <v>72</v>
      </c>
      <c r="F551" s="32" t="str">
        <f>CONCATENATE(D551,D552,E551)</f>
        <v>DobroBarisW</v>
      </c>
      <c r="I551" s="5"/>
      <c r="J551" s="5" t="str">
        <f>VLOOKUP(D551,Stats!B:B,1,0)</f>
        <v>Dobro</v>
      </c>
    </row>
    <row r="552" spans="1:10" x14ac:dyDescent="0.25">
      <c r="A552" s="22"/>
      <c r="B552" s="6" t="str">
        <f>CONCATENATE($D552,((COUNTIFS($D:$D,$D552)-COUNTIF($D$3:$D552,$D552))+1))</f>
        <v>Baris7</v>
      </c>
      <c r="C552" s="6">
        <f t="shared" si="27"/>
        <v>45573</v>
      </c>
      <c r="D552" t="s">
        <v>55</v>
      </c>
      <c r="E552" t="s">
        <v>72</v>
      </c>
      <c r="F552" s="32" t="str">
        <f>CONCATENATE(D551,D553,E551)</f>
        <v>DobroRenaudW</v>
      </c>
      <c r="G552" t="str">
        <f>CONCATENATE(D552,D553,E552)</f>
        <v>BarisRenaudW</v>
      </c>
      <c r="I552" s="7"/>
      <c r="J552" s="7" t="str">
        <f>VLOOKUP(D552,Stats!B:B,1,0)</f>
        <v>Baris</v>
      </c>
    </row>
    <row r="553" spans="1:10" x14ac:dyDescent="0.25">
      <c r="A553" s="22"/>
      <c r="B553" s="6" t="str">
        <f>CONCATENATE($D553,((COUNTIFS($D:$D,$D553)-COUNTIF($D$3:$D553,$D553))+1))</f>
        <v>Renaud11</v>
      </c>
      <c r="C553" s="6">
        <f t="shared" si="27"/>
        <v>45573</v>
      </c>
      <c r="D553" t="s">
        <v>147</v>
      </c>
      <c r="E553" t="s">
        <v>72</v>
      </c>
      <c r="F553" s="32" t="str">
        <f>CONCATENATE(D551,D554,E551)</f>
        <v>DobroPablo OGW</v>
      </c>
      <c r="G553" t="str">
        <f>CONCATENATE(D552,D554,E552)</f>
        <v>BarisPablo OGW</v>
      </c>
      <c r="H553" t="str">
        <f>CONCATENATE(D553,D554,E553)</f>
        <v>RenaudPablo OGW</v>
      </c>
      <c r="I553" s="7"/>
      <c r="J553" s="7" t="str">
        <f>VLOOKUP(D553,Stats!B:B,1,0)</f>
        <v>Renaud</v>
      </c>
    </row>
    <row r="554" spans="1:10" x14ac:dyDescent="0.25">
      <c r="A554" s="22"/>
      <c r="B554" s="6" t="str">
        <f>CONCATENATE($D554,((COUNTIFS($D:$D,$D554)-COUNTIF($D$3:$D554,$D554))+1))</f>
        <v>Pablo OG10</v>
      </c>
      <c r="C554" s="6">
        <f t="shared" si="27"/>
        <v>45573</v>
      </c>
      <c r="D554" t="s">
        <v>42</v>
      </c>
      <c r="E554" t="s">
        <v>72</v>
      </c>
      <c r="F554" s="32" t="str">
        <f>CONCATENATE(D551,D555,E551)</f>
        <v>DobroDmytroW</v>
      </c>
      <c r="G554" t="str">
        <f>CONCATENATE(D552,D555,E552)</f>
        <v>BarisDmytroW</v>
      </c>
      <c r="H554" t="str">
        <f>CONCATENATE(D553,D555,E553)</f>
        <v>RenaudDmytroW</v>
      </c>
      <c r="I554" s="7" t="str">
        <f>CONCATENATE(D554,D555,E554)</f>
        <v>Pablo OGDmytroW</v>
      </c>
      <c r="J554" s="7" t="str">
        <f>VLOOKUP(D554,Stats!B:B,1,0)</f>
        <v>Pablo OG</v>
      </c>
    </row>
    <row r="555" spans="1:10" x14ac:dyDescent="0.25">
      <c r="A555" s="22"/>
      <c r="B555" s="6" t="str">
        <f>CONCATENATE($D555,((COUNTIFS($D:$D,$D555)-COUNTIF($D$3:$D555,$D555))+1))</f>
        <v>Dmytro7</v>
      </c>
      <c r="C555" s="6">
        <f t="shared" si="27"/>
        <v>45573</v>
      </c>
      <c r="D555" t="s">
        <v>28</v>
      </c>
      <c r="E555" t="s">
        <v>72</v>
      </c>
      <c r="F555" s="32"/>
      <c r="I555" s="7"/>
      <c r="J555" s="7" t="str">
        <f>VLOOKUP(D555,Stats!B:B,1,0)</f>
        <v>Dmytro</v>
      </c>
    </row>
    <row r="556" spans="1:10" x14ac:dyDescent="0.25">
      <c r="A556" s="22"/>
      <c r="B556" s="6" t="str">
        <f>CONCATENATE($D556,((COUNTIFS($D:$D,$D556)-COUNTIF($D$3:$D556,$D556))+1))</f>
        <v>Luca9</v>
      </c>
      <c r="C556" s="6">
        <f t="shared" si="27"/>
        <v>45573</v>
      </c>
      <c r="D556" t="s">
        <v>46</v>
      </c>
      <c r="E556" t="s">
        <v>73</v>
      </c>
      <c r="F556" s="32" t="str">
        <f>CONCATENATE(D556,D557,E556)</f>
        <v>LucaDriesL</v>
      </c>
      <c r="I556" s="7"/>
      <c r="J556" s="7" t="str">
        <f>VLOOKUP(D556,Stats!B:B,1,0)</f>
        <v>Luca</v>
      </c>
    </row>
    <row r="557" spans="1:10" x14ac:dyDescent="0.25">
      <c r="A557" s="22"/>
      <c r="B557" s="6" t="str">
        <f>CONCATENATE($D557,((COUNTIFS($D:$D,$D557)-COUNTIF($D$3:$D557,$D557))+1))</f>
        <v>Dries1</v>
      </c>
      <c r="C557" s="6">
        <f t="shared" si="27"/>
        <v>45573</v>
      </c>
      <c r="D557" t="s">
        <v>148</v>
      </c>
      <c r="E557" t="s">
        <v>73</v>
      </c>
      <c r="F557" s="32" t="str">
        <f>CONCATENATE(D556,D558,E556)</f>
        <v>LucaAkbarL</v>
      </c>
      <c r="G557" t="str">
        <f>CONCATENATE(D557,D558,E557)</f>
        <v>DriesAkbarL</v>
      </c>
      <c r="I557" s="7"/>
      <c r="J557" s="7" t="str">
        <f>VLOOKUP(D557,Stats!B:B,1,0)</f>
        <v>Dries</v>
      </c>
    </row>
    <row r="558" spans="1:10" x14ac:dyDescent="0.25">
      <c r="A558" s="22"/>
      <c r="B558" s="6" t="str">
        <f>CONCATENATE($D558,((COUNTIFS($D:$D,$D558)-COUNTIF($D$3:$D558,$D558))+1))</f>
        <v>Akbar5</v>
      </c>
      <c r="C558" s="6">
        <f t="shared" si="27"/>
        <v>45573</v>
      </c>
      <c r="D558" t="s">
        <v>54</v>
      </c>
      <c r="E558" t="s">
        <v>73</v>
      </c>
      <c r="F558" s="32" t="str">
        <f>CONCATENATE(D556,D559,E556)</f>
        <v>LucaGiovanniL</v>
      </c>
      <c r="G558" t="str">
        <f>CONCATENATE(D557,D559,E557)</f>
        <v>DriesGiovanniL</v>
      </c>
      <c r="H558" t="str">
        <f>CONCATENATE(D558,D559,E558)</f>
        <v>AkbarGiovanniL</v>
      </c>
      <c r="I558" s="7"/>
      <c r="J558" s="7" t="str">
        <f>VLOOKUP(D558,Stats!B:B,1,0)</f>
        <v>Akbar</v>
      </c>
    </row>
    <row r="559" spans="1:10" x14ac:dyDescent="0.25">
      <c r="A559" s="22"/>
      <c r="B559" s="6" t="str">
        <f>CONCATENATE($D559,((COUNTIFS($D:$D,$D559)-COUNTIF($D$3:$D559,$D559))+1))</f>
        <v>Giovanni7</v>
      </c>
      <c r="C559" s="6">
        <f t="shared" si="27"/>
        <v>45573</v>
      </c>
      <c r="D559" t="s">
        <v>45</v>
      </c>
      <c r="E559" t="s">
        <v>73</v>
      </c>
      <c r="F559" s="32" t="str">
        <f>CONCATENATE(D556,D560,E556)</f>
        <v>LucaOnurL</v>
      </c>
      <c r="G559" t="str">
        <f>CONCATENATE(D557,D560,E557)</f>
        <v>DriesOnurL</v>
      </c>
      <c r="H559" t="str">
        <f>CONCATENATE(D558,D560,E558)</f>
        <v>AkbarOnurL</v>
      </c>
      <c r="I559" s="7" t="str">
        <f>CONCATENATE(D559,D560,E559)</f>
        <v>GiovanniOnurL</v>
      </c>
      <c r="J559" s="7" t="str">
        <f>VLOOKUP(D559,Stats!B:B,1,0)</f>
        <v>Giovanni</v>
      </c>
    </row>
    <row r="560" spans="1:10" x14ac:dyDescent="0.25">
      <c r="A560" s="22"/>
      <c r="B560" s="8" t="str">
        <f>CONCATENATE($D560,((COUNTIFS($D:$D,$D560)-COUNTIF($D$3:$D560,$D560))+1))</f>
        <v>Onur2</v>
      </c>
      <c r="C560" s="8">
        <f t="shared" si="27"/>
        <v>45573</v>
      </c>
      <c r="D560" s="110" t="s">
        <v>39</v>
      </c>
      <c r="E560" s="2" t="s">
        <v>73</v>
      </c>
      <c r="F560" s="13"/>
      <c r="G560" s="2"/>
      <c r="H560" s="2"/>
      <c r="I560" s="9"/>
      <c r="J560" s="9" t="str">
        <f>VLOOKUP(D560,Stats!B:B,1,0)</f>
        <v>Onur</v>
      </c>
    </row>
    <row r="561" spans="1:10" x14ac:dyDescent="0.25">
      <c r="A561" s="22"/>
      <c r="B561" s="3" t="str">
        <f>CONCATENATE($D561,((COUNTIFS($D:$D,$D561)-COUNTIF($D$3:$D561,$D561))+1))</f>
        <v>Bishoy10</v>
      </c>
      <c r="C561" s="3">
        <f>+C551+9</f>
        <v>45582</v>
      </c>
      <c r="D561" s="131" t="s">
        <v>61</v>
      </c>
      <c r="E561" s="4" t="s">
        <v>72</v>
      </c>
      <c r="F561" s="32" t="str">
        <f>CONCATENATE(D561,D562,E561)</f>
        <v>BishoyPablo OGW</v>
      </c>
      <c r="I561" s="5"/>
      <c r="J561" s="5" t="str">
        <f>VLOOKUP(D561,Stats!B:B,1,0)</f>
        <v>Bishoy</v>
      </c>
    </row>
    <row r="562" spans="1:10" x14ac:dyDescent="0.25">
      <c r="A562" s="22"/>
      <c r="B562" s="6" t="str">
        <f>CONCATENATE($D562,((COUNTIFS($D:$D,$D562)-COUNTIF($D$3:$D562,$D562))+1))</f>
        <v>Pablo OG9</v>
      </c>
      <c r="C562" s="6">
        <f t="shared" si="27"/>
        <v>45582</v>
      </c>
      <c r="D562" t="s">
        <v>42</v>
      </c>
      <c r="E562" t="s">
        <v>72</v>
      </c>
      <c r="F562" s="32" t="str">
        <f>CONCATENATE(D561,D563,E561)</f>
        <v>BishoyRenaudW</v>
      </c>
      <c r="G562" t="str">
        <f>CONCATENATE(D562,D563,E562)</f>
        <v>Pablo OGRenaudW</v>
      </c>
      <c r="I562" s="7"/>
      <c r="J562" s="7" t="str">
        <f>VLOOKUP(D562,Stats!B:B,1,0)</f>
        <v>Pablo OG</v>
      </c>
    </row>
    <row r="563" spans="1:10" x14ac:dyDescent="0.25">
      <c r="A563" s="22"/>
      <c r="B563" s="6" t="str">
        <f>CONCATENATE($D563,((COUNTIFS($D:$D,$D563)-COUNTIF($D$3:$D563,$D563))+1))</f>
        <v>Renaud10</v>
      </c>
      <c r="C563" s="6">
        <f t="shared" si="27"/>
        <v>45582</v>
      </c>
      <c r="D563" t="s">
        <v>147</v>
      </c>
      <c r="E563" t="s">
        <v>72</v>
      </c>
      <c r="F563" s="32" t="str">
        <f>CONCATENATE(D561,D564,E561)</f>
        <v>BishoyGiovanniW</v>
      </c>
      <c r="G563" t="str">
        <f>CONCATENATE(D562,D564,E562)</f>
        <v>Pablo OGGiovanniW</v>
      </c>
      <c r="H563" t="str">
        <f>CONCATENATE(D563,D564,E563)</f>
        <v>RenaudGiovanniW</v>
      </c>
      <c r="I563" s="7"/>
      <c r="J563" s="7" t="str">
        <f>VLOOKUP(D563,Stats!B:B,1,0)</f>
        <v>Renaud</v>
      </c>
    </row>
    <row r="564" spans="1:10" x14ac:dyDescent="0.25">
      <c r="A564" s="22"/>
      <c r="B564" s="6" t="str">
        <f>CONCATENATE($D564,((COUNTIFS($D:$D,$D564)-COUNTIF($D$3:$D564,$D564))+1))</f>
        <v>Giovanni6</v>
      </c>
      <c r="C564" s="6">
        <f t="shared" si="27"/>
        <v>45582</v>
      </c>
      <c r="D564" t="s">
        <v>45</v>
      </c>
      <c r="E564" t="s">
        <v>72</v>
      </c>
      <c r="F564" s="32" t="str">
        <f>CONCATENATE(D561,D565,E561)</f>
        <v>BishoyTchiW</v>
      </c>
      <c r="G564" t="str">
        <f>CONCATENATE(D562,D565,E562)</f>
        <v>Pablo OGTchiW</v>
      </c>
      <c r="H564" t="str">
        <f>CONCATENATE(D563,D565,E563)</f>
        <v>RenaudTchiW</v>
      </c>
      <c r="I564" s="7" t="str">
        <f>CONCATENATE(D564,D565,E564)</f>
        <v>GiovanniTchiW</v>
      </c>
      <c r="J564" s="7" t="str">
        <f>VLOOKUP(D564,Stats!B:B,1,0)</f>
        <v>Giovanni</v>
      </c>
    </row>
    <row r="565" spans="1:10" x14ac:dyDescent="0.25">
      <c r="A565" s="22"/>
      <c r="B565" s="6" t="str">
        <f>CONCATENATE($D565,((COUNTIFS($D:$D,$D565)-COUNTIF($D$3:$D565,$D565))+1))</f>
        <v>Tchi4</v>
      </c>
      <c r="C565" s="6">
        <f t="shared" si="27"/>
        <v>45582</v>
      </c>
      <c r="D565" t="s">
        <v>37</v>
      </c>
      <c r="E565" t="s">
        <v>72</v>
      </c>
      <c r="F565" s="32"/>
      <c r="I565" s="7"/>
      <c r="J565" s="7" t="str">
        <f>VLOOKUP(D565,Stats!B:B,1,0)</f>
        <v>Tchi</v>
      </c>
    </row>
    <row r="566" spans="1:10" x14ac:dyDescent="0.25">
      <c r="A566" s="22"/>
      <c r="B566" s="6" t="str">
        <f>CONCATENATE($D566,((COUNTIFS($D:$D,$D566)-COUNTIF($D$3:$D566,$D566))+1))</f>
        <v>Kieran1</v>
      </c>
      <c r="C566" s="6">
        <f t="shared" si="27"/>
        <v>45582</v>
      </c>
      <c r="D566" t="s">
        <v>21</v>
      </c>
      <c r="E566" t="s">
        <v>73</v>
      </c>
      <c r="F566" s="32" t="str">
        <f>CONCATENATE(D566,D567,E566)</f>
        <v>KieranDmytroL</v>
      </c>
      <c r="I566" s="7"/>
      <c r="J566" s="7" t="str">
        <f>VLOOKUP(D566,Stats!B:B,1,0)</f>
        <v>Kieran</v>
      </c>
    </row>
    <row r="567" spans="1:10" x14ac:dyDescent="0.25">
      <c r="A567" s="22"/>
      <c r="B567" s="6" t="str">
        <f>CONCATENATE($D567,((COUNTIFS($D:$D,$D567)-COUNTIF($D$3:$D567,$D567))+1))</f>
        <v>Dmytro6</v>
      </c>
      <c r="C567" s="6">
        <f t="shared" si="27"/>
        <v>45582</v>
      </c>
      <c r="D567" t="s">
        <v>28</v>
      </c>
      <c r="E567" t="s">
        <v>73</v>
      </c>
      <c r="F567" s="32" t="str">
        <f>CONCATENATE(D566,D568,E566)</f>
        <v>KieranDobroL</v>
      </c>
      <c r="G567" t="str">
        <f>CONCATENATE(D567,D568,E567)</f>
        <v>DmytroDobroL</v>
      </c>
      <c r="I567" s="7"/>
      <c r="J567" s="7" t="str">
        <f>VLOOKUP(D567,Stats!B:B,1,0)</f>
        <v>Dmytro</v>
      </c>
    </row>
    <row r="568" spans="1:10" x14ac:dyDescent="0.25">
      <c r="A568" s="22"/>
      <c r="B568" s="6" t="str">
        <f>CONCATENATE($D568,((COUNTIFS($D:$D,$D568)-COUNTIF($D$3:$D568,$D568))+1))</f>
        <v>Dobro9</v>
      </c>
      <c r="C568" s="6">
        <f t="shared" si="27"/>
        <v>45582</v>
      </c>
      <c r="D568" t="s">
        <v>35</v>
      </c>
      <c r="E568" t="s">
        <v>73</v>
      </c>
      <c r="F568" s="32" t="str">
        <f>CONCATENATE(D566,D569,E566)</f>
        <v>KieranSanderoL</v>
      </c>
      <c r="G568" t="str">
        <f>CONCATENATE(D567,D569,E567)</f>
        <v>DmytroSanderoL</v>
      </c>
      <c r="H568" t="str">
        <f>CONCATENATE(D568,D569,E568)</f>
        <v>DobroSanderoL</v>
      </c>
      <c r="I568" s="7"/>
      <c r="J568" s="7" t="str">
        <f>VLOOKUP(D568,Stats!B:B,1,0)</f>
        <v>Dobro</v>
      </c>
    </row>
    <row r="569" spans="1:10" x14ac:dyDescent="0.25">
      <c r="A569" s="22"/>
      <c r="B569" s="6" t="str">
        <f>CONCATENATE($D569,((COUNTIFS($D:$D,$D569)-COUNTIF($D$3:$D569,$D569))+1))</f>
        <v>Sandero4</v>
      </c>
      <c r="C569" s="6">
        <f t="shared" si="27"/>
        <v>45582</v>
      </c>
      <c r="D569" t="s">
        <v>57</v>
      </c>
      <c r="E569" t="s">
        <v>73</v>
      </c>
      <c r="F569" s="32" t="str">
        <f>CONCATENATE(D566,D570,E566)</f>
        <v>KieranWouterL</v>
      </c>
      <c r="G569" t="str">
        <f>CONCATENATE(D567,D570,E567)</f>
        <v>DmytroWouterL</v>
      </c>
      <c r="H569" t="str">
        <f>CONCATENATE(D568,D570,E568)</f>
        <v>DobroWouterL</v>
      </c>
      <c r="I569" s="7" t="str">
        <f>CONCATENATE(D569,D570,E569)</f>
        <v>SanderoWouterL</v>
      </c>
      <c r="J569" s="7" t="str">
        <f>VLOOKUP(D569,Stats!B:B,1,0)</f>
        <v>Sandero</v>
      </c>
    </row>
    <row r="570" spans="1:10" x14ac:dyDescent="0.25">
      <c r="A570" s="22"/>
      <c r="B570" s="8" t="str">
        <f>CONCATENATE($D570,((COUNTIFS($D:$D,$D570)-COUNTIF($D$3:$D570,$D570))+1))</f>
        <v>Wouter7</v>
      </c>
      <c r="C570" s="8">
        <f t="shared" si="27"/>
        <v>45582</v>
      </c>
      <c r="D570" s="110" t="s">
        <v>36</v>
      </c>
      <c r="E570" s="2" t="s">
        <v>73</v>
      </c>
      <c r="F570" s="13"/>
      <c r="G570" s="2"/>
      <c r="H570" s="2"/>
      <c r="I570" s="9"/>
      <c r="J570" s="9" t="str">
        <f>VLOOKUP(D570,Stats!B:B,1,0)</f>
        <v>Wouter</v>
      </c>
    </row>
    <row r="571" spans="1:10" x14ac:dyDescent="0.25">
      <c r="A571" s="22"/>
      <c r="B571" s="3" t="str">
        <f>CONCATENATE($D571,((COUNTIFS($D:$D,$D571)-COUNTIF($D$3:$D571,$D571))+1))</f>
        <v>Bishoy9</v>
      </c>
      <c r="C571" s="3">
        <f>+C561+5</f>
        <v>45587</v>
      </c>
      <c r="D571" s="131" t="s">
        <v>61</v>
      </c>
      <c r="E571" s="4" t="s">
        <v>72</v>
      </c>
      <c r="F571" s="32" t="str">
        <f>CONCATENATE(D571,D572,E571)</f>
        <v>BishoyFiratW</v>
      </c>
      <c r="I571" s="5"/>
      <c r="J571" s="5" t="str">
        <f>VLOOKUP(D571,Stats!B:B,1,0)</f>
        <v>Bishoy</v>
      </c>
    </row>
    <row r="572" spans="1:10" x14ac:dyDescent="0.25">
      <c r="A572" s="22"/>
      <c r="B572" s="6" t="str">
        <f>CONCATENATE($D572,((COUNTIFS($D:$D,$D572)-COUNTIF($D$3:$D572,$D572))+1))</f>
        <v>Firat4</v>
      </c>
      <c r="C572" s="6">
        <f t="shared" si="27"/>
        <v>45587</v>
      </c>
      <c r="D572" t="s">
        <v>33</v>
      </c>
      <c r="E572" t="s">
        <v>72</v>
      </c>
      <c r="F572" s="32" t="str">
        <f>CONCATENATE(D571,D573,E571)</f>
        <v>BishoyJo HanW</v>
      </c>
      <c r="G572" t="str">
        <f>CONCATENATE(D572,D573,E572)</f>
        <v>FiratJo HanW</v>
      </c>
      <c r="I572" s="7"/>
      <c r="J572" s="7" t="str">
        <f>VLOOKUP(D572,Stats!B:B,1,0)</f>
        <v>Firat</v>
      </c>
    </row>
    <row r="573" spans="1:10" x14ac:dyDescent="0.25">
      <c r="A573" s="22"/>
      <c r="B573" s="6" t="str">
        <f>CONCATENATE($D573,((COUNTIFS($D:$D,$D573)-COUNTIF($D$3:$D573,$D573))+1))</f>
        <v>Jo Han1</v>
      </c>
      <c r="C573" s="6">
        <f t="shared" si="27"/>
        <v>45587</v>
      </c>
      <c r="D573" t="s">
        <v>149</v>
      </c>
      <c r="E573" t="s">
        <v>72</v>
      </c>
      <c r="F573" s="32" t="str">
        <f>CONCATENATE(D571,D574,E571)</f>
        <v>BishoyPablo OGW</v>
      </c>
      <c r="G573" t="str">
        <f>CONCATENATE(D572,D574,E572)</f>
        <v>FiratPablo OGW</v>
      </c>
      <c r="H573" t="str">
        <f>CONCATENATE(D573,D574,E573)</f>
        <v>Jo HanPablo OGW</v>
      </c>
      <c r="I573" s="7"/>
      <c r="J573" s="7" t="str">
        <f>VLOOKUP(D573,Stats!B:B,1,0)</f>
        <v>Jo Han</v>
      </c>
    </row>
    <row r="574" spans="1:10" x14ac:dyDescent="0.25">
      <c r="A574" s="22"/>
      <c r="B574" s="6" t="str">
        <f>CONCATENATE($D574,((COUNTIFS($D:$D,$D574)-COUNTIF($D$3:$D574,$D574))+1))</f>
        <v>Pablo OG8</v>
      </c>
      <c r="C574" s="6">
        <f t="shared" si="27"/>
        <v>45587</v>
      </c>
      <c r="D574" t="s">
        <v>42</v>
      </c>
      <c r="E574" t="s">
        <v>72</v>
      </c>
      <c r="F574" s="32" t="str">
        <f>CONCATENATE(D571,D575,E571)</f>
        <v>BishoySanderoW</v>
      </c>
      <c r="G574" t="str">
        <f>CONCATENATE(D572,D575,E572)</f>
        <v>FiratSanderoW</v>
      </c>
      <c r="H574" t="str">
        <f>CONCATENATE(D573,D575,E573)</f>
        <v>Jo HanSanderoW</v>
      </c>
      <c r="I574" s="7" t="str">
        <f>CONCATENATE(D574,D575,E574)</f>
        <v>Pablo OGSanderoW</v>
      </c>
      <c r="J574" s="7" t="str">
        <f>VLOOKUP(D574,Stats!B:B,1,0)</f>
        <v>Pablo OG</v>
      </c>
    </row>
    <row r="575" spans="1:10" x14ac:dyDescent="0.25">
      <c r="A575" s="22"/>
      <c r="B575" s="6" t="str">
        <f>CONCATENATE($D575,((COUNTIFS($D:$D,$D575)-COUNTIF($D$3:$D575,$D575))+1))</f>
        <v>Sandero3</v>
      </c>
      <c r="C575" s="6">
        <f t="shared" si="27"/>
        <v>45587</v>
      </c>
      <c r="D575" t="s">
        <v>57</v>
      </c>
      <c r="E575" t="s">
        <v>72</v>
      </c>
      <c r="F575" s="32"/>
      <c r="I575" s="7"/>
      <c r="J575" s="7" t="str">
        <f>VLOOKUP(D575,Stats!B:B,1,0)</f>
        <v>Sandero</v>
      </c>
    </row>
    <row r="576" spans="1:10" x14ac:dyDescent="0.25">
      <c r="A576" s="22"/>
      <c r="B576" s="6" t="str">
        <f>CONCATENATE($D576,((COUNTIFS($D:$D,$D576)-COUNTIF($D$3:$D576,$D576))+1))</f>
        <v>Alex4</v>
      </c>
      <c r="C576" s="6">
        <f t="shared" si="27"/>
        <v>45587</v>
      </c>
      <c r="D576" t="s">
        <v>18</v>
      </c>
      <c r="E576" t="s">
        <v>73</v>
      </c>
      <c r="F576" s="32" t="str">
        <f>CONCATENATE(D576,D577,E576)</f>
        <v>AlexDmytroL</v>
      </c>
      <c r="I576" s="7"/>
      <c r="J576" s="7" t="str">
        <f>VLOOKUP(D576,Stats!B:B,1,0)</f>
        <v>Alex</v>
      </c>
    </row>
    <row r="577" spans="1:10" x14ac:dyDescent="0.25">
      <c r="A577" s="22"/>
      <c r="B577" s="6" t="str">
        <f>CONCATENATE($D577,((COUNTIFS($D:$D,$D577)-COUNTIF($D$3:$D577,$D577))+1))</f>
        <v>Dmytro5</v>
      </c>
      <c r="C577" s="6">
        <f t="shared" si="27"/>
        <v>45587</v>
      </c>
      <c r="D577" t="s">
        <v>28</v>
      </c>
      <c r="E577" t="s">
        <v>73</v>
      </c>
      <c r="F577" s="32" t="str">
        <f>CONCATENATE(D576,D578,E576)</f>
        <v>AlexBarisL</v>
      </c>
      <c r="G577" t="str">
        <f>CONCATENATE(D577,D578,E577)</f>
        <v>DmytroBarisL</v>
      </c>
      <c r="I577" s="7"/>
      <c r="J577" s="7" t="str">
        <f>VLOOKUP(D577,Stats!B:B,1,0)</f>
        <v>Dmytro</v>
      </c>
    </row>
    <row r="578" spans="1:10" x14ac:dyDescent="0.25">
      <c r="A578" s="22"/>
      <c r="B578" s="6" t="str">
        <f>CONCATENATE($D578,((COUNTIFS($D:$D,$D578)-COUNTIF($D$3:$D578,$D578))+1))</f>
        <v>Baris6</v>
      </c>
      <c r="C578" s="6">
        <f t="shared" si="27"/>
        <v>45587</v>
      </c>
      <c r="D578" t="s">
        <v>55</v>
      </c>
      <c r="E578" t="s">
        <v>73</v>
      </c>
      <c r="F578" s="32" t="str">
        <f>CONCATENATE(D576,D579,E576)</f>
        <v>AlexLucaL</v>
      </c>
      <c r="G578" t="str">
        <f>CONCATENATE(D577,D579,E577)</f>
        <v>DmytroLucaL</v>
      </c>
      <c r="H578" t="str">
        <f>CONCATENATE(D578,D579,E578)</f>
        <v>BarisLucaL</v>
      </c>
      <c r="I578" s="7"/>
      <c r="J578" s="7" t="str">
        <f>VLOOKUP(D578,Stats!B:B,1,0)</f>
        <v>Baris</v>
      </c>
    </row>
    <row r="579" spans="1:10" x14ac:dyDescent="0.25">
      <c r="A579" s="22"/>
      <c r="B579" s="6" t="str">
        <f>CONCATENATE($D579,((COUNTIFS($D:$D,$D579)-COUNTIF($D$3:$D579,$D579))+1))</f>
        <v>Luca8</v>
      </c>
      <c r="C579" s="6">
        <f t="shared" si="27"/>
        <v>45587</v>
      </c>
      <c r="D579" t="s">
        <v>46</v>
      </c>
      <c r="E579" t="s">
        <v>73</v>
      </c>
      <c r="F579" s="32" t="str">
        <f>CONCATENATE(D576,D580,E576)</f>
        <v>AlexDobroL</v>
      </c>
      <c r="G579" t="str">
        <f>CONCATENATE(D577,D580,E577)</f>
        <v>DmytroDobroL</v>
      </c>
      <c r="H579" t="str">
        <f>CONCATENATE(D578,D580,E578)</f>
        <v>BarisDobroL</v>
      </c>
      <c r="I579" s="7" t="str">
        <f>CONCATENATE(D579,D580,E579)</f>
        <v>LucaDobroL</v>
      </c>
      <c r="J579" s="7" t="str">
        <f>VLOOKUP(D579,Stats!B:B,1,0)</f>
        <v>Luca</v>
      </c>
    </row>
    <row r="580" spans="1:10" x14ac:dyDescent="0.25">
      <c r="A580" s="22"/>
      <c r="B580" s="8" t="str">
        <f>CONCATENATE($D580,((COUNTIFS($D:$D,$D580)-COUNTIF($D$3:$D580,$D580))+1))</f>
        <v>Dobro8</v>
      </c>
      <c r="C580" s="8">
        <f t="shared" si="27"/>
        <v>45587</v>
      </c>
      <c r="D580" s="110" t="s">
        <v>35</v>
      </c>
      <c r="E580" s="2" t="s">
        <v>73</v>
      </c>
      <c r="F580" s="13"/>
      <c r="G580" s="2"/>
      <c r="H580" s="2"/>
      <c r="I580" s="9"/>
      <c r="J580" s="9" t="str">
        <f>VLOOKUP(D580,Stats!B:B,1,0)</f>
        <v>Dobro</v>
      </c>
    </row>
    <row r="581" spans="1:10" x14ac:dyDescent="0.25">
      <c r="A581" s="22"/>
      <c r="B581" s="3" t="str">
        <f>CONCATENATE($D581,((COUNTIFS($D:$D,$D581)-COUNTIF($D$3:$D581,$D581))+1))</f>
        <v>Adi2</v>
      </c>
      <c r="C581" s="3">
        <f>+C571+7</f>
        <v>45594</v>
      </c>
      <c r="D581" s="131" t="s">
        <v>47</v>
      </c>
      <c r="E581" s="4" t="s">
        <v>72</v>
      </c>
      <c r="F581" s="32" t="str">
        <f>CONCATENATE(D581,D582,E581)</f>
        <v>AdiAkbarW</v>
      </c>
      <c r="I581" s="5"/>
      <c r="J581" s="5" t="str">
        <f>VLOOKUP(D581,Stats!B:B,1,0)</f>
        <v>Adi</v>
      </c>
    </row>
    <row r="582" spans="1:10" x14ac:dyDescent="0.25">
      <c r="A582" s="22"/>
      <c r="B582" s="6" t="str">
        <f>CONCATENATE($D582,((COUNTIFS($D:$D,$D582)-COUNTIF($D$3:$D582,$D582))+1))</f>
        <v>Akbar4</v>
      </c>
      <c r="C582" s="6">
        <f t="shared" si="27"/>
        <v>45594</v>
      </c>
      <c r="D582" t="s">
        <v>54</v>
      </c>
      <c r="E582" t="s">
        <v>72</v>
      </c>
      <c r="F582" s="32" t="str">
        <f>CONCATENATE(D581,D583,E581)</f>
        <v>AdiGregorW</v>
      </c>
      <c r="G582" t="str">
        <f>CONCATENATE(D582,D583,E582)</f>
        <v>AkbarGregorW</v>
      </c>
      <c r="I582" s="7"/>
      <c r="J582" s="7" t="str">
        <f>VLOOKUP(D582,Stats!B:B,1,0)</f>
        <v>Akbar</v>
      </c>
    </row>
    <row r="583" spans="1:10" x14ac:dyDescent="0.25">
      <c r="A583" s="22"/>
      <c r="B583" s="6" t="str">
        <f>CONCATENATE($D583,((COUNTIFS($D:$D,$D583)-COUNTIF($D$3:$D583,$D583))+1))</f>
        <v>Gregor1</v>
      </c>
      <c r="C583" s="6">
        <f t="shared" si="27"/>
        <v>45594</v>
      </c>
      <c r="D583" t="s">
        <v>150</v>
      </c>
      <c r="E583" t="s">
        <v>72</v>
      </c>
      <c r="F583" s="32" t="str">
        <f>CONCATENATE(D581,D584,E581)</f>
        <v>AdiPablo PW</v>
      </c>
      <c r="G583" t="str">
        <f>CONCATENATE(D582,D584,E582)</f>
        <v>AkbarPablo PW</v>
      </c>
      <c r="H583" t="str">
        <f>CONCATENATE(D583,D584,E583)</f>
        <v>GregorPablo PW</v>
      </c>
      <c r="I583" s="7"/>
      <c r="J583" s="7" t="str">
        <f>VLOOKUP(D583,Stats!B:B,1,0)</f>
        <v>Gregor</v>
      </c>
    </row>
    <row r="584" spans="1:10" x14ac:dyDescent="0.25">
      <c r="A584" s="22"/>
      <c r="B584" s="6" t="str">
        <f>CONCATENATE($D584,((COUNTIFS($D:$D,$D584)-COUNTIF($D$3:$D584,$D584))+1))</f>
        <v>Pablo P1</v>
      </c>
      <c r="C584" s="6">
        <f t="shared" si="27"/>
        <v>45594</v>
      </c>
      <c r="D584" t="s">
        <v>48</v>
      </c>
      <c r="E584" t="s">
        <v>72</v>
      </c>
      <c r="F584" s="32" t="str">
        <f>CONCATENATE(D581,D585,E581)</f>
        <v>AdiWouterW</v>
      </c>
      <c r="G584" t="str">
        <f>CONCATENATE(D582,D585,E582)</f>
        <v>AkbarWouterW</v>
      </c>
      <c r="H584" t="str">
        <f>CONCATENATE(D583,D585,E583)</f>
        <v>GregorWouterW</v>
      </c>
      <c r="I584" s="7" t="str">
        <f>CONCATENATE(D584,D585,E584)</f>
        <v>Pablo PWouterW</v>
      </c>
      <c r="J584" s="7" t="str">
        <f>VLOOKUP(D584,Stats!B:B,1,0)</f>
        <v>Pablo P</v>
      </c>
    </row>
    <row r="585" spans="1:10" x14ac:dyDescent="0.25">
      <c r="A585" s="22"/>
      <c r="B585" s="6" t="str">
        <f>CONCATENATE($D585,((COUNTIFS($D:$D,$D585)-COUNTIF($D$3:$D585,$D585))+1))</f>
        <v>Wouter6</v>
      </c>
      <c r="C585" s="6">
        <f t="shared" si="27"/>
        <v>45594</v>
      </c>
      <c r="D585" t="s">
        <v>36</v>
      </c>
      <c r="E585" t="s">
        <v>72</v>
      </c>
      <c r="F585" s="32"/>
      <c r="I585" s="7"/>
      <c r="J585" s="7" t="str">
        <f>VLOOKUP(D585,Stats!B:B,1,0)</f>
        <v>Wouter</v>
      </c>
    </row>
    <row r="586" spans="1:10" x14ac:dyDescent="0.25">
      <c r="A586" s="22"/>
      <c r="B586" s="6" t="str">
        <f>CONCATENATE($D586,((COUNTIFS($D:$D,$D586)-COUNTIF($D$3:$D586,$D586))+1))</f>
        <v>Adam9</v>
      </c>
      <c r="C586" s="6">
        <f t="shared" si="27"/>
        <v>45594</v>
      </c>
      <c r="D586" t="s">
        <v>53</v>
      </c>
      <c r="E586" t="s">
        <v>73</v>
      </c>
      <c r="F586" s="32" t="str">
        <f>CONCATENATE(D586,D587,E586)</f>
        <v>AdamBishoyL</v>
      </c>
      <c r="I586" s="7"/>
      <c r="J586" s="7" t="str">
        <f>VLOOKUP(D586,Stats!B:B,1,0)</f>
        <v>Adam</v>
      </c>
    </row>
    <row r="587" spans="1:10" x14ac:dyDescent="0.25">
      <c r="A587" s="22"/>
      <c r="B587" s="6" t="str">
        <f>CONCATENATE($D587,((COUNTIFS($D:$D,$D587)-COUNTIF($D$3:$D587,$D587))+1))</f>
        <v>Bishoy8</v>
      </c>
      <c r="C587" s="6">
        <f t="shared" si="27"/>
        <v>45594</v>
      </c>
      <c r="D587" t="s">
        <v>61</v>
      </c>
      <c r="E587" t="s">
        <v>73</v>
      </c>
      <c r="F587" s="32" t="str">
        <f>CONCATENATE(D586,D588,E586)</f>
        <v>AdamDobroL</v>
      </c>
      <c r="G587" t="str">
        <f>CONCATENATE(D587,D588,E587)</f>
        <v>BishoyDobroL</v>
      </c>
      <c r="I587" s="7"/>
      <c r="J587" s="7" t="str">
        <f>VLOOKUP(D587,Stats!B:B,1,0)</f>
        <v>Bishoy</v>
      </c>
    </row>
    <row r="588" spans="1:10" x14ac:dyDescent="0.25">
      <c r="A588" s="22"/>
      <c r="B588" s="6" t="str">
        <f>CONCATENATE($D588,((COUNTIFS($D:$D,$D588)-COUNTIF($D$3:$D588,$D588))+1))</f>
        <v>Dobro7</v>
      </c>
      <c r="C588" s="6">
        <f t="shared" si="27"/>
        <v>45594</v>
      </c>
      <c r="D588" t="s">
        <v>35</v>
      </c>
      <c r="E588" t="s">
        <v>73</v>
      </c>
      <c r="F588" s="32" t="str">
        <f>CONCATENATE(D586,D589,E586)</f>
        <v>AdamRenaudL</v>
      </c>
      <c r="G588" t="str">
        <f>CONCATENATE(D587,D589,E587)</f>
        <v>BishoyRenaudL</v>
      </c>
      <c r="H588" t="str">
        <f>CONCATENATE(D588,D589,E588)</f>
        <v>DobroRenaudL</v>
      </c>
      <c r="I588" s="7"/>
      <c r="J588" s="7" t="str">
        <f>VLOOKUP(D588,Stats!B:B,1,0)</f>
        <v>Dobro</v>
      </c>
    </row>
    <row r="589" spans="1:10" x14ac:dyDescent="0.25">
      <c r="A589" s="22"/>
      <c r="B589" s="6" t="str">
        <f>CONCATENATE($D589,((COUNTIFS($D:$D,$D589)-COUNTIF($D$3:$D589,$D589))+1))</f>
        <v>Renaud9</v>
      </c>
      <c r="C589" s="6">
        <f t="shared" si="27"/>
        <v>45594</v>
      </c>
      <c r="D589" t="s">
        <v>147</v>
      </c>
      <c r="E589" t="s">
        <v>73</v>
      </c>
      <c r="F589" s="32" t="str">
        <f>CONCATENATE(D586,D590,E586)</f>
        <v>AdamLucaL</v>
      </c>
      <c r="G589" t="str">
        <f>CONCATENATE(D587,D590,E587)</f>
        <v>BishoyLucaL</v>
      </c>
      <c r="H589" t="str">
        <f>CONCATENATE(D588,D590,E588)</f>
        <v>DobroLucaL</v>
      </c>
      <c r="I589" s="7" t="str">
        <f>CONCATENATE(D589,D590,E589)</f>
        <v>RenaudLucaL</v>
      </c>
      <c r="J589" s="7" t="str">
        <f>VLOOKUP(D589,Stats!B:B,1,0)</f>
        <v>Renaud</v>
      </c>
    </row>
    <row r="590" spans="1:10" x14ac:dyDescent="0.25">
      <c r="A590" s="22"/>
      <c r="B590" s="8" t="str">
        <f>CONCATENATE($D590,((COUNTIFS($D:$D,$D590)-COUNTIF($D$3:$D590,$D590))+1))</f>
        <v>Luca7</v>
      </c>
      <c r="C590" s="8">
        <f t="shared" si="27"/>
        <v>45594</v>
      </c>
      <c r="D590" s="110" t="s">
        <v>46</v>
      </c>
      <c r="E590" s="2" t="s">
        <v>73</v>
      </c>
      <c r="F590" s="13"/>
      <c r="G590" s="2"/>
      <c r="H590" s="2"/>
      <c r="I590" s="9"/>
      <c r="J590" s="9" t="str">
        <f>VLOOKUP(D590,Stats!B:B,1,0)</f>
        <v>Luca</v>
      </c>
    </row>
    <row r="591" spans="1:10" x14ac:dyDescent="0.25">
      <c r="A591" s="22"/>
      <c r="B591" s="3" t="str">
        <f>CONCATENATE($D591,((COUNTIFS($D:$D,$D591)-COUNTIF($D$3:$D591,$D591))+1))</f>
        <v>Adam8</v>
      </c>
      <c r="C591" s="3">
        <f>+C581+7</f>
        <v>45601</v>
      </c>
      <c r="D591" s="32" t="s">
        <v>53</v>
      </c>
      <c r="E591" s="4" t="s">
        <v>72</v>
      </c>
      <c r="F591" s="32" t="str">
        <f>CONCATENATE(D591,D592,E591)</f>
        <v>AdamBramW</v>
      </c>
      <c r="I591" s="5"/>
      <c r="J591" s="5" t="str">
        <f>VLOOKUP(D591,Stats!B:B,1,0)</f>
        <v>Adam</v>
      </c>
    </row>
    <row r="592" spans="1:10" x14ac:dyDescent="0.25">
      <c r="A592" s="22"/>
      <c r="B592" s="6" t="str">
        <f>CONCATENATE($D592,((COUNTIFS($D:$D,$D592)-COUNTIF($D$3:$D592,$D592))+1))</f>
        <v>Bram7</v>
      </c>
      <c r="C592" s="6">
        <f t="shared" si="27"/>
        <v>45601</v>
      </c>
      <c r="D592" s="32" t="s">
        <v>52</v>
      </c>
      <c r="E592" t="s">
        <v>72</v>
      </c>
      <c r="F592" s="32" t="str">
        <f>CONCATENATE(D591,D593,E591)</f>
        <v>AdamGiovanniW</v>
      </c>
      <c r="G592" t="str">
        <f>CONCATENATE(D592,D593,E592)</f>
        <v>BramGiovanniW</v>
      </c>
      <c r="I592" s="7"/>
      <c r="J592" s="7" t="str">
        <f>VLOOKUP(D592,Stats!B:B,1,0)</f>
        <v>Bram</v>
      </c>
    </row>
    <row r="593" spans="1:10" x14ac:dyDescent="0.25">
      <c r="A593" s="22"/>
      <c r="B593" s="6" t="str">
        <f>CONCATENATE($D593,((COUNTIFS($D:$D,$D593)-COUNTIF($D$3:$D593,$D593))+1))</f>
        <v>Giovanni5</v>
      </c>
      <c r="C593" s="6">
        <f t="shared" si="27"/>
        <v>45601</v>
      </c>
      <c r="D593" s="32" t="s">
        <v>45</v>
      </c>
      <c r="E593" t="s">
        <v>72</v>
      </c>
      <c r="F593" s="32" t="str">
        <f>CONCATENATE(D591,D594,E591)</f>
        <v>AdamLucaW</v>
      </c>
      <c r="G593" t="str">
        <f>CONCATENATE(D592,D594,E592)</f>
        <v>BramLucaW</v>
      </c>
      <c r="H593" t="str">
        <f>CONCATENATE(D593,D594,E593)</f>
        <v>GiovanniLucaW</v>
      </c>
      <c r="I593" s="7"/>
      <c r="J593" s="7" t="str">
        <f>VLOOKUP(D593,Stats!B:B,1,0)</f>
        <v>Giovanni</v>
      </c>
    </row>
    <row r="594" spans="1:10" x14ac:dyDescent="0.25">
      <c r="A594" s="22"/>
      <c r="B594" s="6" t="str">
        <f>CONCATENATE($D594,((COUNTIFS($D:$D,$D594)-COUNTIF($D$3:$D594,$D594))+1))</f>
        <v>Luca6</v>
      </c>
      <c r="C594" s="6">
        <f t="shared" si="27"/>
        <v>45601</v>
      </c>
      <c r="D594" s="32" t="s">
        <v>46</v>
      </c>
      <c r="E594" t="s">
        <v>72</v>
      </c>
      <c r="F594" s="32" t="str">
        <f>CONCATENATE(D591,D595,E591)</f>
        <v>AdamPablo OGW</v>
      </c>
      <c r="G594" t="str">
        <f>CONCATENATE(D592,D595,E592)</f>
        <v>BramPablo OGW</v>
      </c>
      <c r="H594" t="str">
        <f>CONCATENATE(D593,D595,E593)</f>
        <v>GiovanniPablo OGW</v>
      </c>
      <c r="I594" s="7" t="str">
        <f>CONCATENATE(D594,D595,E594)</f>
        <v>LucaPablo OGW</v>
      </c>
      <c r="J594" s="7" t="str">
        <f>VLOOKUP(D594,Stats!B:B,1,0)</f>
        <v>Luca</v>
      </c>
    </row>
    <row r="595" spans="1:10" x14ac:dyDescent="0.25">
      <c r="A595" s="22"/>
      <c r="B595" s="6" t="str">
        <f>CONCATENATE($D595,((COUNTIFS($D:$D,$D595)-COUNTIF($D$3:$D595,$D595))+1))</f>
        <v>Pablo OG7</v>
      </c>
      <c r="C595" s="6">
        <f t="shared" si="27"/>
        <v>45601</v>
      </c>
      <c r="D595" s="32" t="s">
        <v>42</v>
      </c>
      <c r="E595" t="s">
        <v>72</v>
      </c>
      <c r="F595" s="32"/>
      <c r="I595" s="7"/>
      <c r="J595" s="7" t="str">
        <f>VLOOKUP(D595,Stats!B:B,1,0)</f>
        <v>Pablo OG</v>
      </c>
    </row>
    <row r="596" spans="1:10" x14ac:dyDescent="0.25">
      <c r="A596" s="22"/>
      <c r="B596" s="6" t="str">
        <f>CONCATENATE($D596,((COUNTIFS($D:$D,$D596)-COUNTIF($D$3:$D596,$D596))+1))</f>
        <v>Akbar3</v>
      </c>
      <c r="C596" s="6">
        <f t="shared" ref="C596:C600" si="28">C595</f>
        <v>45601</v>
      </c>
      <c r="D596" s="32" t="s">
        <v>54</v>
      </c>
      <c r="E596" t="s">
        <v>73</v>
      </c>
      <c r="F596" s="32" t="str">
        <f>CONCATENATE(D596,D597,E596)</f>
        <v>AkbarArneL</v>
      </c>
      <c r="I596" s="7"/>
      <c r="J596" s="7" t="str">
        <f>VLOOKUP(D596,Stats!B:B,1,0)</f>
        <v>Akbar</v>
      </c>
    </row>
    <row r="597" spans="1:10" x14ac:dyDescent="0.25">
      <c r="A597" s="22"/>
      <c r="B597" s="6" t="str">
        <f>CONCATENATE($D597,((COUNTIFS($D:$D,$D597)-COUNTIF($D$3:$D597,$D597))+1))</f>
        <v>Arne2</v>
      </c>
      <c r="C597" s="6">
        <f t="shared" si="28"/>
        <v>45601</v>
      </c>
      <c r="D597" s="32" t="s">
        <v>49</v>
      </c>
      <c r="E597" t="s">
        <v>73</v>
      </c>
      <c r="F597" s="32" t="str">
        <f>CONCATENATE(D596,D598,E596)</f>
        <v>AkbarBishoyL</v>
      </c>
      <c r="G597" t="str">
        <f>CONCATENATE(D597,D598,E597)</f>
        <v>ArneBishoyL</v>
      </c>
      <c r="I597" s="7"/>
      <c r="J597" s="7" t="str">
        <f>VLOOKUP(D597,Stats!B:B,1,0)</f>
        <v>Arne</v>
      </c>
    </row>
    <row r="598" spans="1:10" x14ac:dyDescent="0.25">
      <c r="A598" s="22"/>
      <c r="B598" s="6" t="str">
        <f>CONCATENATE($D598,((COUNTIFS($D:$D,$D598)-COUNTIF($D$3:$D598,$D598))+1))</f>
        <v>Bishoy7</v>
      </c>
      <c r="C598" s="6">
        <f t="shared" si="28"/>
        <v>45601</v>
      </c>
      <c r="D598" s="32" t="s">
        <v>61</v>
      </c>
      <c r="E598" t="s">
        <v>73</v>
      </c>
      <c r="F598" s="32" t="str">
        <f>CONCATENATE(D596,D599,E596)</f>
        <v>AkbarEnsarL</v>
      </c>
      <c r="G598" t="str">
        <f>CONCATENATE(D597,D599,E597)</f>
        <v>ArneEnsarL</v>
      </c>
      <c r="H598" t="str">
        <f>CONCATENATE(D598,D599,E598)</f>
        <v>BishoyEnsarL</v>
      </c>
      <c r="I598" s="7"/>
      <c r="J598" s="7" t="str">
        <f>VLOOKUP(D598,Stats!B:B,1,0)</f>
        <v>Bishoy</v>
      </c>
    </row>
    <row r="599" spans="1:10" x14ac:dyDescent="0.25">
      <c r="A599" s="22"/>
      <c r="B599" s="6" t="str">
        <f>CONCATENATE($D599,((COUNTIFS($D:$D,$D599)-COUNTIF($D$3:$D599,$D599))+1))</f>
        <v>Ensar2</v>
      </c>
      <c r="C599" s="6">
        <f t="shared" si="28"/>
        <v>45601</v>
      </c>
      <c r="D599" s="32" t="s">
        <v>16</v>
      </c>
      <c r="E599" t="s">
        <v>73</v>
      </c>
      <c r="F599" s="32" t="str">
        <f>CONCATENATE(D596,D600,E596)</f>
        <v>AkbarRenaudL</v>
      </c>
      <c r="G599" t="str">
        <f>CONCATENATE(D597,D600,E597)</f>
        <v>ArneRenaudL</v>
      </c>
      <c r="H599" t="str">
        <f>CONCATENATE(D598,D600,E598)</f>
        <v>BishoyRenaudL</v>
      </c>
      <c r="I599" s="7" t="str">
        <f>CONCATENATE(D599,D600,E599)</f>
        <v>EnsarRenaudL</v>
      </c>
      <c r="J599" s="7" t="str">
        <f>VLOOKUP(D599,Stats!B:B,1,0)</f>
        <v>Ensar</v>
      </c>
    </row>
    <row r="600" spans="1:10" x14ac:dyDescent="0.25">
      <c r="A600" s="22"/>
      <c r="B600" s="8" t="str">
        <f>CONCATENATE($D600,((COUNTIFS($D:$D,$D600)-COUNTIF($D$3:$D600,$D600))+1))</f>
        <v>Renaud8</v>
      </c>
      <c r="C600" s="8">
        <f t="shared" si="28"/>
        <v>45601</v>
      </c>
      <c r="D600" s="71" t="s">
        <v>147</v>
      </c>
      <c r="E600" s="2" t="s">
        <v>73</v>
      </c>
      <c r="F600" s="13"/>
      <c r="G600" s="2"/>
      <c r="H600" s="2"/>
      <c r="I600" s="9"/>
      <c r="J600" s="9" t="str">
        <f>VLOOKUP(D600,Stats!B:B,1,0)</f>
        <v>Renaud</v>
      </c>
    </row>
    <row r="601" spans="1:10" x14ac:dyDescent="0.25">
      <c r="A601" s="22"/>
      <c r="B601" s="3" t="str">
        <f>CONCATENATE($D601,((COUNTIFS($D:$D,$D601)-COUNTIF($D$3:$D601,$D601))+1))</f>
        <v>Bishoy6</v>
      </c>
      <c r="C601" s="3">
        <f>+C591+7</f>
        <v>45608</v>
      </c>
      <c r="D601" s="32" t="s">
        <v>61</v>
      </c>
      <c r="E601" s="4" t="s">
        <v>72</v>
      </c>
      <c r="F601" s="32" t="str">
        <f>CONCATENATE(D601,D602,E601)</f>
        <v>BishoyBramW</v>
      </c>
      <c r="I601" s="5"/>
      <c r="J601" s="5" t="str">
        <f>VLOOKUP(D601,Stats!B:B,1,0)</f>
        <v>Bishoy</v>
      </c>
    </row>
    <row r="602" spans="1:10" x14ac:dyDescent="0.25">
      <c r="A602" s="22"/>
      <c r="B602" s="6" t="str">
        <f>CONCATENATE($D602,((COUNTIFS($D:$D,$D602)-COUNTIF($D$3:$D602,$D602))+1))</f>
        <v>Bram6</v>
      </c>
      <c r="C602" s="6">
        <f t="shared" ref="C602:C665" si="29">C601</f>
        <v>45608</v>
      </c>
      <c r="D602" s="32" t="s">
        <v>52</v>
      </c>
      <c r="E602" t="s">
        <v>72</v>
      </c>
      <c r="F602" s="32" t="str">
        <f>CONCATENATE(D601,D603,E601)</f>
        <v>BishoyDobroW</v>
      </c>
      <c r="G602" t="str">
        <f>CONCATENATE(D602,D603,E602)</f>
        <v>BramDobroW</v>
      </c>
      <c r="I602" s="7"/>
      <c r="J602" s="7" t="str">
        <f>VLOOKUP(D602,Stats!B:B,1,0)</f>
        <v>Bram</v>
      </c>
    </row>
    <row r="603" spans="1:10" x14ac:dyDescent="0.25">
      <c r="A603" s="22"/>
      <c r="B603" s="6" t="str">
        <f>CONCATENATE($D603,((COUNTIFS($D:$D,$D603)-COUNTIF($D$3:$D603,$D603))+1))</f>
        <v>Dobro6</v>
      </c>
      <c r="C603" s="6">
        <f t="shared" si="29"/>
        <v>45608</v>
      </c>
      <c r="D603" s="32" t="s">
        <v>35</v>
      </c>
      <c r="E603" t="s">
        <v>72</v>
      </c>
      <c r="F603" s="32" t="str">
        <f>CONCATENATE(D601,D604,E601)</f>
        <v>BishoyPablo OGW</v>
      </c>
      <c r="G603" t="str">
        <f>CONCATENATE(D602,D604,E602)</f>
        <v>BramPablo OGW</v>
      </c>
      <c r="H603" t="str">
        <f>CONCATENATE(D603,D604,E603)</f>
        <v>DobroPablo OGW</v>
      </c>
      <c r="I603" s="7"/>
      <c r="J603" s="7" t="str">
        <f>VLOOKUP(D603,Stats!B:B,1,0)</f>
        <v>Dobro</v>
      </c>
    </row>
    <row r="604" spans="1:10" x14ac:dyDescent="0.25">
      <c r="A604" s="22"/>
      <c r="B604" s="6" t="str">
        <f>CONCATENATE($D604,((COUNTIFS($D:$D,$D604)-COUNTIF($D$3:$D604,$D604))+1))</f>
        <v>Pablo OG6</v>
      </c>
      <c r="C604" s="6">
        <f t="shared" si="29"/>
        <v>45608</v>
      </c>
      <c r="D604" s="32" t="s">
        <v>42</v>
      </c>
      <c r="E604" t="s">
        <v>72</v>
      </c>
      <c r="F604" s="32" t="str">
        <f>CONCATENATE(D601,D605,E601)</f>
        <v>BishoyWouterW</v>
      </c>
      <c r="G604" t="str">
        <f>CONCATENATE(D602,D605,E602)</f>
        <v>BramWouterW</v>
      </c>
      <c r="H604" t="str">
        <f>CONCATENATE(D603,D605,E603)</f>
        <v>DobroWouterW</v>
      </c>
      <c r="I604" s="7" t="str">
        <f>CONCATENATE(D604,D605,E604)</f>
        <v>Pablo OGWouterW</v>
      </c>
      <c r="J604" s="7" t="str">
        <f>VLOOKUP(D604,Stats!B:B,1,0)</f>
        <v>Pablo OG</v>
      </c>
    </row>
    <row r="605" spans="1:10" x14ac:dyDescent="0.25">
      <c r="A605" s="22"/>
      <c r="B605" s="6" t="str">
        <f>CONCATENATE($D605,((COUNTIFS($D:$D,$D605)-COUNTIF($D$3:$D605,$D605))+1))</f>
        <v>Wouter5</v>
      </c>
      <c r="C605" s="6">
        <f t="shared" si="29"/>
        <v>45608</v>
      </c>
      <c r="D605" s="32" t="s">
        <v>36</v>
      </c>
      <c r="E605" t="s">
        <v>72</v>
      </c>
      <c r="F605" s="32"/>
      <c r="I605" s="7"/>
      <c r="J605" s="7" t="str">
        <f>VLOOKUP(D605,Stats!B:B,1,0)</f>
        <v>Wouter</v>
      </c>
    </row>
    <row r="606" spans="1:10" x14ac:dyDescent="0.25">
      <c r="A606" s="22"/>
      <c r="B606" s="6" t="str">
        <f>CONCATENATE($D606,((COUNTIFS($D:$D,$D606)-COUNTIF($D$3:$D606,$D606))+1))</f>
        <v>Adam7</v>
      </c>
      <c r="C606" s="6">
        <f t="shared" si="29"/>
        <v>45608</v>
      </c>
      <c r="D606" s="32" t="s">
        <v>53</v>
      </c>
      <c r="E606" t="s">
        <v>73</v>
      </c>
      <c r="F606" s="32" t="str">
        <f>CONCATENATE(D606,D607,E606)</f>
        <v>AdamGiovanniL</v>
      </c>
      <c r="I606" s="7"/>
      <c r="J606" s="7" t="str">
        <f>VLOOKUP(D606,Stats!B:B,1,0)</f>
        <v>Adam</v>
      </c>
    </row>
    <row r="607" spans="1:10" x14ac:dyDescent="0.25">
      <c r="A607" s="22"/>
      <c r="B607" s="6" t="str">
        <f>CONCATENATE($D607,((COUNTIFS($D:$D,$D607)-COUNTIF($D$3:$D607,$D607))+1))</f>
        <v>Giovanni4</v>
      </c>
      <c r="C607" s="6">
        <f t="shared" si="29"/>
        <v>45608</v>
      </c>
      <c r="D607" s="32" t="s">
        <v>45</v>
      </c>
      <c r="E607" t="s">
        <v>73</v>
      </c>
      <c r="F607" s="32" t="str">
        <f>CONCATENATE(D606,D608,E606)</f>
        <v>AdamLucaL</v>
      </c>
      <c r="G607" t="str">
        <f>CONCATENATE(D607,D608,E607)</f>
        <v>GiovanniLucaL</v>
      </c>
      <c r="I607" s="7"/>
      <c r="J607" s="7" t="str">
        <f>VLOOKUP(D607,Stats!B:B,1,0)</f>
        <v>Giovanni</v>
      </c>
    </row>
    <row r="608" spans="1:10" x14ac:dyDescent="0.25">
      <c r="A608" s="22"/>
      <c r="B608" s="6" t="str">
        <f>CONCATENATE($D608,((COUNTIFS($D:$D,$D608)-COUNTIF($D$3:$D608,$D608))+1))</f>
        <v>Luca5</v>
      </c>
      <c r="C608" s="6">
        <f t="shared" si="29"/>
        <v>45608</v>
      </c>
      <c r="D608" s="32" t="s">
        <v>46</v>
      </c>
      <c r="E608" t="s">
        <v>73</v>
      </c>
      <c r="F608" s="32" t="str">
        <f>CONCATENATE(D606,D609,E606)</f>
        <v>AdamSanderoL</v>
      </c>
      <c r="G608" t="str">
        <f>CONCATENATE(D607,D609,E607)</f>
        <v>GiovanniSanderoL</v>
      </c>
      <c r="H608" t="str">
        <f>CONCATENATE(D608,D609,E608)</f>
        <v>LucaSanderoL</v>
      </c>
      <c r="I608" s="7"/>
      <c r="J608" s="7" t="str">
        <f>VLOOKUP(D608,Stats!B:B,1,0)</f>
        <v>Luca</v>
      </c>
    </row>
    <row r="609" spans="1:10" x14ac:dyDescent="0.25">
      <c r="A609" s="22"/>
      <c r="B609" s="6" t="str">
        <f>CONCATENATE($D609,((COUNTIFS($D:$D,$D609)-COUNTIF($D$3:$D609,$D609))+1))</f>
        <v>Sandero2</v>
      </c>
      <c r="C609" s="6">
        <f t="shared" si="29"/>
        <v>45608</v>
      </c>
      <c r="D609" s="32" t="s">
        <v>57</v>
      </c>
      <c r="E609" t="s">
        <v>73</v>
      </c>
      <c r="F609" s="32" t="str">
        <f>CONCATENATE(D606,D610,E606)</f>
        <v>AdamTchiL</v>
      </c>
      <c r="G609" t="str">
        <f>CONCATENATE(D607,D610,E607)</f>
        <v>GiovanniTchiL</v>
      </c>
      <c r="H609" t="str">
        <f>CONCATENATE(D608,D610,E608)</f>
        <v>LucaTchiL</v>
      </c>
      <c r="I609" s="7" t="str">
        <f>CONCATENATE(D609,D610,E609)</f>
        <v>SanderoTchiL</v>
      </c>
      <c r="J609" s="7" t="str">
        <f>VLOOKUP(D609,Stats!B:B,1,0)</f>
        <v>Sandero</v>
      </c>
    </row>
    <row r="610" spans="1:10" x14ac:dyDescent="0.25">
      <c r="A610" s="22"/>
      <c r="B610" s="8" t="str">
        <f>CONCATENATE($D610,((COUNTIFS($D:$D,$D610)-COUNTIF($D$3:$D610,$D610))+1))</f>
        <v>Tchi3</v>
      </c>
      <c r="C610" s="8">
        <f t="shared" si="29"/>
        <v>45608</v>
      </c>
      <c r="D610" s="66" t="s">
        <v>37</v>
      </c>
      <c r="E610" s="2" t="s">
        <v>73</v>
      </c>
      <c r="F610" s="13"/>
      <c r="G610" s="2"/>
      <c r="H610" s="2"/>
      <c r="I610" s="9"/>
      <c r="J610" s="9" t="str">
        <f>VLOOKUP(D610,Stats!B:B,1,0)</f>
        <v>Tchi</v>
      </c>
    </row>
    <row r="611" spans="1:10" x14ac:dyDescent="0.25">
      <c r="A611" s="22"/>
      <c r="B611" s="3" t="str">
        <f>CONCATENATE($D611,((COUNTIFS($D:$D,$D611)-COUNTIF($D$3:$D611,$D611))+1))</f>
        <v>Luca4</v>
      </c>
      <c r="C611" s="3">
        <f>+C601+7</f>
        <v>45615</v>
      </c>
      <c r="D611" s="32" t="s">
        <v>46</v>
      </c>
      <c r="E611" s="4" t="s">
        <v>72</v>
      </c>
      <c r="F611" s="32" t="str">
        <f>CONCATENATE(D611,D612,E611)</f>
        <v>LucaDmytroW</v>
      </c>
      <c r="I611" s="5"/>
      <c r="J611" s="5" t="str">
        <f>VLOOKUP(D611,Stats!B:B,1,0)</f>
        <v>Luca</v>
      </c>
    </row>
    <row r="612" spans="1:10" x14ac:dyDescent="0.25">
      <c r="A612" s="22"/>
      <c r="B612" s="6" t="str">
        <f>CONCATENATE($D612,((COUNTIFS($D:$D,$D612)-COUNTIF($D$3:$D612,$D612))+1))</f>
        <v>Dmytro4</v>
      </c>
      <c r="C612" s="6">
        <f t="shared" si="29"/>
        <v>45615</v>
      </c>
      <c r="D612" s="32" t="s">
        <v>28</v>
      </c>
      <c r="E612" t="s">
        <v>72</v>
      </c>
      <c r="F612" s="32" t="str">
        <f>CONCATENATE(D611,D613,E611)</f>
        <v>LucaBramW</v>
      </c>
      <c r="G612" t="str">
        <f>CONCATENATE(D612,D613,E612)</f>
        <v>DmytroBramW</v>
      </c>
      <c r="I612" s="7"/>
      <c r="J612" s="7" t="str">
        <f>VLOOKUP(D612,Stats!B:B,1,0)</f>
        <v>Dmytro</v>
      </c>
    </row>
    <row r="613" spans="1:10" x14ac:dyDescent="0.25">
      <c r="A613" s="22"/>
      <c r="B613" s="6" t="str">
        <f>CONCATENATE($D613,((COUNTIFS($D:$D,$D613)-COUNTIF($D$3:$D613,$D613))+1))</f>
        <v>Bram5</v>
      </c>
      <c r="C613" s="6">
        <f t="shared" si="29"/>
        <v>45615</v>
      </c>
      <c r="D613" s="32" t="s">
        <v>52</v>
      </c>
      <c r="E613" t="s">
        <v>72</v>
      </c>
      <c r="F613" s="32" t="str">
        <f>CONCATENATE(D611,D614,E611)</f>
        <v>LucaGiovanniW</v>
      </c>
      <c r="G613" t="str">
        <f>CONCATENATE(D612,D614,E612)</f>
        <v>DmytroGiovanniW</v>
      </c>
      <c r="H613" t="str">
        <f>CONCATENATE(D613,D614,E613)</f>
        <v>BramGiovanniW</v>
      </c>
      <c r="I613" s="7"/>
      <c r="J613" s="7" t="str">
        <f>VLOOKUP(D613,Stats!B:B,1,0)</f>
        <v>Bram</v>
      </c>
    </row>
    <row r="614" spans="1:10" x14ac:dyDescent="0.25">
      <c r="A614" s="22"/>
      <c r="B614" s="6" t="str">
        <f>CONCATENATE($D614,((COUNTIFS($D:$D,$D614)-COUNTIF($D$3:$D614,$D614))+1))</f>
        <v>Giovanni3</v>
      </c>
      <c r="C614" s="6">
        <f t="shared" si="29"/>
        <v>45615</v>
      </c>
      <c r="D614" s="32" t="s">
        <v>45</v>
      </c>
      <c r="E614" t="s">
        <v>72</v>
      </c>
      <c r="F614" s="32" t="str">
        <f>CONCATENATE(D611,D615,E611)</f>
        <v>LucaEnsarW</v>
      </c>
      <c r="G614" t="str">
        <f>CONCATENATE(D612,D615,E612)</f>
        <v>DmytroEnsarW</v>
      </c>
      <c r="H614" t="str">
        <f>CONCATENATE(D613,D615,E613)</f>
        <v>BramEnsarW</v>
      </c>
      <c r="I614" s="7" t="str">
        <f>CONCATENATE(D614,D615,E614)</f>
        <v>GiovanniEnsarW</v>
      </c>
      <c r="J614" s="7" t="str">
        <f>VLOOKUP(D614,Stats!B:B,1,0)</f>
        <v>Giovanni</v>
      </c>
    </row>
    <row r="615" spans="1:10" x14ac:dyDescent="0.25">
      <c r="A615" s="22"/>
      <c r="B615" s="6" t="str">
        <f>CONCATENATE($D615,((COUNTIFS($D:$D,$D615)-COUNTIF($D$3:$D615,$D615))+1))</f>
        <v>Ensar1</v>
      </c>
      <c r="C615" s="6">
        <f t="shared" si="29"/>
        <v>45615</v>
      </c>
      <c r="D615" s="32" t="s">
        <v>16</v>
      </c>
      <c r="E615" t="s">
        <v>72</v>
      </c>
      <c r="F615" s="32"/>
      <c r="I615" s="7"/>
      <c r="J615" s="7" t="str">
        <f>VLOOKUP(D615,Stats!B:B,1,0)</f>
        <v>Ensar</v>
      </c>
    </row>
    <row r="616" spans="1:10" x14ac:dyDescent="0.25">
      <c r="A616" s="22"/>
      <c r="B616" s="6" t="str">
        <f>CONCATENATE($D616,((COUNTIFS($D:$D,$D616)-COUNTIF($D$3:$D616,$D616))+1))</f>
        <v>Sizwe6</v>
      </c>
      <c r="C616" s="6">
        <f t="shared" si="29"/>
        <v>45615</v>
      </c>
      <c r="D616" s="32" t="s">
        <v>44</v>
      </c>
      <c r="E616" t="s">
        <v>73</v>
      </c>
      <c r="F616" s="32" t="str">
        <f>CONCATENATE(D616,D617,E616)</f>
        <v>SizweBarisL</v>
      </c>
      <c r="I616" s="7"/>
      <c r="J616" s="7" t="str">
        <f>VLOOKUP(D616,Stats!B:B,1,0)</f>
        <v>Sizwe</v>
      </c>
    </row>
    <row r="617" spans="1:10" x14ac:dyDescent="0.25">
      <c r="A617" s="22"/>
      <c r="B617" s="6" t="str">
        <f>CONCATENATE($D617,((COUNTIFS($D:$D,$D617)-COUNTIF($D$3:$D617,$D617))+1))</f>
        <v>Baris5</v>
      </c>
      <c r="C617" s="6">
        <f t="shared" si="29"/>
        <v>45615</v>
      </c>
      <c r="D617" s="32" t="s">
        <v>55</v>
      </c>
      <c r="E617" t="s">
        <v>73</v>
      </c>
      <c r="F617" s="32" t="str">
        <f>CONCATENATE(D616,D618,E616)</f>
        <v>SizweRenaudL</v>
      </c>
      <c r="G617" t="str">
        <f>CONCATENATE(D617,D618,E617)</f>
        <v>BarisRenaudL</v>
      </c>
      <c r="I617" s="7"/>
      <c r="J617" s="7" t="str">
        <f>VLOOKUP(D617,Stats!B:B,1,0)</f>
        <v>Baris</v>
      </c>
    </row>
    <row r="618" spans="1:10" x14ac:dyDescent="0.25">
      <c r="A618" s="22"/>
      <c r="B618" s="6" t="str">
        <f>CONCATENATE($D618,((COUNTIFS($D:$D,$D618)-COUNTIF($D$3:$D618,$D618))+1))</f>
        <v>Renaud7</v>
      </c>
      <c r="C618" s="6">
        <f t="shared" si="29"/>
        <v>45615</v>
      </c>
      <c r="D618" s="32" t="s">
        <v>147</v>
      </c>
      <c r="E618" t="s">
        <v>73</v>
      </c>
      <c r="F618" s="32" t="str">
        <f>CONCATENATE(D616,D619,E616)</f>
        <v>SizweMiroL</v>
      </c>
      <c r="G618" t="str">
        <f>CONCATENATE(D617,D619,E617)</f>
        <v>BarisMiroL</v>
      </c>
      <c r="H618" t="str">
        <f>CONCATENATE(D618,D619,E618)</f>
        <v>RenaudMiroL</v>
      </c>
      <c r="I618" s="7"/>
      <c r="J618" s="7" t="str">
        <f>VLOOKUP(D618,Stats!B:B,1,0)</f>
        <v>Renaud</v>
      </c>
    </row>
    <row r="619" spans="1:10" x14ac:dyDescent="0.25">
      <c r="A619" s="22"/>
      <c r="B619" s="6" t="str">
        <f>CONCATENATE($D619,((COUNTIFS($D:$D,$D619)-COUNTIF($D$3:$D619,$D619))+1))</f>
        <v>Miro4</v>
      </c>
      <c r="C619" s="6">
        <f t="shared" si="29"/>
        <v>45615</v>
      </c>
      <c r="D619" s="32" t="s">
        <v>151</v>
      </c>
      <c r="E619" t="s">
        <v>73</v>
      </c>
      <c r="F619" s="32" t="str">
        <f>CONCATENATE(D616,D620,E616)</f>
        <v>SizweAdamL</v>
      </c>
      <c r="G619" t="str">
        <f>CONCATENATE(D617,D620,E617)</f>
        <v>BarisAdamL</v>
      </c>
      <c r="H619" t="str">
        <f>CONCATENATE(D618,D620,E618)</f>
        <v>RenaudAdamL</v>
      </c>
      <c r="I619" s="7" t="str">
        <f>CONCATENATE(D619,D620,E619)</f>
        <v>MiroAdamL</v>
      </c>
      <c r="J619" s="7" t="str">
        <f>VLOOKUP(D619,Stats!B:B,1,0)</f>
        <v>Miro</v>
      </c>
    </row>
    <row r="620" spans="1:10" x14ac:dyDescent="0.25">
      <c r="A620" s="22"/>
      <c r="B620" s="8" t="str">
        <f>CONCATENATE($D620,((COUNTIFS($D:$D,$D620)-COUNTIF($D$3:$D620,$D620))+1))</f>
        <v>Adam6</v>
      </c>
      <c r="C620" s="8">
        <f t="shared" si="29"/>
        <v>45615</v>
      </c>
      <c r="D620" s="66" t="s">
        <v>53</v>
      </c>
      <c r="E620" s="2" t="s">
        <v>73</v>
      </c>
      <c r="F620" s="13"/>
      <c r="G620" s="2"/>
      <c r="H620" s="2"/>
      <c r="I620" s="9"/>
      <c r="J620" s="9" t="str">
        <f>VLOOKUP(D620,Stats!B:B,1,0)</f>
        <v>Adam</v>
      </c>
    </row>
    <row r="621" spans="1:10" x14ac:dyDescent="0.25">
      <c r="A621" s="22"/>
      <c r="B621" s="3" t="str">
        <f>CONCATENATE($D621,((COUNTIFS($D:$D,$D621)-COUNTIF($D$3:$D621,$D621))+1))</f>
        <v>Baris4</v>
      </c>
      <c r="C621" s="3">
        <f>+C611+7</f>
        <v>45622</v>
      </c>
      <c r="D621" s="32" t="s">
        <v>55</v>
      </c>
      <c r="E621" s="4" t="s">
        <v>72</v>
      </c>
      <c r="F621" s="32" t="str">
        <f>CONCATENATE(D621,D622,E621)</f>
        <v>BarisBishoyW</v>
      </c>
      <c r="I621" s="5"/>
      <c r="J621" s="5" t="str">
        <f>VLOOKUP(D621,Stats!B:B,1,0)</f>
        <v>Baris</v>
      </c>
    </row>
    <row r="622" spans="1:10" x14ac:dyDescent="0.25">
      <c r="A622" s="22"/>
      <c r="B622" s="6" t="str">
        <f>CONCATENATE($D622,((COUNTIFS($D:$D,$D622)-COUNTIF($D$3:$D622,$D622))+1))</f>
        <v>Bishoy5</v>
      </c>
      <c r="C622" s="6">
        <f t="shared" si="29"/>
        <v>45622</v>
      </c>
      <c r="D622" s="32" t="s">
        <v>61</v>
      </c>
      <c r="E622" t="s">
        <v>72</v>
      </c>
      <c r="F622" s="32" t="str">
        <f>CONCATENATE(D621,D623,E621)</f>
        <v>BarisBramW</v>
      </c>
      <c r="G622" t="str">
        <f>CONCATENATE(D622,D623,E622)</f>
        <v>BishoyBramW</v>
      </c>
      <c r="I622" s="7"/>
      <c r="J622" s="7" t="str">
        <f>VLOOKUP(D622,Stats!B:B,1,0)</f>
        <v>Bishoy</v>
      </c>
    </row>
    <row r="623" spans="1:10" x14ac:dyDescent="0.25">
      <c r="A623" s="22"/>
      <c r="B623" s="6" t="str">
        <f>CONCATENATE($D623,((COUNTIFS($D:$D,$D623)-COUNTIF($D$3:$D623,$D623))+1))</f>
        <v>Bram4</v>
      </c>
      <c r="C623" s="6">
        <f t="shared" si="29"/>
        <v>45622</v>
      </c>
      <c r="D623" s="32" t="s">
        <v>52</v>
      </c>
      <c r="E623" t="s">
        <v>72</v>
      </c>
      <c r="F623" s="32" t="str">
        <f>CONCATENATE(D621,D624,E621)</f>
        <v>BarisPablo OGW</v>
      </c>
      <c r="G623" t="str">
        <f>CONCATENATE(D622,D624,E622)</f>
        <v>BishoyPablo OGW</v>
      </c>
      <c r="H623" t="str">
        <f>CONCATENATE(D623,D624,E623)</f>
        <v>BramPablo OGW</v>
      </c>
      <c r="I623" s="7"/>
      <c r="J623" s="7" t="str">
        <f>VLOOKUP(D623,Stats!B:B,1,0)</f>
        <v>Bram</v>
      </c>
    </row>
    <row r="624" spans="1:10" x14ac:dyDescent="0.25">
      <c r="A624" s="22"/>
      <c r="B624" s="6" t="str">
        <f>CONCATENATE($D624,((COUNTIFS($D:$D,$D624)-COUNTIF($D$3:$D624,$D624))+1))</f>
        <v>Pablo OG5</v>
      </c>
      <c r="C624" s="6">
        <f t="shared" si="29"/>
        <v>45622</v>
      </c>
      <c r="D624" s="32" t="s">
        <v>42</v>
      </c>
      <c r="E624" t="s">
        <v>72</v>
      </c>
      <c r="F624" s="32" t="str">
        <f>CONCATENATE(D621,D625,E621)</f>
        <v>BarisSizweW</v>
      </c>
      <c r="G624" t="str">
        <f>CONCATENATE(D622,D625,E622)</f>
        <v>BishoySizweW</v>
      </c>
      <c r="H624" t="str">
        <f>CONCATENATE(D623,D625,E623)</f>
        <v>BramSizweW</v>
      </c>
      <c r="I624" s="7" t="str">
        <f>CONCATENATE(D624,D625,E624)</f>
        <v>Pablo OGSizweW</v>
      </c>
      <c r="J624" s="7" t="str">
        <f>VLOOKUP(D624,Stats!B:B,1,0)</f>
        <v>Pablo OG</v>
      </c>
    </row>
    <row r="625" spans="1:10" x14ac:dyDescent="0.25">
      <c r="A625" s="22"/>
      <c r="B625" s="6" t="str">
        <f>CONCATENATE($D625,((COUNTIFS($D:$D,$D625)-COUNTIF($D$3:$D625,$D625))+1))</f>
        <v>Sizwe5</v>
      </c>
      <c r="C625" s="6">
        <f t="shared" si="29"/>
        <v>45622</v>
      </c>
      <c r="D625" s="32" t="s">
        <v>44</v>
      </c>
      <c r="E625" t="s">
        <v>72</v>
      </c>
      <c r="F625" s="32"/>
      <c r="I625" s="7"/>
      <c r="J625" s="7" t="str">
        <f>VLOOKUP(D625,Stats!B:B,1,0)</f>
        <v>Sizwe</v>
      </c>
    </row>
    <row r="626" spans="1:10" x14ac:dyDescent="0.25">
      <c r="A626" s="22"/>
      <c r="B626" s="6" t="str">
        <f>CONCATENATE($D626,((COUNTIFS($D:$D,$D626)-COUNTIF($D$3:$D626,$D626))+1))</f>
        <v>Adam5</v>
      </c>
      <c r="C626" s="6">
        <f t="shared" si="29"/>
        <v>45622</v>
      </c>
      <c r="D626" s="32" t="s">
        <v>53</v>
      </c>
      <c r="E626" t="s">
        <v>73</v>
      </c>
      <c r="F626" s="32" t="str">
        <f>CONCATENATE(D626,D627,E626)</f>
        <v>AdamAlexL</v>
      </c>
      <c r="I626" s="7"/>
      <c r="J626" s="7" t="str">
        <f>VLOOKUP(D626,Stats!B:B,1,0)</f>
        <v>Adam</v>
      </c>
    </row>
    <row r="627" spans="1:10" x14ac:dyDescent="0.25">
      <c r="A627" s="22"/>
      <c r="B627" s="6" t="str">
        <f>CONCATENATE($D627,((COUNTIFS($D:$D,$D627)-COUNTIF($D$3:$D627,$D627))+1))</f>
        <v>Alex3</v>
      </c>
      <c r="C627" s="6">
        <f t="shared" si="29"/>
        <v>45622</v>
      </c>
      <c r="D627" s="32" t="s">
        <v>18</v>
      </c>
      <c r="E627" t="s">
        <v>73</v>
      </c>
      <c r="F627" s="32" t="str">
        <f>CONCATENATE(D626,D628,E626)</f>
        <v>AdamGiovanniL</v>
      </c>
      <c r="G627" t="str">
        <f>CONCATENATE(D627,D628,E627)</f>
        <v>AlexGiovanniL</v>
      </c>
      <c r="I627" s="7"/>
      <c r="J627" s="7" t="str">
        <f>VLOOKUP(D627,Stats!B:B,1,0)</f>
        <v>Alex</v>
      </c>
    </row>
    <row r="628" spans="1:10" x14ac:dyDescent="0.25">
      <c r="A628" s="22"/>
      <c r="B628" s="6" t="str">
        <f>CONCATENATE($D628,((COUNTIFS($D:$D,$D628)-COUNTIF($D$3:$D628,$D628))+1))</f>
        <v>Giovanni2</v>
      </c>
      <c r="C628" s="6">
        <f t="shared" si="29"/>
        <v>45622</v>
      </c>
      <c r="D628" s="32" t="s">
        <v>45</v>
      </c>
      <c r="E628" t="s">
        <v>73</v>
      </c>
      <c r="F628" s="32" t="str">
        <f>CONCATENATE(D626,D629,E626)</f>
        <v>AdamLarsL</v>
      </c>
      <c r="G628" t="str">
        <f>CONCATENATE(D627,D629,E627)</f>
        <v>AlexLarsL</v>
      </c>
      <c r="H628" t="str">
        <f>CONCATENATE(D628,D629,E628)</f>
        <v>GiovanniLarsL</v>
      </c>
      <c r="I628" s="7"/>
      <c r="J628" s="7" t="str">
        <f>VLOOKUP(D628,Stats!B:B,1,0)</f>
        <v>Giovanni</v>
      </c>
    </row>
    <row r="629" spans="1:10" x14ac:dyDescent="0.25">
      <c r="A629" s="22"/>
      <c r="B629" s="6" t="str">
        <f>CONCATENATE($D629,((COUNTIFS($D:$D,$D629)-COUNTIF($D$3:$D629,$D629))+1))</f>
        <v>Lars2</v>
      </c>
      <c r="C629" s="6">
        <f t="shared" si="29"/>
        <v>45622</v>
      </c>
      <c r="D629" s="32" t="s">
        <v>146</v>
      </c>
      <c r="E629" t="s">
        <v>73</v>
      </c>
      <c r="F629" s="32" t="str">
        <f>CONCATENATE(D626,D630,E626)</f>
        <v>AdamRenaudL</v>
      </c>
      <c r="G629" t="str">
        <f>CONCATENATE(D627,D630,E627)</f>
        <v>AlexRenaudL</v>
      </c>
      <c r="H629" t="str">
        <f>CONCATENATE(D628,D630,E628)</f>
        <v>GiovanniRenaudL</v>
      </c>
      <c r="I629" s="7" t="str">
        <f>CONCATENATE(D629,D630,E629)</f>
        <v>LarsRenaudL</v>
      </c>
      <c r="J629" s="7" t="str">
        <f>VLOOKUP(D629,Stats!B:B,1,0)</f>
        <v>Lars</v>
      </c>
    </row>
    <row r="630" spans="1:10" x14ac:dyDescent="0.25">
      <c r="A630" s="22"/>
      <c r="B630" s="8" t="str">
        <f>CONCATENATE($D630,((COUNTIFS($D:$D,$D630)-COUNTIF($D$3:$D630,$D630))+1))</f>
        <v>Renaud6</v>
      </c>
      <c r="C630" s="8">
        <f t="shared" si="29"/>
        <v>45622</v>
      </c>
      <c r="D630" s="66" t="s">
        <v>147</v>
      </c>
      <c r="E630" s="2" t="s">
        <v>73</v>
      </c>
      <c r="F630" s="13"/>
      <c r="G630" s="2"/>
      <c r="H630" s="2"/>
      <c r="I630" s="9"/>
      <c r="J630" s="9" t="str">
        <f>VLOOKUP(D630,Stats!B:B,1,0)</f>
        <v>Renaud</v>
      </c>
    </row>
    <row r="631" spans="1:10" x14ac:dyDescent="0.25">
      <c r="A631" s="22"/>
      <c r="B631" s="3" t="str">
        <f>CONCATENATE($D631,((COUNTIFS($D:$D,$D631)-COUNTIF($D$3:$D631,$D631))+1))</f>
        <v>Akbar2</v>
      </c>
      <c r="C631" s="3">
        <f t="shared" si="29"/>
        <v>45622</v>
      </c>
      <c r="D631" s="32" t="s">
        <v>54</v>
      </c>
      <c r="E631" s="4" t="s">
        <v>72</v>
      </c>
      <c r="F631" s="32" t="str">
        <f>CONCATENATE(D631,D632,E631)</f>
        <v>AkbarFiratW</v>
      </c>
      <c r="I631" s="5"/>
      <c r="J631" s="5" t="str">
        <f>VLOOKUP(D631,Stats!B:B,1,0)</f>
        <v>Akbar</v>
      </c>
    </row>
    <row r="632" spans="1:10" x14ac:dyDescent="0.25">
      <c r="A632" s="22"/>
      <c r="B632" s="6" t="str">
        <f>CONCATENATE($D632,((COUNTIFS($D:$D,$D632)-COUNTIF($D$3:$D632,$D632))+1))</f>
        <v>Firat3</v>
      </c>
      <c r="C632" s="6">
        <f t="shared" si="29"/>
        <v>45622</v>
      </c>
      <c r="D632" s="32" t="s">
        <v>33</v>
      </c>
      <c r="E632" t="s">
        <v>72</v>
      </c>
      <c r="F632" s="32" t="str">
        <f>CONCATENATE(D631,D633,E631)</f>
        <v>AkbarMiroW</v>
      </c>
      <c r="G632" t="str">
        <f>CONCATENATE(D632,D633,E632)</f>
        <v>FiratMiroW</v>
      </c>
      <c r="I632" s="7"/>
      <c r="J632" s="7" t="str">
        <f>VLOOKUP(D632,Stats!B:B,1,0)</f>
        <v>Firat</v>
      </c>
    </row>
    <row r="633" spans="1:10" x14ac:dyDescent="0.25">
      <c r="A633" s="22"/>
      <c r="B633" s="6" t="str">
        <f>CONCATENATE($D633,((COUNTIFS($D:$D,$D633)-COUNTIF($D$3:$D633,$D633))+1))</f>
        <v>Miro3</v>
      </c>
      <c r="C633" s="6">
        <f t="shared" si="29"/>
        <v>45622</v>
      </c>
      <c r="D633" s="32" t="s">
        <v>151</v>
      </c>
      <c r="E633" t="s">
        <v>72</v>
      </c>
      <c r="F633" s="32" t="str">
        <f>CONCATENATE(D631,D634,E631)</f>
        <v>AkbarCedricW</v>
      </c>
      <c r="G633" t="str">
        <f>CONCATENATE(D632,D634,E632)</f>
        <v>FiratCedricW</v>
      </c>
      <c r="H633" t="str">
        <f>CONCATENATE(D633,D634,E633)</f>
        <v>MiroCedricW</v>
      </c>
      <c r="I633" s="7"/>
      <c r="J633" s="7" t="str">
        <f>VLOOKUP(D633,Stats!B:B,1,0)</f>
        <v>Miro</v>
      </c>
    </row>
    <row r="634" spans="1:10" x14ac:dyDescent="0.25">
      <c r="A634" s="22"/>
      <c r="B634" s="6" t="str">
        <f>CONCATENATE($D634,((COUNTIFS($D:$D,$D634)-COUNTIF($D$3:$D634,$D634))+1))</f>
        <v>Cedric2</v>
      </c>
      <c r="C634" s="6">
        <f t="shared" si="29"/>
        <v>45622</v>
      </c>
      <c r="D634" s="32" t="s">
        <v>153</v>
      </c>
      <c r="E634" t="s">
        <v>72</v>
      </c>
      <c r="F634" s="32" t="str">
        <f>CONCATENATE(D631,D635,E631)</f>
        <v>AkbarThijsW</v>
      </c>
      <c r="G634" t="str">
        <f>CONCATENATE(D632,D635,E632)</f>
        <v>FiratThijsW</v>
      </c>
      <c r="H634" t="str">
        <f>CONCATENATE(D633,D635,E633)</f>
        <v>MiroThijsW</v>
      </c>
      <c r="I634" s="7" t="str">
        <f>CONCATENATE(D634,D635,E634)</f>
        <v>CedricThijsW</v>
      </c>
      <c r="J634" s="7" t="str">
        <f>VLOOKUP(D634,Stats!B:B,1,0)</f>
        <v>Cedric</v>
      </c>
    </row>
    <row r="635" spans="1:10" x14ac:dyDescent="0.25">
      <c r="A635" s="22"/>
      <c r="B635" s="6" t="str">
        <f>CONCATENATE($D635,((COUNTIFS($D:$D,$D635)-COUNTIF($D$3:$D635,$D635))+1))</f>
        <v>Thijs2</v>
      </c>
      <c r="C635" s="6">
        <f t="shared" si="29"/>
        <v>45622</v>
      </c>
      <c r="D635" s="32" t="s">
        <v>24</v>
      </c>
      <c r="E635" t="s">
        <v>72</v>
      </c>
      <c r="F635" s="32"/>
      <c r="I635" s="7"/>
      <c r="J635" s="7" t="str">
        <f>VLOOKUP(D635,Stats!B:B,1,0)</f>
        <v>Thijs</v>
      </c>
    </row>
    <row r="636" spans="1:10" x14ac:dyDescent="0.25">
      <c r="A636" s="22"/>
      <c r="B636" s="6" t="str">
        <f>CONCATENATE($D636,((COUNTIFS($D:$D,$D636)-COUNTIF($D$3:$D636,$D636))+1))</f>
        <v>Dmytro3</v>
      </c>
      <c r="C636" s="6">
        <f t="shared" si="29"/>
        <v>45622</v>
      </c>
      <c r="D636" s="32" t="s">
        <v>28</v>
      </c>
      <c r="E636" t="s">
        <v>73</v>
      </c>
      <c r="F636" s="32" t="str">
        <f>CONCATENATE(D636,D637,E636)</f>
        <v>DmytroDobroL</v>
      </c>
      <c r="I636" s="7"/>
      <c r="J636" s="7" t="str">
        <f>VLOOKUP(D636,Stats!B:B,1,0)</f>
        <v>Dmytro</v>
      </c>
    </row>
    <row r="637" spans="1:10" x14ac:dyDescent="0.25">
      <c r="A637" s="22"/>
      <c r="B637" s="6" t="str">
        <f>CONCATENATE($D637,((COUNTIFS($D:$D,$D637)-COUNTIF($D$3:$D637,$D637))+1))</f>
        <v>Dobro5</v>
      </c>
      <c r="C637" s="6">
        <f t="shared" si="29"/>
        <v>45622</v>
      </c>
      <c r="D637" s="32" t="s">
        <v>35</v>
      </c>
      <c r="E637" t="s">
        <v>73</v>
      </c>
      <c r="F637" s="32" t="str">
        <f>CONCATENATE(D636,D638,E636)</f>
        <v>DmytroLucaL</v>
      </c>
      <c r="G637" t="str">
        <f>CONCATENATE(D637,D638,E637)</f>
        <v>DobroLucaL</v>
      </c>
      <c r="I637" s="7"/>
      <c r="J637" s="7" t="str">
        <f>VLOOKUP(D637,Stats!B:B,1,0)</f>
        <v>Dobro</v>
      </c>
    </row>
    <row r="638" spans="1:10" x14ac:dyDescent="0.25">
      <c r="A638" s="22"/>
      <c r="B638" s="6" t="str">
        <f>CONCATENATE($D638,((COUNTIFS($D:$D,$D638)-COUNTIF($D$3:$D638,$D638))+1))</f>
        <v>Luca3</v>
      </c>
      <c r="C638" s="6">
        <f t="shared" si="29"/>
        <v>45622</v>
      </c>
      <c r="D638" s="32" t="s">
        <v>46</v>
      </c>
      <c r="E638" t="s">
        <v>73</v>
      </c>
      <c r="F638" s="32" t="str">
        <f>CONCATENATE(D636,D639,E636)</f>
        <v>DmytroShawnL</v>
      </c>
      <c r="G638" t="str">
        <f>CONCATENATE(D637,D639,E637)</f>
        <v>DobroShawnL</v>
      </c>
      <c r="H638" t="str">
        <f>CONCATENATE(D638,D639,E638)</f>
        <v>LucaShawnL</v>
      </c>
      <c r="I638" s="7"/>
      <c r="J638" s="7" t="str">
        <f>VLOOKUP(D638,Stats!B:B,1,0)</f>
        <v>Luca</v>
      </c>
    </row>
    <row r="639" spans="1:10" x14ac:dyDescent="0.25">
      <c r="A639" s="22"/>
      <c r="B639" s="6" t="str">
        <f>CONCATENATE($D639,((COUNTIFS($D:$D,$D639)-COUNTIF($D$3:$D639,$D639))+1))</f>
        <v>Shawn4</v>
      </c>
      <c r="C639" s="6">
        <f t="shared" si="29"/>
        <v>45622</v>
      </c>
      <c r="D639" s="32" t="s">
        <v>152</v>
      </c>
      <c r="E639" t="s">
        <v>73</v>
      </c>
      <c r="F639" s="32" t="str">
        <f>CONCATENATE(D636,D640,E636)</f>
        <v>DmytroWouterL</v>
      </c>
      <c r="G639" t="str">
        <f>CONCATENATE(D637,D640,E637)</f>
        <v>DobroWouterL</v>
      </c>
      <c r="H639" t="str">
        <f>CONCATENATE(D638,D640,E638)</f>
        <v>LucaWouterL</v>
      </c>
      <c r="I639" s="7" t="str">
        <f>CONCATENATE(D639,D640,E639)</f>
        <v>ShawnWouterL</v>
      </c>
      <c r="J639" s="7" t="str">
        <f>VLOOKUP(D639,Stats!B:B,1,0)</f>
        <v>Shawn</v>
      </c>
    </row>
    <row r="640" spans="1:10" x14ac:dyDescent="0.25">
      <c r="A640" s="22"/>
      <c r="B640" s="8" t="str">
        <f>CONCATENATE($D640,((COUNTIFS($D:$D,$D640)-COUNTIF($D$3:$D640,$D640))+1))</f>
        <v>Wouter4</v>
      </c>
      <c r="C640" s="8">
        <f t="shared" si="29"/>
        <v>45622</v>
      </c>
      <c r="D640" s="66" t="s">
        <v>36</v>
      </c>
      <c r="E640" s="2" t="s">
        <v>73</v>
      </c>
      <c r="F640" s="13"/>
      <c r="G640" s="2"/>
      <c r="H640" s="2"/>
      <c r="I640" s="9"/>
      <c r="J640" s="9" t="str">
        <f>VLOOKUP(D640,Stats!B:B,1,0)</f>
        <v>Wouter</v>
      </c>
    </row>
    <row r="641" spans="1:10" x14ac:dyDescent="0.25">
      <c r="A641" s="22"/>
      <c r="B641" s="3" t="str">
        <f>CONCATENATE($D641,((COUNTIFS($D:$D,$D641)-COUNTIF($D$3:$D641,$D641))+1))</f>
        <v>Baris3</v>
      </c>
      <c r="C641" s="3">
        <f t="shared" si="29"/>
        <v>45622</v>
      </c>
      <c r="D641" s="32" t="s">
        <v>55</v>
      </c>
      <c r="E641" s="4" t="s">
        <v>72</v>
      </c>
      <c r="F641" s="32" t="str">
        <f>CONCATENATE(D641,D642,E641)</f>
        <v>BarisBishoyW</v>
      </c>
      <c r="I641" s="5"/>
      <c r="J641" s="5" t="str">
        <f>VLOOKUP(D641,Stats!B:B,1,0)</f>
        <v>Baris</v>
      </c>
    </row>
    <row r="642" spans="1:10" x14ac:dyDescent="0.25">
      <c r="A642" s="22"/>
      <c r="B642" s="6" t="str">
        <f>CONCATENATE($D642,((COUNTIFS($D:$D,$D642)-COUNTIF($D$3:$D642,$D642))+1))</f>
        <v>Bishoy4</v>
      </c>
      <c r="C642" s="6">
        <f t="shared" si="29"/>
        <v>45622</v>
      </c>
      <c r="D642" s="32" t="s">
        <v>61</v>
      </c>
      <c r="E642" t="s">
        <v>72</v>
      </c>
      <c r="F642" s="32" t="str">
        <f>CONCATENATE(D641,D643,E641)</f>
        <v>BarisBramW</v>
      </c>
      <c r="G642" t="str">
        <f>CONCATENATE(D642,D643,E642)</f>
        <v>BishoyBramW</v>
      </c>
      <c r="I642" s="7"/>
      <c r="J642" s="7" t="str">
        <f>VLOOKUP(D642,Stats!B:B,1,0)</f>
        <v>Bishoy</v>
      </c>
    </row>
    <row r="643" spans="1:10" x14ac:dyDescent="0.25">
      <c r="A643" s="22"/>
      <c r="B643" s="6" t="str">
        <f>CONCATENATE($D643,((COUNTIFS($D:$D,$D643)-COUNTIF($D$3:$D643,$D643))+1))</f>
        <v>Bram3</v>
      </c>
      <c r="C643" s="6">
        <f t="shared" si="29"/>
        <v>45622</v>
      </c>
      <c r="D643" s="32" t="s">
        <v>52</v>
      </c>
      <c r="E643" t="s">
        <v>72</v>
      </c>
      <c r="F643" s="32" t="str">
        <f>CONCATENATE(D641,D644,E641)</f>
        <v>BarisPablo OGW</v>
      </c>
      <c r="G643" t="str">
        <f>CONCATENATE(D642,D644,E642)</f>
        <v>BishoyPablo OGW</v>
      </c>
      <c r="H643" t="str">
        <f>CONCATENATE(D643,D644,E643)</f>
        <v>BramPablo OGW</v>
      </c>
      <c r="I643" s="7"/>
      <c r="J643" s="7" t="str">
        <f>VLOOKUP(D643,Stats!B:B,1,0)</f>
        <v>Bram</v>
      </c>
    </row>
    <row r="644" spans="1:10" x14ac:dyDescent="0.25">
      <c r="A644" s="22"/>
      <c r="B644" s="6" t="str">
        <f>CONCATENATE($D644,((COUNTIFS($D:$D,$D644)-COUNTIF($D$3:$D644,$D644))+1))</f>
        <v>Pablo OG4</v>
      </c>
      <c r="C644" s="6">
        <f t="shared" si="29"/>
        <v>45622</v>
      </c>
      <c r="D644" s="32" t="s">
        <v>42</v>
      </c>
      <c r="E644" t="s">
        <v>72</v>
      </c>
      <c r="F644" s="32" t="str">
        <f>CONCATENATE(D641,D645,E641)</f>
        <v>BarisSizweW</v>
      </c>
      <c r="G644" t="str">
        <f>CONCATENATE(D642,D645,E642)</f>
        <v>BishoySizweW</v>
      </c>
      <c r="H644" t="str">
        <f>CONCATENATE(D643,D645,E643)</f>
        <v>BramSizweW</v>
      </c>
      <c r="I644" s="7" t="str">
        <f>CONCATENATE(D644,D645,E644)</f>
        <v>Pablo OGSizweW</v>
      </c>
      <c r="J644" s="7" t="str">
        <f>VLOOKUP(D644,Stats!B:B,1,0)</f>
        <v>Pablo OG</v>
      </c>
    </row>
    <row r="645" spans="1:10" x14ac:dyDescent="0.25">
      <c r="A645" s="22"/>
      <c r="B645" s="6" t="str">
        <f>CONCATENATE($D645,((COUNTIFS($D:$D,$D645)-COUNTIF($D$3:$D645,$D645))+1))</f>
        <v>Sizwe4</v>
      </c>
      <c r="C645" s="6">
        <f t="shared" si="29"/>
        <v>45622</v>
      </c>
      <c r="D645" s="32" t="s">
        <v>44</v>
      </c>
      <c r="E645" t="s">
        <v>72</v>
      </c>
      <c r="F645" s="32"/>
      <c r="I645" s="7"/>
      <c r="J645" s="7" t="str">
        <f>VLOOKUP(D645,Stats!B:B,1,0)</f>
        <v>Sizwe</v>
      </c>
    </row>
    <row r="646" spans="1:10" x14ac:dyDescent="0.25">
      <c r="A646" s="22"/>
      <c r="B646" s="6" t="str">
        <f>CONCATENATE($D646,((COUNTIFS($D:$D,$D646)-COUNTIF($D$3:$D646,$D646))+1))</f>
        <v>Akbar1</v>
      </c>
      <c r="C646" s="6">
        <f t="shared" si="29"/>
        <v>45622</v>
      </c>
      <c r="D646" s="32" t="s">
        <v>54</v>
      </c>
      <c r="E646" t="s">
        <v>73</v>
      </c>
      <c r="F646" s="32" t="str">
        <f>CONCATENATE(D646,D647,E646)</f>
        <v>AkbarFiratL</v>
      </c>
      <c r="I646" s="7"/>
      <c r="J646" s="7" t="str">
        <f>VLOOKUP(D646,Stats!B:B,1,0)</f>
        <v>Akbar</v>
      </c>
    </row>
    <row r="647" spans="1:10" x14ac:dyDescent="0.25">
      <c r="A647" s="22"/>
      <c r="B647" s="6" t="str">
        <f>CONCATENATE($D647,((COUNTIFS($D:$D,$D647)-COUNTIF($D$3:$D647,$D647))+1))</f>
        <v>Firat2</v>
      </c>
      <c r="C647" s="6">
        <f t="shared" si="29"/>
        <v>45622</v>
      </c>
      <c r="D647" s="32" t="s">
        <v>33</v>
      </c>
      <c r="E647" t="s">
        <v>73</v>
      </c>
      <c r="F647" s="32" t="str">
        <f>CONCATENATE(D646,D648,E646)</f>
        <v>AkbarMiroL</v>
      </c>
      <c r="G647" t="str">
        <f>CONCATENATE(D647,D648,E647)</f>
        <v>FiratMiroL</v>
      </c>
      <c r="I647" s="7"/>
      <c r="J647" s="7" t="str">
        <f>VLOOKUP(D647,Stats!B:B,1,0)</f>
        <v>Firat</v>
      </c>
    </row>
    <row r="648" spans="1:10" x14ac:dyDescent="0.25">
      <c r="A648" s="22"/>
      <c r="B648" s="6" t="str">
        <f>CONCATENATE($D648,((COUNTIFS($D:$D,$D648)-COUNTIF($D$3:$D648,$D648))+1))</f>
        <v>Miro2</v>
      </c>
      <c r="C648" s="6">
        <f t="shared" si="29"/>
        <v>45622</v>
      </c>
      <c r="D648" s="32" t="s">
        <v>151</v>
      </c>
      <c r="E648" t="s">
        <v>73</v>
      </c>
      <c r="F648" s="32" t="str">
        <f>CONCATENATE(D646,D649,E646)</f>
        <v>AkbarCedricL</v>
      </c>
      <c r="G648" t="str">
        <f>CONCATENATE(D647,D649,E647)</f>
        <v>FiratCedricL</v>
      </c>
      <c r="H648" t="str">
        <f>CONCATENATE(D648,D649,E648)</f>
        <v>MiroCedricL</v>
      </c>
      <c r="I648" s="7"/>
      <c r="J648" s="7" t="str">
        <f>VLOOKUP(D648,Stats!B:B,1,0)</f>
        <v>Miro</v>
      </c>
    </row>
    <row r="649" spans="1:10" x14ac:dyDescent="0.25">
      <c r="A649" s="22"/>
      <c r="B649" s="6" t="str">
        <f>CONCATENATE($D649,((COUNTIFS($D:$D,$D649)-COUNTIF($D$3:$D649,$D649))+1))</f>
        <v>Cedric1</v>
      </c>
      <c r="C649" s="6">
        <f t="shared" si="29"/>
        <v>45622</v>
      </c>
      <c r="D649" s="32" t="s">
        <v>153</v>
      </c>
      <c r="E649" t="s">
        <v>73</v>
      </c>
      <c r="F649" s="32" t="str">
        <f>CONCATENATE(D646,D650,E646)</f>
        <v>AkbarThijsL</v>
      </c>
      <c r="G649" t="str">
        <f>CONCATENATE(D647,D650,E647)</f>
        <v>FiratThijsL</v>
      </c>
      <c r="H649" t="str">
        <f>CONCATENATE(D648,D650,E648)</f>
        <v>MiroThijsL</v>
      </c>
      <c r="I649" s="7" t="str">
        <f>CONCATENATE(D649,D650,E649)</f>
        <v>CedricThijsL</v>
      </c>
      <c r="J649" s="7" t="str">
        <f>VLOOKUP(D649,Stats!B:B,1,0)</f>
        <v>Cedric</v>
      </c>
    </row>
    <row r="650" spans="1:10" x14ac:dyDescent="0.25">
      <c r="A650" s="22"/>
      <c r="B650" s="8" t="str">
        <f>CONCATENATE($D650,((COUNTIFS($D:$D,$D650)-COUNTIF($D$3:$D650,$D650))+1))</f>
        <v>Thijs1</v>
      </c>
      <c r="C650" s="8">
        <f t="shared" si="29"/>
        <v>45622</v>
      </c>
      <c r="D650" s="66" t="s">
        <v>24</v>
      </c>
      <c r="E650" s="2" t="s">
        <v>73</v>
      </c>
      <c r="F650" s="13"/>
      <c r="G650" s="2"/>
      <c r="H650" s="2"/>
      <c r="I650" s="9"/>
      <c r="J650" s="9" t="str">
        <f>VLOOKUP(D650,Stats!B:B,1,0)</f>
        <v>Thijs</v>
      </c>
    </row>
    <row r="651" spans="1:10" x14ac:dyDescent="0.25">
      <c r="A651" s="22"/>
      <c r="B651" s="3" t="str">
        <f>CONCATENATE($D651,((COUNTIFS($D:$D,$D651)-COUNTIF($D$3:$D651,$D651))+1))</f>
        <v>Dmytro2</v>
      </c>
      <c r="C651" s="3">
        <f t="shared" si="29"/>
        <v>45622</v>
      </c>
      <c r="D651" s="32" t="s">
        <v>28</v>
      </c>
      <c r="E651" s="4" t="s">
        <v>72</v>
      </c>
      <c r="F651" s="32" t="str">
        <f>CONCATENATE(D651,D652,E651)</f>
        <v>DmytroDobroW</v>
      </c>
      <c r="I651" s="5"/>
      <c r="J651" s="5" t="str">
        <f>VLOOKUP(D651,Stats!B:B,1,0)</f>
        <v>Dmytro</v>
      </c>
    </row>
    <row r="652" spans="1:10" x14ac:dyDescent="0.25">
      <c r="A652" s="22"/>
      <c r="B652" s="6" t="str">
        <f>CONCATENATE($D652,((COUNTIFS($D:$D,$D652)-COUNTIF($D$3:$D652,$D652))+1))</f>
        <v>Dobro4</v>
      </c>
      <c r="C652" s="6">
        <f t="shared" si="29"/>
        <v>45622</v>
      </c>
      <c r="D652" s="32" t="s">
        <v>35</v>
      </c>
      <c r="E652" t="s">
        <v>72</v>
      </c>
      <c r="F652" s="32" t="str">
        <f>CONCATENATE(D651,D653,E651)</f>
        <v>DmytroLucaW</v>
      </c>
      <c r="G652" t="str">
        <f>CONCATENATE(D652,D653,E652)</f>
        <v>DobroLucaW</v>
      </c>
      <c r="I652" s="7"/>
      <c r="J652" s="7" t="str">
        <f>VLOOKUP(D652,Stats!B:B,1,0)</f>
        <v>Dobro</v>
      </c>
    </row>
    <row r="653" spans="1:10" x14ac:dyDescent="0.25">
      <c r="A653" s="22"/>
      <c r="B653" s="6" t="str">
        <f>CONCATENATE($D653,((COUNTIFS($D:$D,$D653)-COUNTIF($D$3:$D653,$D653))+1))</f>
        <v>Luca2</v>
      </c>
      <c r="C653" s="6">
        <f t="shared" si="29"/>
        <v>45622</v>
      </c>
      <c r="D653" s="32" t="s">
        <v>46</v>
      </c>
      <c r="E653" t="s">
        <v>72</v>
      </c>
      <c r="F653" s="32" t="str">
        <f>CONCATENATE(D651,D654,E651)</f>
        <v>DmytroShawnW</v>
      </c>
      <c r="G653" t="str">
        <f>CONCATENATE(D652,D654,E652)</f>
        <v>DobroShawnW</v>
      </c>
      <c r="H653" t="str">
        <f>CONCATENATE(D653,D654,E653)</f>
        <v>LucaShawnW</v>
      </c>
      <c r="I653" s="7"/>
      <c r="J653" s="7" t="str">
        <f>VLOOKUP(D653,Stats!B:B,1,0)</f>
        <v>Luca</v>
      </c>
    </row>
    <row r="654" spans="1:10" x14ac:dyDescent="0.25">
      <c r="A654" s="22"/>
      <c r="B654" s="6" t="str">
        <f>CONCATENATE($D654,((COUNTIFS($D:$D,$D654)-COUNTIF($D$3:$D654,$D654))+1))</f>
        <v>Shawn3</v>
      </c>
      <c r="C654" s="6">
        <f t="shared" si="29"/>
        <v>45622</v>
      </c>
      <c r="D654" s="32" t="s">
        <v>152</v>
      </c>
      <c r="E654" t="s">
        <v>72</v>
      </c>
      <c r="F654" s="32" t="str">
        <f>CONCATENATE(D651,D655,E651)</f>
        <v>DmytroWouterW</v>
      </c>
      <c r="G654" t="str">
        <f>CONCATENATE(D652,D655,E652)</f>
        <v>DobroWouterW</v>
      </c>
      <c r="H654" t="str">
        <f>CONCATENATE(D653,D655,E653)</f>
        <v>LucaWouterW</v>
      </c>
      <c r="I654" s="7" t="str">
        <f>CONCATENATE(D654,D655,E654)</f>
        <v>ShawnWouterW</v>
      </c>
      <c r="J654" s="7" t="str">
        <f>VLOOKUP(D654,Stats!B:B,1,0)</f>
        <v>Shawn</v>
      </c>
    </row>
    <row r="655" spans="1:10" x14ac:dyDescent="0.25">
      <c r="A655" s="22"/>
      <c r="B655" s="6" t="str">
        <f>CONCATENATE($D655,((COUNTIFS($D:$D,$D655)-COUNTIF($D$3:$D655,$D655))+1))</f>
        <v>Wouter3</v>
      </c>
      <c r="C655" s="6">
        <f t="shared" si="29"/>
        <v>45622</v>
      </c>
      <c r="D655" s="32" t="s">
        <v>36</v>
      </c>
      <c r="E655" t="s">
        <v>72</v>
      </c>
      <c r="F655" s="32"/>
      <c r="I655" s="7"/>
      <c r="J655" s="7" t="str">
        <f>VLOOKUP(D655,Stats!B:B,1,0)</f>
        <v>Wouter</v>
      </c>
    </row>
    <row r="656" spans="1:10" x14ac:dyDescent="0.25">
      <c r="A656" s="22"/>
      <c r="B656" s="6" t="str">
        <f>CONCATENATE($D656,((COUNTIFS($D:$D,$D656)-COUNTIF($D$3:$D656,$D656))+1))</f>
        <v>Adam4</v>
      </c>
      <c r="C656" s="6">
        <f t="shared" si="29"/>
        <v>45622</v>
      </c>
      <c r="D656" s="32" t="s">
        <v>53</v>
      </c>
      <c r="E656" t="s">
        <v>73</v>
      </c>
      <c r="F656" s="32" t="str">
        <f>CONCATENATE(D656,D657,E656)</f>
        <v>AdamAlexL</v>
      </c>
      <c r="I656" s="7"/>
      <c r="J656" s="7" t="str">
        <f>VLOOKUP(D656,Stats!B:B,1,0)</f>
        <v>Adam</v>
      </c>
    </row>
    <row r="657" spans="1:10" x14ac:dyDescent="0.25">
      <c r="A657" s="22"/>
      <c r="B657" s="6" t="str">
        <f>CONCATENATE($D657,((COUNTIFS($D:$D,$D657)-COUNTIF($D$3:$D657,$D657))+1))</f>
        <v>Alex2</v>
      </c>
      <c r="C657" s="6">
        <f t="shared" si="29"/>
        <v>45622</v>
      </c>
      <c r="D657" s="32" t="s">
        <v>18</v>
      </c>
      <c r="E657" t="s">
        <v>73</v>
      </c>
      <c r="F657" s="32" t="str">
        <f>CONCATENATE(D656,D658,E656)</f>
        <v>AdamGiovanniL</v>
      </c>
      <c r="G657" t="str">
        <f>CONCATENATE(D657,D658,E657)</f>
        <v>AlexGiovanniL</v>
      </c>
      <c r="I657" s="7"/>
      <c r="J657" s="7" t="str">
        <f>VLOOKUP(D657,Stats!B:B,1,0)</f>
        <v>Alex</v>
      </c>
    </row>
    <row r="658" spans="1:10" x14ac:dyDescent="0.25">
      <c r="A658" s="22"/>
      <c r="B658" s="6" t="str">
        <f>CONCATENATE($D658,((COUNTIFS($D:$D,$D658)-COUNTIF($D$3:$D658,$D658))+1))</f>
        <v>Giovanni1</v>
      </c>
      <c r="C658" s="6">
        <f t="shared" si="29"/>
        <v>45622</v>
      </c>
      <c r="D658" s="32" t="s">
        <v>45</v>
      </c>
      <c r="E658" t="s">
        <v>73</v>
      </c>
      <c r="F658" s="32" t="str">
        <f>CONCATENATE(D656,D659,E656)</f>
        <v>AdamLarsL</v>
      </c>
      <c r="G658" t="str">
        <f>CONCATENATE(D657,D659,E657)</f>
        <v>AlexLarsL</v>
      </c>
      <c r="H658" t="str">
        <f>CONCATENATE(D658,D659,E658)</f>
        <v>GiovanniLarsL</v>
      </c>
      <c r="I658" s="7"/>
      <c r="J658" s="7" t="str">
        <f>VLOOKUP(D658,Stats!B:B,1,0)</f>
        <v>Giovanni</v>
      </c>
    </row>
    <row r="659" spans="1:10" x14ac:dyDescent="0.25">
      <c r="A659" s="22"/>
      <c r="B659" s="6" t="str">
        <f>CONCATENATE($D659,((COUNTIFS($D:$D,$D659)-COUNTIF($D$3:$D659,$D659))+1))</f>
        <v>Lars1</v>
      </c>
      <c r="C659" s="6">
        <f t="shared" si="29"/>
        <v>45622</v>
      </c>
      <c r="D659" s="32" t="s">
        <v>146</v>
      </c>
      <c r="E659" t="s">
        <v>73</v>
      </c>
      <c r="F659" s="32" t="str">
        <f>CONCATENATE(D656,D660,E656)</f>
        <v>AdamRenaudL</v>
      </c>
      <c r="G659" t="str">
        <f>CONCATENATE(D657,D660,E657)</f>
        <v>AlexRenaudL</v>
      </c>
      <c r="H659" t="str">
        <f>CONCATENATE(D658,D660,E658)</f>
        <v>GiovanniRenaudL</v>
      </c>
      <c r="I659" s="7" t="str">
        <f>CONCATENATE(D659,D660,E659)</f>
        <v>LarsRenaudL</v>
      </c>
      <c r="J659" s="7" t="str">
        <f>VLOOKUP(D659,Stats!B:B,1,0)</f>
        <v>Lars</v>
      </c>
    </row>
    <row r="660" spans="1:10" x14ac:dyDescent="0.25">
      <c r="A660" s="22"/>
      <c r="B660" s="8" t="str">
        <f>CONCATENATE($D660,((COUNTIFS($D:$D,$D660)-COUNTIF($D$3:$D660,$D660))+1))</f>
        <v>Renaud5</v>
      </c>
      <c r="C660" s="8">
        <f t="shared" si="29"/>
        <v>45622</v>
      </c>
      <c r="D660" s="66" t="s">
        <v>147</v>
      </c>
      <c r="E660" s="2" t="s">
        <v>73</v>
      </c>
      <c r="F660" s="13"/>
      <c r="G660" s="2"/>
      <c r="H660" s="2"/>
      <c r="I660" s="9"/>
      <c r="J660" s="9" t="str">
        <f>VLOOKUP(D660,Stats!B:B,1,0)</f>
        <v>Renaud</v>
      </c>
    </row>
    <row r="661" spans="1:10" x14ac:dyDescent="0.25">
      <c r="A661" s="22"/>
      <c r="B661" s="3" t="str">
        <f>CONCATENATE($D661,((COUNTIFS($D:$D,$D661)-COUNTIF($D$3:$D661,$D661))+1))</f>
        <v>Alex1</v>
      </c>
      <c r="C661" s="3">
        <f>+C660+7</f>
        <v>45629</v>
      </c>
      <c r="D661" s="32" t="s">
        <v>18</v>
      </c>
      <c r="E661" s="4" t="s">
        <v>72</v>
      </c>
      <c r="F661" s="32" t="str">
        <f>CONCATENATE(D661,D662,E661)</f>
        <v>AlexBishoyW</v>
      </c>
      <c r="I661" s="5"/>
      <c r="J661" s="5" t="str">
        <f>VLOOKUP(D661,Stats!B:B,1,0)</f>
        <v>Alex</v>
      </c>
    </row>
    <row r="662" spans="1:10" x14ac:dyDescent="0.25">
      <c r="A662" s="22"/>
      <c r="B662" s="6" t="str">
        <f>CONCATENATE($D662,((COUNTIFS($D:$D,$D662)-COUNTIF($D$3:$D662,$D662))+1))</f>
        <v>Bishoy3</v>
      </c>
      <c r="C662" s="6">
        <f t="shared" si="29"/>
        <v>45629</v>
      </c>
      <c r="D662" s="32" t="s">
        <v>61</v>
      </c>
      <c r="E662" t="s">
        <v>72</v>
      </c>
      <c r="F662" s="32" t="str">
        <f>CONCATENATE(D661,D663,E661)</f>
        <v>AlexMiroW</v>
      </c>
      <c r="G662" t="str">
        <f>CONCATENATE(D662,D663,E662)</f>
        <v>BishoyMiroW</v>
      </c>
      <c r="I662" s="7"/>
      <c r="J662" s="7" t="str">
        <f>VLOOKUP(D662,Stats!B:B,1,0)</f>
        <v>Bishoy</v>
      </c>
    </row>
    <row r="663" spans="1:10" x14ac:dyDescent="0.25">
      <c r="A663" s="22"/>
      <c r="B663" s="6" t="str">
        <f>CONCATENATE($D663,((COUNTIFS($D:$D,$D663)-COUNTIF($D$3:$D663,$D663))+1))</f>
        <v>Miro1</v>
      </c>
      <c r="C663" s="6">
        <f t="shared" si="29"/>
        <v>45629</v>
      </c>
      <c r="D663" s="32" t="s">
        <v>151</v>
      </c>
      <c r="E663" t="s">
        <v>72</v>
      </c>
      <c r="F663" s="32" t="str">
        <f>CONCATENATE(D661,D664,E661)</f>
        <v>AlexRenaudW</v>
      </c>
      <c r="G663" t="str">
        <f>CONCATENATE(D662,D664,E662)</f>
        <v>BishoyRenaudW</v>
      </c>
      <c r="H663" t="str">
        <f>CONCATENATE(D663,D664,E663)</f>
        <v>MiroRenaudW</v>
      </c>
      <c r="I663" s="7"/>
      <c r="J663" s="7" t="str">
        <f>VLOOKUP(D663,Stats!B:B,1,0)</f>
        <v>Miro</v>
      </c>
    </row>
    <row r="664" spans="1:10" x14ac:dyDescent="0.25">
      <c r="A664" s="22"/>
      <c r="B664" s="6" t="str">
        <f>CONCATENATE($D664,((COUNTIFS($D:$D,$D664)-COUNTIF($D$3:$D664,$D664))+1))</f>
        <v>Renaud4</v>
      </c>
      <c r="C664" s="6">
        <f t="shared" si="29"/>
        <v>45629</v>
      </c>
      <c r="D664" s="32" t="s">
        <v>147</v>
      </c>
      <c r="E664" t="s">
        <v>72</v>
      </c>
      <c r="F664" s="32" t="str">
        <f>CONCATENATE(D661,D665,E661)</f>
        <v>AlexWouterW</v>
      </c>
      <c r="G664" t="str">
        <f>CONCATENATE(D662,D665,E662)</f>
        <v>BishoyWouterW</v>
      </c>
      <c r="H664" t="str">
        <f>CONCATENATE(D663,D665,E663)</f>
        <v>MiroWouterW</v>
      </c>
      <c r="I664" s="7" t="str">
        <f>CONCATENATE(D664,D665,E664)</f>
        <v>RenaudWouterW</v>
      </c>
      <c r="J664" s="7" t="str">
        <f>VLOOKUP(D664,Stats!B:B,1,0)</f>
        <v>Renaud</v>
      </c>
    </row>
    <row r="665" spans="1:10" x14ac:dyDescent="0.25">
      <c r="A665" s="22"/>
      <c r="B665" s="6" t="str">
        <f>CONCATENATE($D665,((COUNTIFS($D:$D,$D665)-COUNTIF($D$3:$D665,$D665))+1))</f>
        <v>Wouter2</v>
      </c>
      <c r="C665" s="6">
        <f t="shared" si="29"/>
        <v>45629</v>
      </c>
      <c r="D665" s="32" t="s">
        <v>36</v>
      </c>
      <c r="E665" t="s">
        <v>72</v>
      </c>
      <c r="F665" s="32"/>
      <c r="I665" s="7"/>
      <c r="J665" s="7" t="str">
        <f>VLOOKUP(D665,Stats!B:B,1,0)</f>
        <v>Wouter</v>
      </c>
    </row>
    <row r="666" spans="1:10" x14ac:dyDescent="0.25">
      <c r="A666" s="22"/>
      <c r="B666" s="6" t="str">
        <f>CONCATENATE($D666,((COUNTIFS($D:$D,$D666)-COUNTIF($D$3:$D666,$D666))+1))</f>
        <v>Adam3</v>
      </c>
      <c r="C666" s="6">
        <f t="shared" ref="C666:C670" si="30">C665</f>
        <v>45629</v>
      </c>
      <c r="D666" s="32" t="s">
        <v>53</v>
      </c>
      <c r="E666" t="s">
        <v>73</v>
      </c>
      <c r="F666" s="32" t="str">
        <f>CONCATENATE(D666,D667,E666)</f>
        <v>AdamDobroL</v>
      </c>
      <c r="I666" s="7"/>
      <c r="J666" s="7" t="str">
        <f>VLOOKUP(D666,Stats!B:B,1,0)</f>
        <v>Adam</v>
      </c>
    </row>
    <row r="667" spans="1:10" x14ac:dyDescent="0.25">
      <c r="A667" s="22"/>
      <c r="B667" s="6" t="str">
        <f>CONCATENATE($D667,((COUNTIFS($D:$D,$D667)-COUNTIF($D$3:$D667,$D667))+1))</f>
        <v>Dobro3</v>
      </c>
      <c r="C667" s="6">
        <f t="shared" si="30"/>
        <v>45629</v>
      </c>
      <c r="D667" s="32" t="s">
        <v>35</v>
      </c>
      <c r="E667" t="s">
        <v>73</v>
      </c>
      <c r="F667" s="32" t="str">
        <f>CONCATENATE(D666,D668,E666)</f>
        <v>AdamFiratL</v>
      </c>
      <c r="G667" t="str">
        <f>CONCATENATE(D667,D668,E667)</f>
        <v>DobroFiratL</v>
      </c>
      <c r="I667" s="7"/>
      <c r="J667" s="7" t="str">
        <f>VLOOKUP(D667,Stats!B:B,1,0)</f>
        <v>Dobro</v>
      </c>
    </row>
    <row r="668" spans="1:10" x14ac:dyDescent="0.25">
      <c r="A668" s="22"/>
      <c r="B668" s="6" t="str">
        <f>CONCATENATE($D668,((COUNTIFS($D:$D,$D668)-COUNTIF($D$3:$D668,$D668))+1))</f>
        <v>Firat1</v>
      </c>
      <c r="C668" s="6">
        <f t="shared" si="30"/>
        <v>45629</v>
      </c>
      <c r="D668" s="32" t="s">
        <v>33</v>
      </c>
      <c r="E668" t="s">
        <v>73</v>
      </c>
      <c r="F668" s="32" t="str">
        <f>CONCATENATE(D666,D669,E666)</f>
        <v>AdamSanderoL</v>
      </c>
      <c r="G668" t="str">
        <f>CONCATENATE(D667,D669,E667)</f>
        <v>DobroSanderoL</v>
      </c>
      <c r="H668" t="str">
        <f>CONCATENATE(D668,D669,E668)</f>
        <v>FiratSanderoL</v>
      </c>
      <c r="I668" s="7"/>
      <c r="J668" s="7" t="str">
        <f>VLOOKUP(D668,Stats!B:B,1,0)</f>
        <v>Firat</v>
      </c>
    </row>
    <row r="669" spans="1:10" x14ac:dyDescent="0.25">
      <c r="A669" s="22"/>
      <c r="B669" s="6" t="str">
        <f>CONCATENATE($D669,((COUNTIFS($D:$D,$D669)-COUNTIF($D$3:$D669,$D669))+1))</f>
        <v>Sandero1</v>
      </c>
      <c r="C669" s="6">
        <f t="shared" si="30"/>
        <v>45629</v>
      </c>
      <c r="D669" s="32" t="s">
        <v>57</v>
      </c>
      <c r="E669" t="s">
        <v>73</v>
      </c>
      <c r="F669" s="32" t="str">
        <f>CONCATENATE(D666,D670,E666)</f>
        <v>AdamSizweL</v>
      </c>
      <c r="G669" t="str">
        <f>CONCATENATE(D667,D670,E667)</f>
        <v>DobroSizweL</v>
      </c>
      <c r="H669" t="str">
        <f>CONCATENATE(D668,D670,E668)</f>
        <v>FiratSizweL</v>
      </c>
      <c r="I669" s="7" t="str">
        <f>CONCATENATE(D669,D670,E669)</f>
        <v>SanderoSizweL</v>
      </c>
      <c r="J669" s="7" t="str">
        <f>VLOOKUP(D669,Stats!B:B,1,0)</f>
        <v>Sandero</v>
      </c>
    </row>
    <row r="670" spans="1:10" x14ac:dyDescent="0.25">
      <c r="A670" s="22"/>
      <c r="B670" s="8" t="str">
        <f>CONCATENATE($D670,((COUNTIFS($D:$D,$D670)-COUNTIF($D$3:$D670,$D670))+1))</f>
        <v>Sizwe3</v>
      </c>
      <c r="C670" s="8">
        <f t="shared" si="30"/>
        <v>45629</v>
      </c>
      <c r="D670" s="66" t="s">
        <v>44</v>
      </c>
      <c r="E670" s="2" t="s">
        <v>73</v>
      </c>
      <c r="F670" s="13"/>
      <c r="G670" s="2"/>
      <c r="H670" s="2"/>
      <c r="I670" s="9"/>
      <c r="J670" s="9" t="str">
        <f>VLOOKUP(D670,Stats!B:B,1,0)</f>
        <v>Sizwe</v>
      </c>
    </row>
    <row r="671" spans="1:10" x14ac:dyDescent="0.25">
      <c r="A671" s="22"/>
      <c r="B671" s="3" t="str">
        <f>CONCATENATE($D671,((COUNTIFS($D:$D,$D671)-COUNTIF($D$3:$D671,$D671))+1))</f>
        <v>Bishoy2</v>
      </c>
      <c r="C671" s="3">
        <f>+C670+9</f>
        <v>45638</v>
      </c>
      <c r="D671" s="32" t="s">
        <v>61</v>
      </c>
      <c r="E671" s="4" t="s">
        <v>72</v>
      </c>
      <c r="F671" s="32" t="str">
        <f>CONCATENATE(D671,D672,E671)</f>
        <v>BishoyDobroW</v>
      </c>
      <c r="I671" s="5"/>
      <c r="J671" s="5" t="str">
        <f>VLOOKUP(D671,Stats!B:B,1,0)</f>
        <v>Bishoy</v>
      </c>
    </row>
    <row r="672" spans="1:10" x14ac:dyDescent="0.25">
      <c r="A672" s="22"/>
      <c r="B672" s="6" t="str">
        <f>CONCATENATE($D672,((COUNTIFS($D:$D,$D672)-COUNTIF($D$3:$D672,$D672))+1))</f>
        <v>Dobro2</v>
      </c>
      <c r="C672" s="6">
        <f t="shared" ref="C672:C700" si="31">C671</f>
        <v>45638</v>
      </c>
      <c r="D672" s="32" t="s">
        <v>35</v>
      </c>
      <c r="E672" t="s">
        <v>72</v>
      </c>
      <c r="F672" s="32" t="str">
        <f>CONCATENATE(D671,D673,E671)</f>
        <v>BishoyPablo OGW</v>
      </c>
      <c r="G672" t="str">
        <f>CONCATENATE(D672,D673,E672)</f>
        <v>DobroPablo OGW</v>
      </c>
      <c r="I672" s="7"/>
      <c r="J672" s="7" t="str">
        <f>VLOOKUP(D672,Stats!B:B,1,0)</f>
        <v>Dobro</v>
      </c>
    </row>
    <row r="673" spans="1:10" x14ac:dyDescent="0.25">
      <c r="A673" s="22"/>
      <c r="B673" s="6" t="str">
        <f>CONCATENATE($D673,((COUNTIFS($D:$D,$D673)-COUNTIF($D$3:$D673,$D673))+1))</f>
        <v>Pablo OG3</v>
      </c>
      <c r="C673" s="6">
        <f t="shared" si="31"/>
        <v>45638</v>
      </c>
      <c r="D673" s="32" t="s">
        <v>42</v>
      </c>
      <c r="E673" t="s">
        <v>72</v>
      </c>
      <c r="F673" s="32" t="str">
        <f>CONCATENATE(D671,D674,E671)</f>
        <v>BishoyTchiW</v>
      </c>
      <c r="G673" t="str">
        <f>CONCATENATE(D672,D674,E672)</f>
        <v>DobroTchiW</v>
      </c>
      <c r="H673" t="str">
        <f>CONCATENATE(D673,D674,E673)</f>
        <v>Pablo OGTchiW</v>
      </c>
      <c r="I673" s="7"/>
      <c r="J673" s="7" t="str">
        <f>VLOOKUP(D673,Stats!B:B,1,0)</f>
        <v>Pablo OG</v>
      </c>
    </row>
    <row r="674" spans="1:10" x14ac:dyDescent="0.25">
      <c r="A674" s="22"/>
      <c r="B674" s="6" t="str">
        <f>CONCATENATE($D674,((COUNTIFS($D:$D,$D674)-COUNTIF($D$3:$D674,$D674))+1))</f>
        <v>Tchi2</v>
      </c>
      <c r="C674" s="6">
        <f t="shared" si="31"/>
        <v>45638</v>
      </c>
      <c r="D674" s="32" t="s">
        <v>37</v>
      </c>
      <c r="E674" t="s">
        <v>72</v>
      </c>
      <c r="F674" s="32" t="str">
        <f>CONCATENATE(D671,D675,E671)</f>
        <v>BishoyWouterW</v>
      </c>
      <c r="G674" t="str">
        <f>CONCATENATE(D672,D675,E672)</f>
        <v>DobroWouterW</v>
      </c>
      <c r="H674" t="str">
        <f>CONCATENATE(D673,D675,E673)</f>
        <v>Pablo OGWouterW</v>
      </c>
      <c r="I674" s="7" t="str">
        <f>CONCATENATE(D674,D675,E674)</f>
        <v>TchiWouterW</v>
      </c>
      <c r="J674" s="7" t="str">
        <f>VLOOKUP(D674,Stats!B:B,1,0)</f>
        <v>Tchi</v>
      </c>
    </row>
    <row r="675" spans="1:10" x14ac:dyDescent="0.25">
      <c r="A675" s="22"/>
      <c r="B675" s="6" t="str">
        <f>CONCATENATE($D675,((COUNTIFS($D:$D,$D675)-COUNTIF($D$3:$D675,$D675))+1))</f>
        <v>Wouter1</v>
      </c>
      <c r="C675" s="6">
        <f t="shared" si="31"/>
        <v>45638</v>
      </c>
      <c r="D675" s="32" t="s">
        <v>36</v>
      </c>
      <c r="E675" t="s">
        <v>72</v>
      </c>
      <c r="F675" s="32"/>
      <c r="I675" s="7"/>
      <c r="J675" s="7" t="str">
        <f>VLOOKUP(D675,Stats!B:B,1,0)</f>
        <v>Wouter</v>
      </c>
    </row>
    <row r="676" spans="1:10" x14ac:dyDescent="0.25">
      <c r="A676" s="22"/>
      <c r="B676" s="6" t="str">
        <f>CONCATENATE($D676,((COUNTIFS($D:$D,$D676)-COUNTIF($D$3:$D676,$D676))+1))</f>
        <v>Adi1</v>
      </c>
      <c r="C676" s="6">
        <f t="shared" si="31"/>
        <v>45638</v>
      </c>
      <c r="D676" s="32" t="s">
        <v>47</v>
      </c>
      <c r="E676" t="s">
        <v>73</v>
      </c>
      <c r="F676" s="32" t="str">
        <f>CONCATENATE(D676,D677,E676)</f>
        <v>AdiBramL</v>
      </c>
      <c r="I676" s="7"/>
      <c r="J676" s="7" t="str">
        <f>VLOOKUP(D676,Stats!B:B,1,0)</f>
        <v>Adi</v>
      </c>
    </row>
    <row r="677" spans="1:10" x14ac:dyDescent="0.25">
      <c r="A677" s="22"/>
      <c r="B677" s="6" t="str">
        <f>CONCATENATE($D677,((COUNTIFS($D:$D,$D677)-COUNTIF($D$3:$D677,$D677))+1))</f>
        <v>Bram2</v>
      </c>
      <c r="C677" s="6">
        <f t="shared" si="31"/>
        <v>45638</v>
      </c>
      <c r="D677" s="32" t="s">
        <v>52</v>
      </c>
      <c r="E677" t="s">
        <v>73</v>
      </c>
      <c r="F677" s="32" t="str">
        <f>CONCATENATE(D676,D678,E676)</f>
        <v>AdiDmytroL</v>
      </c>
      <c r="G677" t="str">
        <f>CONCATENATE(D677,D678,E677)</f>
        <v>BramDmytroL</v>
      </c>
      <c r="I677" s="7"/>
      <c r="J677" s="7" t="str">
        <f>VLOOKUP(D677,Stats!B:B,1,0)</f>
        <v>Bram</v>
      </c>
    </row>
    <row r="678" spans="1:10" x14ac:dyDescent="0.25">
      <c r="A678" s="22"/>
      <c r="B678" s="6" t="str">
        <f>CONCATENATE($D678,((COUNTIFS($D:$D,$D678)-COUNTIF($D$3:$D678,$D678))+1))</f>
        <v>Dmytro1</v>
      </c>
      <c r="C678" s="6">
        <f t="shared" si="31"/>
        <v>45638</v>
      </c>
      <c r="D678" s="32" t="s">
        <v>28</v>
      </c>
      <c r="E678" t="s">
        <v>73</v>
      </c>
      <c r="F678" s="32" t="str">
        <f>CONCATENATE(D676,D679,E676)</f>
        <v>AdiLucaL</v>
      </c>
      <c r="G678" t="str">
        <f>CONCATENATE(D677,D679,E677)</f>
        <v>BramLucaL</v>
      </c>
      <c r="H678" t="str">
        <f>CONCATENATE(D678,D679,E678)</f>
        <v>DmytroLucaL</v>
      </c>
      <c r="I678" s="7"/>
      <c r="J678" s="7" t="str">
        <f>VLOOKUP(D678,Stats!B:B,1,0)</f>
        <v>Dmytro</v>
      </c>
    </row>
    <row r="679" spans="1:10" x14ac:dyDescent="0.25">
      <c r="A679" s="22"/>
      <c r="B679" s="6" t="str">
        <f>CONCATENATE($D679,((COUNTIFS($D:$D,$D679)-COUNTIF($D$3:$D679,$D679))+1))</f>
        <v>Luca1</v>
      </c>
      <c r="C679" s="6">
        <f t="shared" si="31"/>
        <v>45638</v>
      </c>
      <c r="D679" s="32" t="s">
        <v>46</v>
      </c>
      <c r="E679" t="s">
        <v>73</v>
      </c>
      <c r="F679" s="32" t="str">
        <f>CONCATENATE(D676,D680,E676)</f>
        <v>AdiRenaudL</v>
      </c>
      <c r="G679" t="str">
        <f>CONCATENATE(D677,D680,E677)</f>
        <v>BramRenaudL</v>
      </c>
      <c r="H679" t="str">
        <f>CONCATENATE(D678,D680,E678)</f>
        <v>DmytroRenaudL</v>
      </c>
      <c r="I679" s="7" t="str">
        <f>CONCATENATE(D679,D680,E679)</f>
        <v>LucaRenaudL</v>
      </c>
      <c r="J679" s="7" t="str">
        <f>VLOOKUP(D679,Stats!B:B,1,0)</f>
        <v>Luca</v>
      </c>
    </row>
    <row r="680" spans="1:10" x14ac:dyDescent="0.25">
      <c r="A680" s="22"/>
      <c r="B680" s="8" t="str">
        <f>CONCATENATE($D680,((COUNTIFS($D:$D,$D680)-COUNTIF($D$3:$D680,$D680))+1))</f>
        <v>Renaud3</v>
      </c>
      <c r="C680" s="8">
        <f t="shared" si="31"/>
        <v>45638</v>
      </c>
      <c r="D680" s="66" t="s">
        <v>147</v>
      </c>
      <c r="E680" s="2" t="s">
        <v>73</v>
      </c>
      <c r="F680" s="13"/>
      <c r="G680" s="2"/>
      <c r="H680" s="2"/>
      <c r="I680" s="9"/>
      <c r="J680" s="9" t="str">
        <f>VLOOKUP(D680,Stats!B:B,1,0)</f>
        <v>Renaud</v>
      </c>
    </row>
    <row r="681" spans="1:10" x14ac:dyDescent="0.25">
      <c r="A681" s="22"/>
      <c r="B681" s="3" t="str">
        <f>CONCATENATE($D681,((COUNTIFS($D:$D,$D681)-COUNTIF($D$3:$D681,$D681))+1))</f>
        <v>Adam2</v>
      </c>
      <c r="C681" s="3">
        <f>+C680+26</f>
        <v>45664</v>
      </c>
      <c r="D681" s="32" t="s">
        <v>53</v>
      </c>
      <c r="E681" s="4" t="s">
        <v>72</v>
      </c>
      <c r="F681" s="32" t="str">
        <f>CONCATENATE(D681,D682,E681)</f>
        <v>AdamBarisW</v>
      </c>
      <c r="I681" s="5"/>
      <c r="J681" s="5" t="str">
        <f>VLOOKUP(D681,Stats!B:B,1,0)</f>
        <v>Adam</v>
      </c>
    </row>
    <row r="682" spans="1:10" x14ac:dyDescent="0.25">
      <c r="A682" s="22"/>
      <c r="B682" s="6" t="str">
        <f>CONCATENATE($D682,((COUNTIFS($D:$D,$D682)-COUNTIF($D$3:$D682,$D682))+1))</f>
        <v>Baris2</v>
      </c>
      <c r="C682" s="6">
        <f t="shared" si="31"/>
        <v>45664</v>
      </c>
      <c r="D682" s="32" t="s">
        <v>55</v>
      </c>
      <c r="E682" t="s">
        <v>72</v>
      </c>
      <c r="F682" s="32" t="str">
        <f>CONCATENATE(D681,D683,E681)</f>
        <v>AdamPablo OGW</v>
      </c>
      <c r="G682" t="str">
        <f>CONCATENATE(D682,D683,E682)</f>
        <v>BarisPablo OGW</v>
      </c>
      <c r="I682" s="7"/>
      <c r="J682" s="7" t="str">
        <f>VLOOKUP(D682,Stats!B:B,1,0)</f>
        <v>Baris</v>
      </c>
    </row>
    <row r="683" spans="1:10" x14ac:dyDescent="0.25">
      <c r="A683" s="22"/>
      <c r="B683" s="6" t="str">
        <f>CONCATENATE($D683,((COUNTIFS($D:$D,$D683)-COUNTIF($D$3:$D683,$D683))+1))</f>
        <v>Pablo OG2</v>
      </c>
      <c r="C683" s="6">
        <f t="shared" si="31"/>
        <v>45664</v>
      </c>
      <c r="D683" s="32" t="s">
        <v>42</v>
      </c>
      <c r="E683" t="s">
        <v>72</v>
      </c>
      <c r="F683" s="32" t="str">
        <f>CONCATENATE(D681,D684,E681)</f>
        <v>AdamRenaudW</v>
      </c>
      <c r="G683" t="str">
        <f>CONCATENATE(D682,D684,E682)</f>
        <v>BarisRenaudW</v>
      </c>
      <c r="H683" t="str">
        <f>CONCATENATE(D683,D684,E683)</f>
        <v>Pablo OGRenaudW</v>
      </c>
      <c r="I683" s="7"/>
      <c r="J683" s="7" t="str">
        <f>VLOOKUP(D683,Stats!B:B,1,0)</f>
        <v>Pablo OG</v>
      </c>
    </row>
    <row r="684" spans="1:10" x14ac:dyDescent="0.25">
      <c r="A684" s="22"/>
      <c r="B684" s="6" t="str">
        <f>CONCATENATE($D684,((COUNTIFS($D:$D,$D684)-COUNTIF($D$3:$D684,$D684))+1))</f>
        <v>Renaud2</v>
      </c>
      <c r="C684" s="6">
        <f t="shared" si="31"/>
        <v>45664</v>
      </c>
      <c r="D684" s="32" t="s">
        <v>147</v>
      </c>
      <c r="E684" t="s">
        <v>72</v>
      </c>
      <c r="F684" s="32" t="str">
        <f>CONCATENATE(D681,D685,E681)</f>
        <v>AdamTchiW</v>
      </c>
      <c r="G684" t="str">
        <f>CONCATENATE(D682,D685,E682)</f>
        <v>BarisTchiW</v>
      </c>
      <c r="H684" t="str">
        <f>CONCATENATE(D683,D685,E683)</f>
        <v>Pablo OGTchiW</v>
      </c>
      <c r="I684" s="7" t="str">
        <f>CONCATENATE(D684,D685,E684)</f>
        <v>RenaudTchiW</v>
      </c>
      <c r="J684" s="7" t="str">
        <f>VLOOKUP(D684,Stats!B:B,1,0)</f>
        <v>Renaud</v>
      </c>
    </row>
    <row r="685" spans="1:10" x14ac:dyDescent="0.25">
      <c r="A685" s="22"/>
      <c r="B685" s="6" t="str">
        <f>CONCATENATE($D685,((COUNTIFS($D:$D,$D685)-COUNTIF($D$3:$D685,$D685))+1))</f>
        <v>Tchi1</v>
      </c>
      <c r="C685" s="6">
        <f t="shared" si="31"/>
        <v>45664</v>
      </c>
      <c r="D685" s="32" t="s">
        <v>37</v>
      </c>
      <c r="E685" t="s">
        <v>72</v>
      </c>
      <c r="F685" s="32"/>
      <c r="I685" s="7"/>
      <c r="J685" s="7" t="str">
        <f>VLOOKUP(D685,Stats!B:B,1,0)</f>
        <v>Tchi</v>
      </c>
    </row>
    <row r="686" spans="1:10" x14ac:dyDescent="0.25">
      <c r="A686" s="22"/>
      <c r="B686" s="6" t="str">
        <f>CONCATENATE($D686,((COUNTIFS($D:$D,$D686)-COUNTIF($D$3:$D686,$D686))+1))</f>
        <v>Bram1</v>
      </c>
      <c r="C686" s="6">
        <f t="shared" si="31"/>
        <v>45664</v>
      </c>
      <c r="D686" s="32" t="s">
        <v>52</v>
      </c>
      <c r="E686" t="s">
        <v>73</v>
      </c>
      <c r="F686" s="32" t="str">
        <f>CONCATENATE(D686,D687,E686)</f>
        <v>BramDobroL</v>
      </c>
      <c r="I686" s="7"/>
      <c r="J686" s="7" t="str">
        <f>VLOOKUP(D686,Stats!B:B,1,0)</f>
        <v>Bram</v>
      </c>
    </row>
    <row r="687" spans="1:10" x14ac:dyDescent="0.25">
      <c r="A687" s="22"/>
      <c r="B687" s="6" t="str">
        <f>CONCATENATE($D687,((COUNTIFS($D:$D,$D687)-COUNTIF($D$3:$D687,$D687))+1))</f>
        <v>Dobro1</v>
      </c>
      <c r="C687" s="6">
        <f t="shared" si="31"/>
        <v>45664</v>
      </c>
      <c r="D687" s="32" t="s">
        <v>35</v>
      </c>
      <c r="E687" t="s">
        <v>73</v>
      </c>
      <c r="F687" s="32" t="str">
        <f>CONCATENATE(D686,D688,E686)</f>
        <v>BramOnurL</v>
      </c>
      <c r="G687" t="str">
        <f>CONCATENATE(D687,D688,E687)</f>
        <v>DobroOnurL</v>
      </c>
      <c r="I687" s="7"/>
      <c r="J687" s="7" t="str">
        <f>VLOOKUP(D687,Stats!B:B,1,0)</f>
        <v>Dobro</v>
      </c>
    </row>
    <row r="688" spans="1:10" x14ac:dyDescent="0.25">
      <c r="A688" s="22"/>
      <c r="B688" s="6" t="str">
        <f>CONCATENATE($D688,((COUNTIFS($D:$D,$D688)-COUNTIF($D$3:$D688,$D688))+1))</f>
        <v>Onur1</v>
      </c>
      <c r="C688" s="6">
        <f t="shared" si="31"/>
        <v>45664</v>
      </c>
      <c r="D688" s="32" t="s">
        <v>39</v>
      </c>
      <c r="E688" t="s">
        <v>73</v>
      </c>
      <c r="F688" s="32" t="str">
        <f>CONCATENATE(D686,D689,E686)</f>
        <v>BramShawnL</v>
      </c>
      <c r="G688" t="str">
        <f>CONCATENATE(D687,D689,E687)</f>
        <v>DobroShawnL</v>
      </c>
      <c r="H688" t="str">
        <f>CONCATENATE(D688,D689,E688)</f>
        <v>OnurShawnL</v>
      </c>
      <c r="I688" s="7"/>
      <c r="J688" s="7" t="str">
        <f>VLOOKUP(D688,Stats!B:B,1,0)</f>
        <v>Onur</v>
      </c>
    </row>
    <row r="689" spans="1:10" x14ac:dyDescent="0.25">
      <c r="A689" s="22"/>
      <c r="B689" s="6" t="str">
        <f>CONCATENATE($D689,((COUNTIFS($D:$D,$D689)-COUNTIF($D$3:$D689,$D689))+1))</f>
        <v>Shawn2</v>
      </c>
      <c r="C689" s="6">
        <f t="shared" si="31"/>
        <v>45664</v>
      </c>
      <c r="D689" s="32" t="s">
        <v>152</v>
      </c>
      <c r="E689" t="s">
        <v>73</v>
      </c>
      <c r="F689" s="32" t="str">
        <f>CONCATENATE(D686,D690,E686)</f>
        <v>BramSizweL</v>
      </c>
      <c r="G689" t="str">
        <f>CONCATENATE(D687,D690,E687)</f>
        <v>DobroSizweL</v>
      </c>
      <c r="H689" t="str">
        <f>CONCATENATE(D688,D690,E688)</f>
        <v>OnurSizweL</v>
      </c>
      <c r="I689" s="7" t="str">
        <f>CONCATENATE(D689,D690,E689)</f>
        <v>ShawnSizweL</v>
      </c>
      <c r="J689" s="7" t="str">
        <f>VLOOKUP(D689,Stats!B:B,1,0)</f>
        <v>Shawn</v>
      </c>
    </row>
    <row r="690" spans="1:10" x14ac:dyDescent="0.25">
      <c r="A690" s="22"/>
      <c r="B690" s="8" t="str">
        <f>CONCATENATE($D690,((COUNTIFS($D:$D,$D690)-COUNTIF($D$3:$D690,$D690))+1))</f>
        <v>Sizwe2</v>
      </c>
      <c r="C690" s="8">
        <f t="shared" si="31"/>
        <v>45664</v>
      </c>
      <c r="D690" s="66" t="s">
        <v>44</v>
      </c>
      <c r="E690" s="2" t="s">
        <v>73</v>
      </c>
      <c r="F690" s="13"/>
      <c r="G690" s="2"/>
      <c r="H690" s="2"/>
      <c r="I690" s="9"/>
      <c r="J690" s="9" t="str">
        <f>VLOOKUP(D690,Stats!B:B,1,0)</f>
        <v>Sizwe</v>
      </c>
    </row>
    <row r="691" spans="1:10" x14ac:dyDescent="0.25">
      <c r="A691" s="22"/>
      <c r="B691" s="3" t="str">
        <f>CONCATENATE($D691,((COUNTIFS($D:$D,$D691)-COUNTIF($D$3:$D691,$D691))+1))</f>
        <v>Adam1</v>
      </c>
      <c r="C691" s="3">
        <f>+C690+26</f>
        <v>45690</v>
      </c>
      <c r="D691" s="32" t="s">
        <v>53</v>
      </c>
      <c r="E691" s="4" t="s">
        <v>72</v>
      </c>
      <c r="F691" s="32" t="str">
        <f>CONCATENATE(D691,D692,E691)</f>
        <v>AdamJayW</v>
      </c>
      <c r="I691" s="5"/>
      <c r="J691" s="5" t="str">
        <f>VLOOKUP(D691,Stats!B:B,1,0)</f>
        <v>Adam</v>
      </c>
    </row>
    <row r="692" spans="1:10" x14ac:dyDescent="0.25">
      <c r="A692" s="22"/>
      <c r="B692" s="6" t="str">
        <f>CONCATENATE($D692,((COUNTIFS($D:$D,$D692)-COUNTIF($D$3:$D692,$D692))+1))</f>
        <v>Jay1</v>
      </c>
      <c r="C692" s="6">
        <f t="shared" si="31"/>
        <v>45690</v>
      </c>
      <c r="D692" s="32" t="s">
        <v>60</v>
      </c>
      <c r="E692" t="s">
        <v>72</v>
      </c>
      <c r="F692" s="32" t="str">
        <f>CONCATENATE(D691,D693,E691)</f>
        <v>AdamPablo OGW</v>
      </c>
      <c r="G692" t="str">
        <f>CONCATENATE(D692,D693,E692)</f>
        <v>JayPablo OGW</v>
      </c>
      <c r="I692" s="7"/>
      <c r="J692" s="7" t="str">
        <f>VLOOKUP(D692,Stats!B:B,1,0)</f>
        <v>Jay</v>
      </c>
    </row>
    <row r="693" spans="1:10" x14ac:dyDescent="0.25">
      <c r="A693" s="22"/>
      <c r="B693" s="6" t="str">
        <f>CONCATENATE($D693,((COUNTIFS($D:$D,$D693)-COUNTIF($D$3:$D693,$D693))+1))</f>
        <v>Pablo OG1</v>
      </c>
      <c r="C693" s="6">
        <f t="shared" si="31"/>
        <v>45690</v>
      </c>
      <c r="D693" s="32" t="s">
        <v>42</v>
      </c>
      <c r="E693" t="s">
        <v>72</v>
      </c>
      <c r="F693" s="32" t="str">
        <f>CONCATENATE(D691,D694,E691)</f>
        <v>AdamRenaudW</v>
      </c>
      <c r="G693" t="str">
        <f>CONCATENATE(D692,D694,E692)</f>
        <v>JayRenaudW</v>
      </c>
      <c r="H693" t="str">
        <f>CONCATENATE(D693,D694,E693)</f>
        <v>Pablo OGRenaudW</v>
      </c>
      <c r="I693" s="7"/>
      <c r="J693" s="7" t="str">
        <f>VLOOKUP(D693,Stats!B:B,1,0)</f>
        <v>Pablo OG</v>
      </c>
    </row>
    <row r="694" spans="1:10" x14ac:dyDescent="0.25">
      <c r="A694" s="22"/>
      <c r="B694" s="6" t="str">
        <f>CONCATENATE($D694,((COUNTIFS($D:$D,$D694)-COUNTIF($D$3:$D694,$D694))+1))</f>
        <v>Renaud1</v>
      </c>
      <c r="C694" s="6">
        <f t="shared" si="31"/>
        <v>45690</v>
      </c>
      <c r="D694" s="32" t="s">
        <v>147</v>
      </c>
      <c r="E694" t="s">
        <v>72</v>
      </c>
      <c r="F694" s="32" t="str">
        <f>CONCATENATE(D691,D695,E691)</f>
        <v>AdamSizweW</v>
      </c>
      <c r="G694" t="str">
        <f>CONCATENATE(D692,D695,E692)</f>
        <v>JaySizweW</v>
      </c>
      <c r="H694" t="str">
        <f>CONCATENATE(D693,D695,E693)</f>
        <v>Pablo OGSizweW</v>
      </c>
      <c r="I694" s="7" t="str">
        <f>CONCATENATE(D694,D695,E694)</f>
        <v>RenaudSizweW</v>
      </c>
      <c r="J694" s="7" t="str">
        <f>VLOOKUP(D694,Stats!B:B,1,0)</f>
        <v>Renaud</v>
      </c>
    </row>
    <row r="695" spans="1:10" x14ac:dyDescent="0.25">
      <c r="A695" s="22"/>
      <c r="B695" s="6" t="str">
        <f>CONCATENATE($D695,((COUNTIFS($D:$D,$D695)-COUNTIF($D$3:$D695,$D695))+1))</f>
        <v>Sizwe1</v>
      </c>
      <c r="C695" s="6">
        <f t="shared" si="31"/>
        <v>45690</v>
      </c>
      <c r="D695" s="32" t="s">
        <v>44</v>
      </c>
      <c r="E695" t="s">
        <v>72</v>
      </c>
      <c r="F695" s="32"/>
      <c r="I695" s="7"/>
      <c r="J695" s="7" t="str">
        <f>VLOOKUP(D695,Stats!B:B,1,0)</f>
        <v>Sizwe</v>
      </c>
    </row>
    <row r="696" spans="1:10" x14ac:dyDescent="0.25">
      <c r="A696" s="22"/>
      <c r="B696" s="6" t="str">
        <f>CONCATENATE($D696,((COUNTIFS($D:$D,$D696)-COUNTIF($D$3:$D696,$D696))+1))</f>
        <v>Arne1</v>
      </c>
      <c r="C696" s="6">
        <f t="shared" si="31"/>
        <v>45690</v>
      </c>
      <c r="D696" s="32" t="s">
        <v>49</v>
      </c>
      <c r="E696" t="s">
        <v>73</v>
      </c>
      <c r="F696" s="32" t="str">
        <f>CONCATENATE(D696,D697,E696)</f>
        <v>ArneBarisL</v>
      </c>
      <c r="I696" s="7"/>
      <c r="J696" s="7" t="str">
        <f>VLOOKUP(D696,Stats!B:B,1,0)</f>
        <v>Arne</v>
      </c>
    </row>
    <row r="697" spans="1:10" x14ac:dyDescent="0.25">
      <c r="A697" s="22"/>
      <c r="B697" s="6" t="str">
        <f>CONCATENATE($D697,((COUNTIFS($D:$D,$D697)-COUNTIF($D$3:$D697,$D697))+1))</f>
        <v>Baris1</v>
      </c>
      <c r="C697" s="6">
        <f t="shared" si="31"/>
        <v>45690</v>
      </c>
      <c r="D697" s="32" t="s">
        <v>55</v>
      </c>
      <c r="E697" t="s">
        <v>73</v>
      </c>
      <c r="F697" s="32" t="str">
        <f>CONCATENATE(D696,D698,E696)</f>
        <v>ArneBishoyL</v>
      </c>
      <c r="G697" t="str">
        <f>CONCATENATE(D697,D698,E697)</f>
        <v>BarisBishoyL</v>
      </c>
      <c r="I697" s="7"/>
      <c r="J697" s="7" t="str">
        <f>VLOOKUP(D697,Stats!B:B,1,0)</f>
        <v>Baris</v>
      </c>
    </row>
    <row r="698" spans="1:10" x14ac:dyDescent="0.25">
      <c r="A698" s="22"/>
      <c r="B698" s="6" t="str">
        <f>CONCATENATE($D698,((COUNTIFS($D:$D,$D698)-COUNTIF($D$3:$D698,$D698))+1))</f>
        <v>Bishoy1</v>
      </c>
      <c r="C698" s="6">
        <f t="shared" si="31"/>
        <v>45690</v>
      </c>
      <c r="D698" s="32" t="s">
        <v>61</v>
      </c>
      <c r="E698" t="s">
        <v>73</v>
      </c>
      <c r="F698" s="32" t="str">
        <f>CONCATENATE(D696,D699,E696)</f>
        <v>ArneRezaL</v>
      </c>
      <c r="G698" t="str">
        <f>CONCATENATE(D697,D699,E697)</f>
        <v>BarisRezaL</v>
      </c>
      <c r="H698" t="str">
        <f>CONCATENATE(D698,D699,E698)</f>
        <v>BishoyRezaL</v>
      </c>
      <c r="I698" s="7"/>
      <c r="J698" s="7" t="str">
        <f>VLOOKUP(D698,Stats!B:B,1,0)</f>
        <v>Bishoy</v>
      </c>
    </row>
    <row r="699" spans="1:10" x14ac:dyDescent="0.25">
      <c r="A699" s="22"/>
      <c r="B699" s="6" t="str">
        <f>CONCATENATE($D699,((COUNTIFS($D:$D,$D699)-COUNTIF($D$3:$D699,$D699))+1))</f>
        <v>Reza1</v>
      </c>
      <c r="C699" s="6">
        <f t="shared" si="31"/>
        <v>45690</v>
      </c>
      <c r="D699" s="32" t="s">
        <v>32</v>
      </c>
      <c r="E699" t="s">
        <v>73</v>
      </c>
      <c r="F699" s="32" t="str">
        <f>CONCATENATE(D696,D700,E696)</f>
        <v>ArneShawnL</v>
      </c>
      <c r="G699" t="str">
        <f>CONCATENATE(D697,D700,E697)</f>
        <v>BarisShawnL</v>
      </c>
      <c r="H699" t="str">
        <f>CONCATENATE(D698,D700,E698)</f>
        <v>BishoyShawnL</v>
      </c>
      <c r="I699" s="7" t="str">
        <f>CONCATENATE(D699,D700,E699)</f>
        <v>RezaShawnL</v>
      </c>
      <c r="J699" s="7" t="str">
        <f>VLOOKUP(D699,Stats!B:B,1,0)</f>
        <v>Reza</v>
      </c>
    </row>
    <row r="700" spans="1:10" x14ac:dyDescent="0.25">
      <c r="A700" s="22"/>
      <c r="B700" s="8" t="str">
        <f>CONCATENATE($D700,((COUNTIFS($D:$D,$D700)-COUNTIF($D$3:$D700,$D700))+1))</f>
        <v>Shawn1</v>
      </c>
      <c r="C700" s="8">
        <f t="shared" si="31"/>
        <v>45690</v>
      </c>
      <c r="D700" s="66" t="s">
        <v>152</v>
      </c>
      <c r="E700" s="2" t="s">
        <v>73</v>
      </c>
      <c r="F700" s="13"/>
      <c r="G700" s="2"/>
      <c r="H700" s="2"/>
      <c r="I700" s="9"/>
      <c r="J700" s="9" t="str">
        <f>VLOOKUP(D700,Stats!B:B,1,0)</f>
        <v>Shawn</v>
      </c>
    </row>
  </sheetData>
  <autoFilter ref="B2:J312" xr:uid="{00000000-0001-0000-0100-000000000000}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T13"/>
  <sheetViews>
    <sheetView showGridLines="0" tabSelected="1" zoomScale="170" zoomScaleNormal="170" workbookViewId="0">
      <selection activeCell="A12" sqref="A12"/>
    </sheetView>
  </sheetViews>
  <sheetFormatPr defaultColWidth="9" defaultRowHeight="12.75" customHeight="1" x14ac:dyDescent="0.25"/>
  <cols>
    <col min="2" max="2" width="11.85546875" bestFit="1" customWidth="1"/>
    <col min="3" max="3" width="9.140625"/>
    <col min="5" max="5" width="10.42578125" bestFit="1" customWidth="1"/>
    <col min="6" max="6" width="9.42578125" customWidth="1"/>
    <col min="8" max="8" width="17.140625" bestFit="1" customWidth="1"/>
    <col min="10" max="20" width="9" customWidth="1"/>
  </cols>
  <sheetData>
    <row r="1" spans="1:20" s="48" customFormat="1" ht="12.75" customHeight="1" x14ac:dyDescent="0.25">
      <c r="A1" s="50" t="s">
        <v>2</v>
      </c>
      <c r="B1" s="138" t="s">
        <v>74</v>
      </c>
      <c r="C1" s="51" t="s">
        <v>75</v>
      </c>
      <c r="E1" s="64" t="s">
        <v>75</v>
      </c>
      <c r="F1" s="51" t="s">
        <v>74</v>
      </c>
      <c r="H1" s="68" t="s">
        <v>76</v>
      </c>
      <c r="J1"/>
      <c r="K1" s="91" t="str">
        <f>A2</f>
        <v>Sizwe</v>
      </c>
      <c r="L1" s="92" t="str">
        <f>A3</f>
        <v>Adam</v>
      </c>
      <c r="M1" s="92" t="str">
        <f>A4</f>
        <v>Wouter</v>
      </c>
      <c r="N1" s="92" t="str">
        <f>A5</f>
        <v>Bishoy</v>
      </c>
      <c r="O1" s="92" t="str">
        <f>A6</f>
        <v>Dobro</v>
      </c>
      <c r="P1" s="92" t="str">
        <f>A7</f>
        <v>Giovanni</v>
      </c>
      <c r="Q1" s="92" t="str">
        <f>A8</f>
        <v>Reza</v>
      </c>
      <c r="R1" s="92" t="str">
        <f>A9</f>
        <v>Luca</v>
      </c>
      <c r="S1" s="92" t="str">
        <f>A10</f>
        <v>Pablo OG</v>
      </c>
      <c r="T1" s="93" t="str">
        <f>A11</f>
        <v>Baris</v>
      </c>
    </row>
    <row r="2" spans="1:20" ht="12.75" customHeight="1" x14ac:dyDescent="0.25">
      <c r="A2" s="32" t="s">
        <v>44</v>
      </c>
      <c r="B2" s="140">
        <f>IFERROR(VLOOKUP(A2,Stats!B:M,12,0),0)</f>
        <v>-1</v>
      </c>
      <c r="C2" s="52" t="s">
        <v>77</v>
      </c>
      <c r="D2" s="65"/>
      <c r="E2" s="32" t="s">
        <v>77</v>
      </c>
      <c r="F2" s="52">
        <f>SUMIFS(B:B,$C:$C,$E2)</f>
        <v>-2</v>
      </c>
      <c r="H2" s="69" t="str">
        <f>VLOOKUP(A2,Stats!B:B,1,0)</f>
        <v>Sizwe</v>
      </c>
      <c r="J2" s="89" t="str">
        <f>A2</f>
        <v>Sizwe</v>
      </c>
      <c r="K2" s="95"/>
      <c r="L2" s="102">
        <f>IFERROR((COUNTIFS(Database!$F:$I,CONCATENATE($J2,L$1,"W"))+COUNTIFS(Database!$F:$I,CONCATENATE(L$1,$J2,"W")))/(COUNTIFS(Database!$F:$I,CONCATENATE($J2,L$1,"L"))+COUNTIFS(Database!$F:$I,CONCATENATE(L$1,$J2,"L"))+COUNTIFS(Database!$F:$I,CONCATENATE($J2,L$1,"W"))+COUNTIFS(Database!$F:$I,CONCATENATE(L$1,$J2,"W"))),"-")</f>
        <v>0.45454545454545453</v>
      </c>
      <c r="M2" s="96">
        <f>IFERROR((COUNTIFS(Database!$F:$I,CONCATENATE($J2,M$1,"W"))+COUNTIFS(Database!$F:$I,CONCATENATE(M$1,$J2,"W")))/(COUNTIFS(Database!$F:$I,CONCATENATE($J2,M$1,"L"))+COUNTIFS(Database!$F:$I,CONCATENATE(M$1,$J2,"L"))+COUNTIFS(Database!$F:$I,CONCATENATE($J2,M$1,"W"))+COUNTIFS(Database!$F:$I,CONCATENATE(M$1,$J2,"W"))),"-")</f>
        <v>0.5</v>
      </c>
      <c r="N2" s="96">
        <f>IFERROR((COUNTIFS(Database!$F:$I,CONCATENATE($J2,N$1,"W"))+COUNTIFS(Database!$F:$I,CONCATENATE(N$1,$J2,"W")))/(COUNTIFS(Database!$F:$I,CONCATENATE($J2,N$1,"L"))+COUNTIFS(Database!$F:$I,CONCATENATE(N$1,$J2,"L"))+COUNTIFS(Database!$F:$I,CONCATENATE($J2,N$1,"W"))+COUNTIFS(Database!$F:$I,CONCATENATE(N$1,$J2,"W"))),"-")</f>
        <v>0.33333333333333331</v>
      </c>
      <c r="O2" s="96">
        <f>IFERROR((COUNTIFS(Database!$F:$I,CONCATENATE($J2,O$1,"W"))+COUNTIFS(Database!$F:$I,CONCATENATE(O$1,$J2,"W")))/(COUNTIFS(Database!$F:$I,CONCATENATE($J2,O$1,"L"))+COUNTIFS(Database!$F:$I,CONCATENATE(O$1,$J2,"L"))+COUNTIFS(Database!$F:$I,CONCATENATE($J2,O$1,"W"))+COUNTIFS(Database!$F:$I,CONCATENATE(O$1,$J2,"W"))),"-")</f>
        <v>0.16666666666666666</v>
      </c>
      <c r="P2" s="96">
        <f>IFERROR((COUNTIFS(Database!$F:$I,CONCATENATE($J2,P$1,"W"))+COUNTIFS(Database!$F:$I,CONCATENATE(P$1,$J2,"W")))/(COUNTIFS(Database!$F:$I,CONCATENATE($J2,P$1,"L"))+COUNTIFS(Database!$F:$I,CONCATENATE(P$1,$J2,"L"))+COUNTIFS(Database!$F:$I,CONCATENATE($J2,P$1,"W"))+COUNTIFS(Database!$F:$I,CONCATENATE(P$1,$J2,"W"))),"-")</f>
        <v>0.44444444444444442</v>
      </c>
      <c r="Q2" s="96">
        <f>IFERROR((COUNTIFS(Database!$F:$I,CONCATENATE($J2,Q$1,"W"))+COUNTIFS(Database!$F:$I,CONCATENATE(Q$1,$J2,"W")))/(COUNTIFS(Database!$F:$I,CONCATENATE($J2,Q$1,"L"))+COUNTIFS(Database!$F:$I,CONCATENATE(Q$1,$J2,"L"))+COUNTIFS(Database!$F:$I,CONCATENATE($J2,Q$1,"W"))+COUNTIFS(Database!$F:$I,CONCATENATE(Q$1,$J2,"W"))),"-")</f>
        <v>0.66666666666666663</v>
      </c>
      <c r="R2" s="96">
        <f>IFERROR((COUNTIFS(Database!$F:$I,CONCATENATE($J2,R$1,"W"))+COUNTIFS(Database!$F:$I,CONCATENATE(R$1,$J2,"W")))/(COUNTIFS(Database!$F:$I,CONCATENATE($J2,R$1,"L"))+COUNTIFS(Database!$F:$I,CONCATENATE(R$1,$J2,"L"))+COUNTIFS(Database!$F:$I,CONCATENATE($J2,R$1,"W"))+COUNTIFS(Database!$F:$I,CONCATENATE(R$1,$J2,"W"))),"-")</f>
        <v>0.2857142857142857</v>
      </c>
      <c r="S2" s="96">
        <f>IFERROR((COUNTIFS(Database!$F:$I,CONCATENATE($J2,S$1,"W"))+COUNTIFS(Database!$F:$I,CONCATENATE(S$1,$J2,"W")))/(COUNTIFS(Database!$F:$I,CONCATENATE($J2,S$1,"L"))+COUNTIFS(Database!$F:$I,CONCATENATE(S$1,$J2,"L"))+COUNTIFS(Database!$F:$I,CONCATENATE($J2,S$1,"W"))+COUNTIFS(Database!$F:$I,CONCATENATE(S$1,$J2,"W"))),"-")</f>
        <v>0.75</v>
      </c>
      <c r="T2" s="97">
        <f>IFERROR((COUNTIFS(Database!$F:$I,CONCATENATE($J2,T$1,"W"))+COUNTIFS(Database!$F:$I,CONCATENATE(T$1,$J2,"W")))/(COUNTIFS(Database!$F:$I,CONCATENATE($J2,T$1,"L"))+COUNTIFS(Database!$F:$I,CONCATENATE(T$1,$J2,"L"))+COUNTIFS(Database!$F:$I,CONCATENATE($J2,T$1,"W"))+COUNTIFS(Database!$F:$I,CONCATENATE(T$1,$J2,"W"))),"-")</f>
        <v>0.75</v>
      </c>
    </row>
    <row r="3" spans="1:20" ht="12.75" customHeight="1" x14ac:dyDescent="0.25">
      <c r="A3" s="32" t="s">
        <v>53</v>
      </c>
      <c r="B3" s="141">
        <f>IFERROR(VLOOKUP(A3,Stats!B:M,12,0),0)</f>
        <v>-2</v>
      </c>
      <c r="C3" s="52" t="s">
        <v>77</v>
      </c>
      <c r="D3" s="65"/>
      <c r="E3" s="32" t="s">
        <v>78</v>
      </c>
      <c r="F3" s="52">
        <f>SUMIFS(B:B,$C:$C,$E3)</f>
        <v>-2</v>
      </c>
      <c r="H3" s="69" t="str">
        <f>VLOOKUP(A3,Stats!B:B,1,0)</f>
        <v>Adam</v>
      </c>
      <c r="J3" s="90" t="str">
        <f t="shared" ref="J3:J11" si="0">A3</f>
        <v>Adam</v>
      </c>
      <c r="K3" s="98">
        <f>IFERROR((COUNTIFS(Database!$F:$I,CONCATENATE($J3,K$1,"W"))+COUNTIFS(Database!$F:$I,CONCATENATE(K$1,$J3,"W")))/(COUNTIFS(Database!$F:$I,CONCATENATE($J3,K$1,"L"))+COUNTIFS(Database!$F:$I,CONCATENATE(K$1,$J3,"L"))+COUNTIFS(Database!$F:$I,CONCATENATE($J3,K$1,"W"))+COUNTIFS(Database!$F:$I,CONCATENATE(K$1,$J3,"W"))),"-")</f>
        <v>0.45454545454545453</v>
      </c>
      <c r="L3" s="94"/>
      <c r="M3" s="34">
        <f>IFERROR((COUNTIFS(Database!$F:$I,CONCATENATE($J3,M$1,"W"))+COUNTIFS(Database!$F:$I,CONCATENATE(M$1,$J3,"W")))/(COUNTIFS(Database!$F:$I,CONCATENATE($J3,M$1,"L"))+COUNTIFS(Database!$F:$I,CONCATENATE(M$1,$J3,"L"))+COUNTIFS(Database!$F:$I,CONCATENATE($J3,M$1,"W"))+COUNTIFS(Database!$F:$I,CONCATENATE(M$1,$J3,"W"))),"-")</f>
        <v>0.4</v>
      </c>
      <c r="N3" s="34">
        <f>IFERROR((COUNTIFS(Database!$F:$I,CONCATENATE($J3,N$1,"W"))+COUNTIFS(Database!$F:$I,CONCATENATE(N$1,$J3,"W")))/(COUNTIFS(Database!$F:$I,CONCATENATE($J3,N$1,"L"))+COUNTIFS(Database!$F:$I,CONCATENATE(N$1,$J3,"L"))+COUNTIFS(Database!$F:$I,CONCATENATE($J3,N$1,"W"))+COUNTIFS(Database!$F:$I,CONCATENATE(N$1,$J3,"W"))),"-")</f>
        <v>0.33333333333333331</v>
      </c>
      <c r="O3" s="34">
        <f>IFERROR((COUNTIFS(Database!$F:$I,CONCATENATE($J3,O$1,"W"))+COUNTIFS(Database!$F:$I,CONCATENATE(O$1,$J3,"W")))/(COUNTIFS(Database!$F:$I,CONCATENATE($J3,O$1,"L"))+COUNTIFS(Database!$F:$I,CONCATENATE(O$1,$J3,"L"))+COUNTIFS(Database!$F:$I,CONCATENATE($J3,O$1,"W"))+COUNTIFS(Database!$F:$I,CONCATENATE(O$1,$J3,"W"))),"-")</f>
        <v>0.5</v>
      </c>
      <c r="P3" s="34">
        <f>IFERROR((COUNTIFS(Database!$F:$I,CONCATENATE($J3,P$1,"W"))+COUNTIFS(Database!$F:$I,CONCATENATE(P$1,$J3,"W")))/(COUNTIFS(Database!$F:$I,CONCATENATE($J3,P$1,"L"))+COUNTIFS(Database!$F:$I,CONCATENATE(P$1,$J3,"L"))+COUNTIFS(Database!$F:$I,CONCATENATE($J3,P$1,"W"))+COUNTIFS(Database!$F:$I,CONCATENATE(P$1,$J3,"W"))),"-")</f>
        <v>0.47058823529411764</v>
      </c>
      <c r="Q3" s="34">
        <f>IFERROR((COUNTIFS(Database!$F:$I,CONCATENATE($J3,Q$1,"W"))+COUNTIFS(Database!$F:$I,CONCATENATE(Q$1,$J3,"W")))/(COUNTIFS(Database!$F:$I,CONCATENATE($J3,Q$1,"L"))+COUNTIFS(Database!$F:$I,CONCATENATE(Q$1,$J3,"L"))+COUNTIFS(Database!$F:$I,CONCATENATE($J3,Q$1,"W"))+COUNTIFS(Database!$F:$I,CONCATENATE(Q$1,$J3,"W"))),"-")</f>
        <v>0.44444444444444442</v>
      </c>
      <c r="R3" s="34">
        <f>IFERROR((COUNTIFS(Database!$F:$I,CONCATENATE($J3,R$1,"W"))+COUNTIFS(Database!$F:$I,CONCATENATE(R$1,$J3,"W")))/(COUNTIFS(Database!$F:$I,CONCATENATE($J3,R$1,"L"))+COUNTIFS(Database!$F:$I,CONCATENATE(R$1,$J3,"L"))+COUNTIFS(Database!$F:$I,CONCATENATE($J3,R$1,"W"))+COUNTIFS(Database!$F:$I,CONCATENATE(R$1,$J3,"W"))),"-")</f>
        <v>0.5</v>
      </c>
      <c r="S3" s="34">
        <f>IFERROR((COUNTIFS(Database!$F:$I,CONCATENATE($J3,S$1,"W"))+COUNTIFS(Database!$F:$I,CONCATENATE(S$1,$J3,"W")))/(COUNTIFS(Database!$F:$I,CONCATENATE($J3,S$1,"L"))+COUNTIFS(Database!$F:$I,CONCATENATE(S$1,$J3,"L"))+COUNTIFS(Database!$F:$I,CONCATENATE($J3,S$1,"W"))+COUNTIFS(Database!$F:$I,CONCATENATE(S$1,$J3,"W"))),"-")</f>
        <v>0.55555555555555558</v>
      </c>
      <c r="T3" s="88">
        <f>IFERROR((COUNTIFS(Database!$F:$I,CONCATENATE($J3,T$1,"W"))+COUNTIFS(Database!$F:$I,CONCATENATE(T$1,$J3,"W")))/(COUNTIFS(Database!$F:$I,CONCATENATE($J3,T$1,"L"))+COUNTIFS(Database!$F:$I,CONCATENATE(T$1,$J3,"L"))+COUNTIFS(Database!$F:$I,CONCATENATE($J3,T$1,"W"))+COUNTIFS(Database!$F:$I,CONCATENATE(T$1,$J3,"W"))),"-")</f>
        <v>0.25</v>
      </c>
    </row>
    <row r="4" spans="1:20" ht="12.75" customHeight="1" x14ac:dyDescent="0.25">
      <c r="A4" s="32" t="s">
        <v>36</v>
      </c>
      <c r="B4" s="141">
        <f>IFERROR(VLOOKUP(A4,Stats!B:M,12,0),0)</f>
        <v>1</v>
      </c>
      <c r="C4" s="52" t="s">
        <v>77</v>
      </c>
      <c r="D4" s="65"/>
      <c r="E4" s="49" t="s">
        <v>79</v>
      </c>
      <c r="F4" s="53">
        <f>F2-F3</f>
        <v>0</v>
      </c>
      <c r="H4" s="69" t="str">
        <f>VLOOKUP(A4,Stats!B:B,1,0)</f>
        <v>Wouter</v>
      </c>
      <c r="J4" s="90" t="str">
        <f t="shared" si="0"/>
        <v>Wouter</v>
      </c>
      <c r="K4" s="98">
        <f>IFERROR((COUNTIFS(Database!$F:$I,CONCATENATE($J4,K$1,"W"))+COUNTIFS(Database!$F:$I,CONCATENATE(K$1,$J4,"W")))/(COUNTIFS(Database!$F:$I,CONCATENATE($J4,K$1,"L"))+COUNTIFS(Database!$F:$I,CONCATENATE(K$1,$J4,"L"))+COUNTIFS(Database!$F:$I,CONCATENATE($J4,K$1,"W"))+COUNTIFS(Database!$F:$I,CONCATENATE(K$1,$J4,"W"))),"-")</f>
        <v>0.5</v>
      </c>
      <c r="L4" s="34">
        <f>IFERROR((COUNTIFS(Database!$F:$I,CONCATENATE($J4,L$1,"W"))+COUNTIFS(Database!$F:$I,CONCATENATE(L$1,$J4,"W")))/(COUNTIFS(Database!$F:$I,CONCATENATE($J4,L$1,"L"))+COUNTIFS(Database!$F:$I,CONCATENATE(L$1,$J4,"L"))+COUNTIFS(Database!$F:$I,CONCATENATE($J4,L$1,"W"))+COUNTIFS(Database!$F:$I,CONCATENATE(L$1,$J4,"W"))),"-")</f>
        <v>0.4</v>
      </c>
      <c r="M4" s="94"/>
      <c r="N4" s="34">
        <f>IFERROR((COUNTIFS(Database!$F:$I,CONCATENATE($J4,N$1,"W"))+COUNTIFS(Database!$F:$I,CONCATENATE(N$1,$J4,"W")))/(COUNTIFS(Database!$F:$I,CONCATENATE($J4,N$1,"L"))+COUNTIFS(Database!$F:$I,CONCATENATE(N$1,$J4,"L"))+COUNTIFS(Database!$F:$I,CONCATENATE($J4,N$1,"W"))+COUNTIFS(Database!$F:$I,CONCATENATE(N$1,$J4,"W"))),"-")</f>
        <v>0.6</v>
      </c>
      <c r="O4" s="34">
        <f>IFERROR((COUNTIFS(Database!$F:$I,CONCATENATE($J4,O$1,"W"))+COUNTIFS(Database!$F:$I,CONCATENATE(O$1,$J4,"W")))/(COUNTIFS(Database!$F:$I,CONCATENATE($J4,O$1,"L"))+COUNTIFS(Database!$F:$I,CONCATENATE(O$1,$J4,"L"))+COUNTIFS(Database!$F:$I,CONCATENATE($J4,O$1,"W"))+COUNTIFS(Database!$F:$I,CONCATENATE(O$1,$J4,"W"))),"-")</f>
        <v>0.55555555555555558</v>
      </c>
      <c r="P4" s="34">
        <f>IFERROR((COUNTIFS(Database!$F:$I,CONCATENATE($J4,P$1,"W"))+COUNTIFS(Database!$F:$I,CONCATENATE(P$1,$J4,"W")))/(COUNTIFS(Database!$F:$I,CONCATENATE($J4,P$1,"L"))+COUNTIFS(Database!$F:$I,CONCATENATE(P$1,$J4,"L"))+COUNTIFS(Database!$F:$I,CONCATENATE($J4,P$1,"W"))+COUNTIFS(Database!$F:$I,CONCATENATE(P$1,$J4,"W"))),"-")</f>
        <v>0.5</v>
      </c>
      <c r="Q4" s="34">
        <f>IFERROR((COUNTIFS(Database!$F:$I,CONCATENATE($J4,Q$1,"W"))+COUNTIFS(Database!$F:$I,CONCATENATE(Q$1,$J4,"W")))/(COUNTIFS(Database!$F:$I,CONCATENATE($J4,Q$1,"L"))+COUNTIFS(Database!$F:$I,CONCATENATE(Q$1,$J4,"L"))+COUNTIFS(Database!$F:$I,CONCATENATE($J4,Q$1,"W"))+COUNTIFS(Database!$F:$I,CONCATENATE(Q$1,$J4,"W"))),"-")</f>
        <v>0.6</v>
      </c>
      <c r="R4" s="34">
        <f>IFERROR((COUNTIFS(Database!$F:$I,CONCATENATE($J4,R$1,"W"))+COUNTIFS(Database!$F:$I,CONCATENATE(R$1,$J4,"W")))/(COUNTIFS(Database!$F:$I,CONCATENATE($J4,R$1,"L"))+COUNTIFS(Database!$F:$I,CONCATENATE(R$1,$J4,"L"))+COUNTIFS(Database!$F:$I,CONCATENATE($J4,R$1,"W"))+COUNTIFS(Database!$F:$I,CONCATENATE(R$1,$J4,"W"))),"-")</f>
        <v>0.66666666666666663</v>
      </c>
      <c r="S4" s="34">
        <f>IFERROR((COUNTIFS(Database!$F:$I,CONCATENATE($J4,S$1,"W"))+COUNTIFS(Database!$F:$I,CONCATENATE(S$1,$J4,"W")))/(COUNTIFS(Database!$F:$I,CONCATENATE($J4,S$1,"L"))+COUNTIFS(Database!$F:$I,CONCATENATE(S$1,$J4,"L"))+COUNTIFS(Database!$F:$I,CONCATENATE($J4,S$1,"W"))+COUNTIFS(Database!$F:$I,CONCATENATE(S$1,$J4,"W"))),"-")</f>
        <v>0.5714285714285714</v>
      </c>
      <c r="T4" s="88">
        <f>IFERROR((COUNTIFS(Database!$F:$I,CONCATENATE($J4,T$1,"W"))+COUNTIFS(Database!$F:$I,CONCATENATE(T$1,$J4,"W")))/(COUNTIFS(Database!$F:$I,CONCATENATE($J4,T$1,"L"))+COUNTIFS(Database!$F:$I,CONCATENATE(T$1,$J4,"L"))+COUNTIFS(Database!$F:$I,CONCATENATE($J4,T$1,"W"))+COUNTIFS(Database!$F:$I,CONCATENATE(T$1,$J4,"W"))),"-")</f>
        <v>0</v>
      </c>
    </row>
    <row r="5" spans="1:20" ht="12.75" customHeight="1" x14ac:dyDescent="0.25">
      <c r="A5" s="32" t="s">
        <v>61</v>
      </c>
      <c r="B5" s="141">
        <f>IFERROR(VLOOKUP(A5,Stats!B:M,12,0),0)</f>
        <v>1</v>
      </c>
      <c r="C5" s="52" t="s">
        <v>77</v>
      </c>
      <c r="D5" s="65"/>
      <c r="H5" s="69" t="str">
        <f>VLOOKUP(A5,Stats!B:B,1,0)</f>
        <v>Bishoy</v>
      </c>
      <c r="J5" s="90" t="str">
        <f t="shared" si="0"/>
        <v>Bishoy</v>
      </c>
      <c r="K5" s="98">
        <f>IFERROR((COUNTIFS(Database!$F:$I,CONCATENATE($J5,K$1,"W"))+COUNTIFS(Database!$F:$I,CONCATENATE(K$1,$J5,"W")))/(COUNTIFS(Database!$F:$I,CONCATENATE($J5,K$1,"L"))+COUNTIFS(Database!$F:$I,CONCATENATE(K$1,$J5,"L"))+COUNTIFS(Database!$F:$I,CONCATENATE($J5,K$1,"W"))+COUNTIFS(Database!$F:$I,CONCATENATE(K$1,$J5,"W"))),"-")</f>
        <v>0.33333333333333331</v>
      </c>
      <c r="L5" s="34">
        <f>IFERROR((COUNTIFS(Database!$F:$I,CONCATENATE($J5,L$1,"W"))+COUNTIFS(Database!$F:$I,CONCATENATE(L$1,$J5,"W")))/(COUNTIFS(Database!$F:$I,CONCATENATE($J5,L$1,"L"))+COUNTIFS(Database!$F:$I,CONCATENATE(L$1,$J5,"L"))+COUNTIFS(Database!$F:$I,CONCATENATE($J5,L$1,"W"))+COUNTIFS(Database!$F:$I,CONCATENATE(L$1,$J5,"W"))),"-")</f>
        <v>0.33333333333333331</v>
      </c>
      <c r="M5" s="34">
        <f>IFERROR((COUNTIFS(Database!$F:$I,CONCATENATE($J5,M$1,"W"))+COUNTIFS(Database!$F:$I,CONCATENATE(M$1,$J5,"W")))/(COUNTIFS(Database!$F:$I,CONCATENATE($J5,M$1,"L"))+COUNTIFS(Database!$F:$I,CONCATENATE(M$1,$J5,"L"))+COUNTIFS(Database!$F:$I,CONCATENATE($J5,M$1,"W"))+COUNTIFS(Database!$F:$I,CONCATENATE(M$1,$J5,"W"))),"-")</f>
        <v>0.6</v>
      </c>
      <c r="N5" s="94"/>
      <c r="O5" s="34">
        <f>IFERROR((COUNTIFS(Database!$F:$I,CONCATENATE($J5,O$1,"W"))+COUNTIFS(Database!$F:$I,CONCATENATE(O$1,$J5,"W")))/(COUNTIFS(Database!$F:$I,CONCATENATE($J5,O$1,"L"))+COUNTIFS(Database!$F:$I,CONCATENATE(O$1,$J5,"L"))+COUNTIFS(Database!$F:$I,CONCATENATE($J5,O$1,"W"))+COUNTIFS(Database!$F:$I,CONCATENATE(O$1,$J5,"W"))),"-")</f>
        <v>0.42857142857142855</v>
      </c>
      <c r="P5" s="34">
        <f>IFERROR((COUNTIFS(Database!$F:$I,CONCATENATE($J5,P$1,"W"))+COUNTIFS(Database!$F:$I,CONCATENATE(P$1,$J5,"W")))/(COUNTIFS(Database!$F:$I,CONCATENATE($J5,P$1,"L"))+COUNTIFS(Database!$F:$I,CONCATENATE(P$1,$J5,"L"))+COUNTIFS(Database!$F:$I,CONCATENATE($J5,P$1,"W"))+COUNTIFS(Database!$F:$I,CONCATENATE(P$1,$J5,"W"))),"-")</f>
        <v>0.5</v>
      </c>
      <c r="Q5" s="34">
        <f>IFERROR((COUNTIFS(Database!$F:$I,CONCATENATE($J5,Q$1,"W"))+COUNTIFS(Database!$F:$I,CONCATENATE(Q$1,$J5,"W")))/(COUNTIFS(Database!$F:$I,CONCATENATE($J5,Q$1,"L"))+COUNTIFS(Database!$F:$I,CONCATENATE(Q$1,$J5,"L"))+COUNTIFS(Database!$F:$I,CONCATENATE($J5,Q$1,"W"))+COUNTIFS(Database!$F:$I,CONCATENATE(Q$1,$J5,"W"))),"-")</f>
        <v>0.4</v>
      </c>
      <c r="R5" s="34">
        <f>IFERROR((COUNTIFS(Database!$F:$I,CONCATENATE($J5,R$1,"W"))+COUNTIFS(Database!$F:$I,CONCATENATE(R$1,$J5,"W")))/(COUNTIFS(Database!$F:$I,CONCATENATE($J5,R$1,"L"))+COUNTIFS(Database!$F:$I,CONCATENATE(R$1,$J5,"L"))+COUNTIFS(Database!$F:$I,CONCATENATE($J5,R$1,"W"))+COUNTIFS(Database!$F:$I,CONCATENATE(R$1,$J5,"W"))),"-")</f>
        <v>0.25</v>
      </c>
      <c r="S5" s="34">
        <f>IFERROR((COUNTIFS(Database!$F:$I,CONCATENATE($J5,S$1,"W"))+COUNTIFS(Database!$F:$I,CONCATENATE(S$1,$J5,"W")))/(COUNTIFS(Database!$F:$I,CONCATENATE($J5,S$1,"L"))+COUNTIFS(Database!$F:$I,CONCATENATE(S$1,$J5,"L"))+COUNTIFS(Database!$F:$I,CONCATENATE($J5,S$1,"W"))+COUNTIFS(Database!$F:$I,CONCATENATE(S$1,$J5,"W"))),"-")</f>
        <v>0.8</v>
      </c>
      <c r="T5" s="88">
        <f>IFERROR((COUNTIFS(Database!$F:$I,CONCATENATE($J5,T$1,"W"))+COUNTIFS(Database!$F:$I,CONCATENATE(T$1,$J5,"W")))/(COUNTIFS(Database!$F:$I,CONCATENATE($J5,T$1,"L"))+COUNTIFS(Database!$F:$I,CONCATENATE(T$1,$J5,"L"))+COUNTIFS(Database!$F:$I,CONCATENATE($J5,T$1,"W"))+COUNTIFS(Database!$F:$I,CONCATENATE(T$1,$J5,"W"))),"-")</f>
        <v>0.4</v>
      </c>
    </row>
    <row r="6" spans="1:20" ht="12.75" customHeight="1" x14ac:dyDescent="0.25">
      <c r="A6" s="66" t="s">
        <v>35</v>
      </c>
      <c r="B6" s="141">
        <f>IFERROR(VLOOKUP(A6,Stats!B:M,12,0),0)</f>
        <v>-1</v>
      </c>
      <c r="C6" s="67" t="s">
        <v>77</v>
      </c>
      <c r="D6" s="65"/>
      <c r="H6" s="69" t="str">
        <f>VLOOKUP(A6,Stats!B:B,1,0)</f>
        <v>Dobro</v>
      </c>
      <c r="J6" s="90" t="str">
        <f t="shared" si="0"/>
        <v>Dobro</v>
      </c>
      <c r="K6" s="98">
        <f>IFERROR((COUNTIFS(Database!$F:$I,CONCATENATE($J6,K$1,"W"))+COUNTIFS(Database!$F:$I,CONCATENATE(K$1,$J6,"W")))/(COUNTIFS(Database!$F:$I,CONCATENATE($J6,K$1,"L"))+COUNTIFS(Database!$F:$I,CONCATENATE(K$1,$J6,"L"))+COUNTIFS(Database!$F:$I,CONCATENATE($J6,K$1,"W"))+COUNTIFS(Database!$F:$I,CONCATENATE(K$1,$J6,"W"))),"-")</f>
        <v>0.16666666666666666</v>
      </c>
      <c r="L6" s="34">
        <f>IFERROR((COUNTIFS(Database!$F:$I,CONCATENATE($J6,L$1,"W"))+COUNTIFS(Database!$F:$I,CONCATENATE(L$1,$J6,"W")))/(COUNTIFS(Database!$F:$I,CONCATENATE($J6,L$1,"L"))+COUNTIFS(Database!$F:$I,CONCATENATE(L$1,$J6,"L"))+COUNTIFS(Database!$F:$I,CONCATENATE($J6,L$1,"W"))+COUNTIFS(Database!$F:$I,CONCATENATE(L$1,$J6,"W"))),"-")</f>
        <v>0.5</v>
      </c>
      <c r="M6" s="34">
        <f>IFERROR((COUNTIFS(Database!$F:$I,CONCATENATE($J6,M$1,"W"))+COUNTIFS(Database!$F:$I,CONCATENATE(M$1,$J6,"W")))/(COUNTIFS(Database!$F:$I,CONCATENATE($J6,M$1,"L"))+COUNTIFS(Database!$F:$I,CONCATENATE(M$1,$J6,"L"))+COUNTIFS(Database!$F:$I,CONCATENATE($J6,M$1,"W"))+COUNTIFS(Database!$F:$I,CONCATENATE(M$1,$J6,"W"))),"-")</f>
        <v>0.55555555555555558</v>
      </c>
      <c r="N6" s="34">
        <f>IFERROR((COUNTIFS(Database!$F:$I,CONCATENATE($J6,N$1,"W"))+COUNTIFS(Database!$F:$I,CONCATENATE(N$1,$J6,"W")))/(COUNTIFS(Database!$F:$I,CONCATENATE($J6,N$1,"L"))+COUNTIFS(Database!$F:$I,CONCATENATE(N$1,$J6,"L"))+COUNTIFS(Database!$F:$I,CONCATENATE($J6,N$1,"W"))+COUNTIFS(Database!$F:$I,CONCATENATE(N$1,$J6,"W"))),"-")</f>
        <v>0.42857142857142855</v>
      </c>
      <c r="O6" s="94"/>
      <c r="P6" s="34">
        <f>IFERROR((COUNTIFS(Database!$F:$I,CONCATENATE($J6,P$1,"W"))+COUNTIFS(Database!$F:$I,CONCATENATE(P$1,$J6,"W")))/(COUNTIFS(Database!$F:$I,CONCATENATE($J6,P$1,"L"))+COUNTIFS(Database!$F:$I,CONCATENATE(P$1,$J6,"L"))+COUNTIFS(Database!$F:$I,CONCATENATE($J6,P$1,"W"))+COUNTIFS(Database!$F:$I,CONCATENATE(P$1,$J6,"W"))),"-")</f>
        <v>0.5</v>
      </c>
      <c r="Q6" s="34">
        <f>IFERROR((COUNTIFS(Database!$F:$I,CONCATENATE($J6,Q$1,"W"))+COUNTIFS(Database!$F:$I,CONCATENATE(Q$1,$J6,"W")))/(COUNTIFS(Database!$F:$I,CONCATENATE($J6,Q$1,"L"))+COUNTIFS(Database!$F:$I,CONCATENATE(Q$1,$J6,"L"))+COUNTIFS(Database!$F:$I,CONCATENATE($J6,Q$1,"W"))+COUNTIFS(Database!$F:$I,CONCATENATE(Q$1,$J6,"W"))),"-")</f>
        <v>0.33333333333333331</v>
      </c>
      <c r="R6" s="34">
        <f>IFERROR((COUNTIFS(Database!$F:$I,CONCATENATE($J6,R$1,"W"))+COUNTIFS(Database!$F:$I,CONCATENATE(R$1,$J6,"W")))/(COUNTIFS(Database!$F:$I,CONCATENATE($J6,R$1,"L"))+COUNTIFS(Database!$F:$I,CONCATENATE(R$1,$J6,"L"))+COUNTIFS(Database!$F:$I,CONCATENATE($J6,R$1,"W"))+COUNTIFS(Database!$F:$I,CONCATENATE(R$1,$J6,"W"))),"-")</f>
        <v>0.375</v>
      </c>
      <c r="S6" s="34">
        <f>IFERROR((COUNTIFS(Database!$F:$I,CONCATENATE($J6,S$1,"W"))+COUNTIFS(Database!$F:$I,CONCATENATE(S$1,$J6,"W")))/(COUNTIFS(Database!$F:$I,CONCATENATE($J6,S$1,"L"))+COUNTIFS(Database!$F:$I,CONCATENATE(S$1,$J6,"L"))+COUNTIFS(Database!$F:$I,CONCATENATE($J6,S$1,"W"))+COUNTIFS(Database!$F:$I,CONCATENATE(S$1,$J6,"W"))),"-")</f>
        <v>0.75</v>
      </c>
      <c r="T6" s="88">
        <f>IFERROR((COUNTIFS(Database!$F:$I,CONCATENATE($J6,T$1,"W"))+COUNTIFS(Database!$F:$I,CONCATENATE(T$1,$J6,"W")))/(COUNTIFS(Database!$F:$I,CONCATENATE($J6,T$1,"L"))+COUNTIFS(Database!$F:$I,CONCATENATE(T$1,$J6,"L"))+COUNTIFS(Database!$F:$I,CONCATENATE($J6,T$1,"W"))+COUNTIFS(Database!$F:$I,CONCATENATE(T$1,$J6,"W"))),"-")</f>
        <v>0.2</v>
      </c>
    </row>
    <row r="7" spans="1:20" ht="12.75" customHeight="1" x14ac:dyDescent="0.25">
      <c r="A7" s="32" t="s">
        <v>45</v>
      </c>
      <c r="B7" s="140">
        <f>IFERROR(VLOOKUP(A7,Stats!B:M,12,0),0)</f>
        <v>-4</v>
      </c>
      <c r="C7" s="52" t="s">
        <v>78</v>
      </c>
      <c r="D7" s="65"/>
      <c r="H7" s="69" t="str">
        <f>VLOOKUP(A7,Stats!B:B,1,0)</f>
        <v>Giovanni</v>
      </c>
      <c r="J7" s="90" t="str">
        <f t="shared" si="0"/>
        <v>Giovanni</v>
      </c>
      <c r="K7" s="98">
        <f>IFERROR((COUNTIFS(Database!$F:$I,CONCATENATE($J7,K$1,"W"))+COUNTIFS(Database!$F:$I,CONCATENATE(K$1,$J7,"W")))/(COUNTIFS(Database!$F:$I,CONCATENATE($J7,K$1,"L"))+COUNTIFS(Database!$F:$I,CONCATENATE(K$1,$J7,"L"))+COUNTIFS(Database!$F:$I,CONCATENATE($J7,K$1,"W"))+COUNTIFS(Database!$F:$I,CONCATENATE(K$1,$J7,"W"))),"-")</f>
        <v>0.44444444444444442</v>
      </c>
      <c r="L7" s="34">
        <f>IFERROR((COUNTIFS(Database!$F:$I,CONCATENATE($J7,L$1,"W"))+COUNTIFS(Database!$F:$I,CONCATENATE(L$1,$J7,"W")))/(COUNTIFS(Database!$F:$I,CONCATENATE($J7,L$1,"L"))+COUNTIFS(Database!$F:$I,CONCATENATE(L$1,$J7,"L"))+COUNTIFS(Database!$F:$I,CONCATENATE($J7,L$1,"W"))+COUNTIFS(Database!$F:$I,CONCATENATE(L$1,$J7,"W"))),"-")</f>
        <v>0.47058823529411764</v>
      </c>
      <c r="M7" s="34">
        <f>IFERROR((COUNTIFS(Database!$F:$I,CONCATENATE($J7,M$1,"W"))+COUNTIFS(Database!$F:$I,CONCATENATE(M$1,$J7,"W")))/(COUNTIFS(Database!$F:$I,CONCATENATE($J7,M$1,"L"))+COUNTIFS(Database!$F:$I,CONCATENATE(M$1,$J7,"L"))+COUNTIFS(Database!$F:$I,CONCATENATE($J7,M$1,"W"))+COUNTIFS(Database!$F:$I,CONCATENATE(M$1,$J7,"W"))),"-")</f>
        <v>0.5</v>
      </c>
      <c r="N7" s="34">
        <f>IFERROR((COUNTIFS(Database!$F:$I,CONCATENATE($J7,N$1,"W"))+COUNTIFS(Database!$F:$I,CONCATENATE(N$1,$J7,"W")))/(COUNTIFS(Database!$F:$I,CONCATENATE($J7,N$1,"L"))+COUNTIFS(Database!$F:$I,CONCATENATE(N$1,$J7,"L"))+COUNTIFS(Database!$F:$I,CONCATENATE($J7,N$1,"W"))+COUNTIFS(Database!$F:$I,CONCATENATE(N$1,$J7,"W"))),"-")</f>
        <v>0.5</v>
      </c>
      <c r="O7" s="34">
        <f>IFERROR((COUNTIFS(Database!$F:$I,CONCATENATE($J7,O$1,"W"))+COUNTIFS(Database!$F:$I,CONCATENATE(O$1,$J7,"W")))/(COUNTIFS(Database!$F:$I,CONCATENATE($J7,O$1,"L"))+COUNTIFS(Database!$F:$I,CONCATENATE(O$1,$J7,"L"))+COUNTIFS(Database!$F:$I,CONCATENATE($J7,O$1,"W"))+COUNTIFS(Database!$F:$I,CONCATENATE(O$1,$J7,"W"))),"-")</f>
        <v>0.5</v>
      </c>
      <c r="P7" s="94"/>
      <c r="Q7" s="34">
        <f>IFERROR((COUNTIFS(Database!$F:$I,CONCATENATE($J7,Q$1,"W"))+COUNTIFS(Database!$F:$I,CONCATENATE(Q$1,$J7,"W")))/(COUNTIFS(Database!$F:$I,CONCATENATE($J7,Q$1,"L"))+COUNTIFS(Database!$F:$I,CONCATENATE(Q$1,$J7,"L"))+COUNTIFS(Database!$F:$I,CONCATENATE($J7,Q$1,"W"))+COUNTIFS(Database!$F:$I,CONCATENATE(Q$1,$J7,"W"))),"-")</f>
        <v>0.66666666666666663</v>
      </c>
      <c r="R7" s="34">
        <f>IFERROR((COUNTIFS(Database!$F:$I,CONCATENATE($J7,R$1,"W"))+COUNTIFS(Database!$F:$I,CONCATENATE(R$1,$J7,"W")))/(COUNTIFS(Database!$F:$I,CONCATENATE($J7,R$1,"L"))+COUNTIFS(Database!$F:$I,CONCATENATE(R$1,$J7,"L"))+COUNTIFS(Database!$F:$I,CONCATENATE($J7,R$1,"W"))+COUNTIFS(Database!$F:$I,CONCATENATE(R$1,$J7,"W"))),"-")</f>
        <v>0.5</v>
      </c>
      <c r="S7" s="34">
        <f>IFERROR((COUNTIFS(Database!$F:$I,CONCATENATE($J7,S$1,"W"))+COUNTIFS(Database!$F:$I,CONCATENATE(S$1,$J7,"W")))/(COUNTIFS(Database!$F:$I,CONCATENATE($J7,S$1,"L"))+COUNTIFS(Database!$F:$I,CONCATENATE(S$1,$J7,"L"))+COUNTIFS(Database!$F:$I,CONCATENATE($J7,S$1,"W"))+COUNTIFS(Database!$F:$I,CONCATENATE(S$1,$J7,"W"))),"-")</f>
        <v>0.42857142857142855</v>
      </c>
      <c r="T7" s="88">
        <f>IFERROR((COUNTIFS(Database!$F:$I,CONCATENATE($J7,T$1,"W"))+COUNTIFS(Database!$F:$I,CONCATENATE(T$1,$J7,"W")))/(COUNTIFS(Database!$F:$I,CONCATENATE($J7,T$1,"L"))+COUNTIFS(Database!$F:$I,CONCATENATE(T$1,$J7,"L"))+COUNTIFS(Database!$F:$I,CONCATENATE($J7,T$1,"W"))+COUNTIFS(Database!$F:$I,CONCATENATE(T$1,$J7,"W"))),"-")</f>
        <v>0</v>
      </c>
    </row>
    <row r="8" spans="1:20" ht="12.75" customHeight="1" x14ac:dyDescent="0.25">
      <c r="A8" s="32" t="s">
        <v>32</v>
      </c>
      <c r="B8" s="141">
        <f>IFERROR(VLOOKUP(A8,Stats!B:M,12,0),0)</f>
        <v>0</v>
      </c>
      <c r="C8" s="52" t="s">
        <v>78</v>
      </c>
      <c r="D8" s="65"/>
      <c r="H8" s="69" t="str">
        <f>VLOOKUP(A8,Stats!B:B,1,0)</f>
        <v>Reza</v>
      </c>
      <c r="J8" s="90" t="str">
        <f t="shared" si="0"/>
        <v>Reza</v>
      </c>
      <c r="K8" s="98">
        <f>IFERROR((COUNTIFS(Database!$F:$I,CONCATENATE($J8,K$1,"W"))+COUNTIFS(Database!$F:$I,CONCATENATE(K$1,$J8,"W")))/(COUNTIFS(Database!$F:$I,CONCATENATE($J8,K$1,"L"))+COUNTIFS(Database!$F:$I,CONCATENATE(K$1,$J8,"L"))+COUNTIFS(Database!$F:$I,CONCATENATE($J8,K$1,"W"))+COUNTIFS(Database!$F:$I,CONCATENATE(K$1,$J8,"W"))),"-")</f>
        <v>0.66666666666666663</v>
      </c>
      <c r="L8" s="34">
        <f>IFERROR((COUNTIFS(Database!$F:$I,CONCATENATE($J8,L$1,"W"))+COUNTIFS(Database!$F:$I,CONCATENATE(L$1,$J8,"W")))/(COUNTIFS(Database!$F:$I,CONCATENATE($J8,L$1,"L"))+COUNTIFS(Database!$F:$I,CONCATENATE(L$1,$J8,"L"))+COUNTIFS(Database!$F:$I,CONCATENATE($J8,L$1,"W"))+COUNTIFS(Database!$F:$I,CONCATENATE(L$1,$J8,"W"))),"-")</f>
        <v>0.44444444444444442</v>
      </c>
      <c r="M8" s="34">
        <f>IFERROR((COUNTIFS(Database!$F:$I,CONCATENATE($J8,M$1,"W"))+COUNTIFS(Database!$F:$I,CONCATENATE(M$1,$J8,"W")))/(COUNTIFS(Database!$F:$I,CONCATENATE($J8,M$1,"L"))+COUNTIFS(Database!$F:$I,CONCATENATE(M$1,$J8,"L"))+COUNTIFS(Database!$F:$I,CONCATENATE($J8,M$1,"W"))+COUNTIFS(Database!$F:$I,CONCATENATE(M$1,$J8,"W"))),"-")</f>
        <v>0.6</v>
      </c>
      <c r="N8" s="34">
        <f>IFERROR((COUNTIFS(Database!$F:$I,CONCATENATE($J8,N$1,"W"))+COUNTIFS(Database!$F:$I,CONCATENATE(N$1,$J8,"W")))/(COUNTIFS(Database!$F:$I,CONCATENATE($J8,N$1,"L"))+COUNTIFS(Database!$F:$I,CONCATENATE(N$1,$J8,"L"))+COUNTIFS(Database!$F:$I,CONCATENATE($J8,N$1,"W"))+COUNTIFS(Database!$F:$I,CONCATENATE(N$1,$J8,"W"))),"-")</f>
        <v>0.4</v>
      </c>
      <c r="O8" s="34">
        <f>IFERROR((COUNTIFS(Database!$F:$I,CONCATENATE($J8,O$1,"W"))+COUNTIFS(Database!$F:$I,CONCATENATE(O$1,$J8,"W")))/(COUNTIFS(Database!$F:$I,CONCATENATE($J8,O$1,"L"))+COUNTIFS(Database!$F:$I,CONCATENATE(O$1,$J8,"L"))+COUNTIFS(Database!$F:$I,CONCATENATE($J8,O$1,"W"))+COUNTIFS(Database!$F:$I,CONCATENATE(O$1,$J8,"W"))),"-")</f>
        <v>0.33333333333333331</v>
      </c>
      <c r="P8" s="34">
        <f>IFERROR((COUNTIFS(Database!$F:$I,CONCATENATE($J8,P$1,"W"))+COUNTIFS(Database!$F:$I,CONCATENATE(P$1,$J8,"W")))/(COUNTIFS(Database!$F:$I,CONCATENATE($J8,P$1,"L"))+COUNTIFS(Database!$F:$I,CONCATENATE(P$1,$J8,"L"))+COUNTIFS(Database!$F:$I,CONCATENATE($J8,P$1,"W"))+COUNTIFS(Database!$F:$I,CONCATENATE(P$1,$J8,"W"))),"-")</f>
        <v>0.66666666666666663</v>
      </c>
      <c r="Q8" s="94"/>
      <c r="R8" s="34">
        <f>IFERROR((COUNTIFS(Database!$F:$I,CONCATENATE($J8,R$1,"W"))+COUNTIFS(Database!$F:$I,CONCATENATE(R$1,$J8,"W")))/(COUNTIFS(Database!$F:$I,CONCATENATE($J8,R$1,"L"))+COUNTIFS(Database!$F:$I,CONCATENATE(R$1,$J8,"L"))+COUNTIFS(Database!$F:$I,CONCATENATE($J8,R$1,"W"))+COUNTIFS(Database!$F:$I,CONCATENATE(R$1,$J8,"W"))),"-")</f>
        <v>0.4</v>
      </c>
      <c r="S8" s="34">
        <f>IFERROR((COUNTIFS(Database!$F:$I,CONCATENATE($J8,S$1,"W"))+COUNTIFS(Database!$F:$I,CONCATENATE(S$1,$J8,"W")))/(COUNTIFS(Database!$F:$I,CONCATENATE($J8,S$1,"L"))+COUNTIFS(Database!$F:$I,CONCATENATE(S$1,$J8,"L"))+COUNTIFS(Database!$F:$I,CONCATENATE($J8,S$1,"W"))+COUNTIFS(Database!$F:$I,CONCATENATE(S$1,$J8,"W"))),"-")</f>
        <v>0.66666666666666663</v>
      </c>
      <c r="T8" s="88">
        <f>IFERROR((COUNTIFS(Database!$F:$I,CONCATENATE($J8,T$1,"W"))+COUNTIFS(Database!$F:$I,CONCATENATE(T$1,$J8,"W")))/(COUNTIFS(Database!$F:$I,CONCATENATE($J8,T$1,"L"))+COUNTIFS(Database!$F:$I,CONCATENATE(T$1,$J8,"L"))+COUNTIFS(Database!$F:$I,CONCATENATE($J8,T$1,"W"))+COUNTIFS(Database!$F:$I,CONCATENATE(T$1,$J8,"W"))),"-")</f>
        <v>0.16666666666666666</v>
      </c>
    </row>
    <row r="9" spans="1:20" ht="12.75" customHeight="1" x14ac:dyDescent="0.25">
      <c r="A9" s="32" t="s">
        <v>46</v>
      </c>
      <c r="B9" s="141">
        <f>IFERROR(VLOOKUP(A9,Stats!B:M,12,0),0)</f>
        <v>-3</v>
      </c>
      <c r="C9" s="52" t="s">
        <v>78</v>
      </c>
      <c r="D9" s="65"/>
      <c r="H9" s="69" t="str">
        <f>VLOOKUP(A9,Stats!B:B,1,0)</f>
        <v>Luca</v>
      </c>
      <c r="J9" s="90" t="str">
        <f t="shared" si="0"/>
        <v>Luca</v>
      </c>
      <c r="K9" s="98">
        <f>IFERROR((COUNTIFS(Database!$F:$I,CONCATENATE($J9,K$1,"W"))+COUNTIFS(Database!$F:$I,CONCATENATE(K$1,$J9,"W")))/(COUNTIFS(Database!$F:$I,CONCATENATE($J9,K$1,"L"))+COUNTIFS(Database!$F:$I,CONCATENATE(K$1,$J9,"L"))+COUNTIFS(Database!$F:$I,CONCATENATE($J9,K$1,"W"))+COUNTIFS(Database!$F:$I,CONCATENATE(K$1,$J9,"W"))),"-")</f>
        <v>0.2857142857142857</v>
      </c>
      <c r="L9" s="34">
        <f>IFERROR((COUNTIFS(Database!$F:$I,CONCATENATE($J9,L$1,"W"))+COUNTIFS(Database!$F:$I,CONCATENATE(L$1,$J9,"W")))/(COUNTIFS(Database!$F:$I,CONCATENATE($J9,L$1,"L"))+COUNTIFS(Database!$F:$I,CONCATENATE(L$1,$J9,"L"))+COUNTIFS(Database!$F:$I,CONCATENATE($J9,L$1,"W"))+COUNTIFS(Database!$F:$I,CONCATENATE(L$1,$J9,"W"))),"-")</f>
        <v>0.5</v>
      </c>
      <c r="M9" s="34">
        <f>IFERROR((COUNTIFS(Database!$F:$I,CONCATENATE($J9,M$1,"W"))+COUNTIFS(Database!$F:$I,CONCATENATE(M$1,$J9,"W")))/(COUNTIFS(Database!$F:$I,CONCATENATE($J9,M$1,"L"))+COUNTIFS(Database!$F:$I,CONCATENATE(M$1,$J9,"L"))+COUNTIFS(Database!$F:$I,CONCATENATE($J9,M$1,"W"))+COUNTIFS(Database!$F:$I,CONCATENATE(M$1,$J9,"W"))),"-")</f>
        <v>0.66666666666666663</v>
      </c>
      <c r="N9" s="34">
        <f>IFERROR((COUNTIFS(Database!$F:$I,CONCATENATE($J9,N$1,"W"))+COUNTIFS(Database!$F:$I,CONCATENATE(N$1,$J9,"W")))/(COUNTIFS(Database!$F:$I,CONCATENATE($J9,N$1,"L"))+COUNTIFS(Database!$F:$I,CONCATENATE(N$1,$J9,"L"))+COUNTIFS(Database!$F:$I,CONCATENATE($J9,N$1,"W"))+COUNTIFS(Database!$F:$I,CONCATENATE(N$1,$J9,"W"))),"-")</f>
        <v>0.25</v>
      </c>
      <c r="O9" s="34">
        <f>IFERROR((COUNTIFS(Database!$F:$I,CONCATENATE($J9,O$1,"W"))+COUNTIFS(Database!$F:$I,CONCATENATE(O$1,$J9,"W")))/(COUNTIFS(Database!$F:$I,CONCATENATE($J9,O$1,"L"))+COUNTIFS(Database!$F:$I,CONCATENATE(O$1,$J9,"L"))+COUNTIFS(Database!$F:$I,CONCATENATE($J9,O$1,"W"))+COUNTIFS(Database!$F:$I,CONCATENATE(O$1,$J9,"W"))),"-")</f>
        <v>0.375</v>
      </c>
      <c r="P9" s="34">
        <f>IFERROR((COUNTIFS(Database!$F:$I,CONCATENATE($J9,P$1,"W"))+COUNTIFS(Database!$F:$I,CONCATENATE(P$1,$J9,"W")))/(COUNTIFS(Database!$F:$I,CONCATENATE($J9,P$1,"L"))+COUNTIFS(Database!$F:$I,CONCATENATE(P$1,$J9,"L"))+COUNTIFS(Database!$F:$I,CONCATENATE($J9,P$1,"W"))+COUNTIFS(Database!$F:$I,CONCATENATE(P$1,$J9,"W"))),"-")</f>
        <v>0.5</v>
      </c>
      <c r="Q9" s="34">
        <f>IFERROR((COUNTIFS(Database!$F:$I,CONCATENATE($J9,Q$1,"W"))+COUNTIFS(Database!$F:$I,CONCATENATE(Q$1,$J9,"W")))/(COUNTIFS(Database!$F:$I,CONCATENATE($J9,Q$1,"L"))+COUNTIFS(Database!$F:$I,CONCATENATE(Q$1,$J9,"L"))+COUNTIFS(Database!$F:$I,CONCATENATE($J9,Q$1,"W"))+COUNTIFS(Database!$F:$I,CONCATENATE(Q$1,$J9,"W"))),"-")</f>
        <v>0.4</v>
      </c>
      <c r="R9" s="94"/>
      <c r="S9" s="34">
        <f>IFERROR((COUNTIFS(Database!$F:$I,CONCATENATE($J9,S$1,"W"))+COUNTIFS(Database!$F:$I,CONCATENATE(S$1,$J9,"W")))/(COUNTIFS(Database!$F:$I,CONCATENATE($J9,S$1,"L"))+COUNTIFS(Database!$F:$I,CONCATENATE(S$1,$J9,"L"))+COUNTIFS(Database!$F:$I,CONCATENATE($J9,S$1,"W"))+COUNTIFS(Database!$F:$I,CONCATENATE(S$1,$J9,"W"))),"-")</f>
        <v>0.66666666666666663</v>
      </c>
      <c r="T9" s="88">
        <f>IFERROR((COUNTIFS(Database!$F:$I,CONCATENATE($J9,T$1,"W"))+COUNTIFS(Database!$F:$I,CONCATENATE(T$1,$J9,"W")))/(COUNTIFS(Database!$F:$I,CONCATENATE($J9,T$1,"L"))+COUNTIFS(Database!$F:$I,CONCATENATE(T$1,$J9,"L"))+COUNTIFS(Database!$F:$I,CONCATENATE($J9,T$1,"W"))+COUNTIFS(Database!$F:$I,CONCATENATE(T$1,$J9,"W"))),"-")</f>
        <v>0.25</v>
      </c>
    </row>
    <row r="10" spans="1:20" ht="12.75" customHeight="1" x14ac:dyDescent="0.25">
      <c r="A10" s="32" t="s">
        <v>42</v>
      </c>
      <c r="B10" s="141">
        <f>IFERROR(VLOOKUP(A10,Stats!B:M,12,0),0)</f>
        <v>10</v>
      </c>
      <c r="C10" s="52" t="s">
        <v>78</v>
      </c>
      <c r="D10" s="65"/>
      <c r="H10" s="69" t="str">
        <f>VLOOKUP(A10,Stats!B:B,1,0)</f>
        <v>Pablo OG</v>
      </c>
      <c r="J10" s="90" t="str">
        <f t="shared" si="0"/>
        <v>Pablo OG</v>
      </c>
      <c r="K10" s="98">
        <f>IFERROR((COUNTIFS(Database!$F:$I,CONCATENATE($J10,K$1,"W"))+COUNTIFS(Database!$F:$I,CONCATENATE(K$1,$J10,"W")))/(COUNTIFS(Database!$F:$I,CONCATENATE($J10,K$1,"L"))+COUNTIFS(Database!$F:$I,CONCATENATE(K$1,$J10,"L"))+COUNTIFS(Database!$F:$I,CONCATENATE($J10,K$1,"W"))+COUNTIFS(Database!$F:$I,CONCATENATE(K$1,$J10,"W"))),"-")</f>
        <v>0.75</v>
      </c>
      <c r="L10" s="34">
        <f>IFERROR((COUNTIFS(Database!$F:$I,CONCATENATE($J10,L$1,"W"))+COUNTIFS(Database!$F:$I,CONCATENATE(L$1,$J10,"W")))/(COUNTIFS(Database!$F:$I,CONCATENATE($J10,L$1,"L"))+COUNTIFS(Database!$F:$I,CONCATENATE(L$1,$J10,"L"))+COUNTIFS(Database!$F:$I,CONCATENATE($J10,L$1,"W"))+COUNTIFS(Database!$F:$I,CONCATENATE(L$1,$J10,"W"))),"-")</f>
        <v>0.55555555555555558</v>
      </c>
      <c r="M10" s="34">
        <f>IFERROR((COUNTIFS(Database!$F:$I,CONCATENATE($J10,M$1,"W"))+COUNTIFS(Database!$F:$I,CONCATENATE(M$1,$J10,"W")))/(COUNTIFS(Database!$F:$I,CONCATENATE($J10,M$1,"L"))+COUNTIFS(Database!$F:$I,CONCATENATE(M$1,$J10,"L"))+COUNTIFS(Database!$F:$I,CONCATENATE($J10,M$1,"W"))+COUNTIFS(Database!$F:$I,CONCATENATE(M$1,$J10,"W"))),"-")</f>
        <v>0.5714285714285714</v>
      </c>
      <c r="N10" s="34">
        <f>IFERROR((COUNTIFS(Database!$F:$I,CONCATENATE($J10,N$1,"W"))+COUNTIFS(Database!$F:$I,CONCATENATE(N$1,$J10,"W")))/(COUNTIFS(Database!$F:$I,CONCATENATE($J10,N$1,"L"))+COUNTIFS(Database!$F:$I,CONCATENATE(N$1,$J10,"L"))+COUNTIFS(Database!$F:$I,CONCATENATE($J10,N$1,"W"))+COUNTIFS(Database!$F:$I,CONCATENATE(N$1,$J10,"W"))),"-")</f>
        <v>0.8</v>
      </c>
      <c r="O10" s="34">
        <f>IFERROR((COUNTIFS(Database!$F:$I,CONCATENATE($J10,O$1,"W"))+COUNTIFS(Database!$F:$I,CONCATENATE(O$1,$J10,"W")))/(COUNTIFS(Database!$F:$I,CONCATENATE($J10,O$1,"L"))+COUNTIFS(Database!$F:$I,CONCATENATE(O$1,$J10,"L"))+COUNTIFS(Database!$F:$I,CONCATENATE($J10,O$1,"W"))+COUNTIFS(Database!$F:$I,CONCATENATE(O$1,$J10,"W"))),"-")</f>
        <v>0.75</v>
      </c>
      <c r="P10" s="34">
        <f>IFERROR((COUNTIFS(Database!$F:$I,CONCATENATE($J10,P$1,"W"))+COUNTIFS(Database!$F:$I,CONCATENATE(P$1,$J10,"W")))/(COUNTIFS(Database!$F:$I,CONCATENATE($J10,P$1,"L"))+COUNTIFS(Database!$F:$I,CONCATENATE(P$1,$J10,"L"))+COUNTIFS(Database!$F:$I,CONCATENATE($J10,P$1,"W"))+COUNTIFS(Database!$F:$I,CONCATENATE(P$1,$J10,"W"))),"-")</f>
        <v>0.42857142857142855</v>
      </c>
      <c r="Q10" s="34">
        <f>IFERROR((COUNTIFS(Database!$F:$I,CONCATENATE($J10,Q$1,"W"))+COUNTIFS(Database!$F:$I,CONCATENATE(Q$1,$J10,"W")))/(COUNTIFS(Database!$F:$I,CONCATENATE($J10,Q$1,"L"))+COUNTIFS(Database!$F:$I,CONCATENATE(Q$1,$J10,"L"))+COUNTIFS(Database!$F:$I,CONCATENATE($J10,Q$1,"W"))+COUNTIFS(Database!$F:$I,CONCATENATE(Q$1,$J10,"W"))),"-")</f>
        <v>0.66666666666666663</v>
      </c>
      <c r="R10" s="34">
        <f>IFERROR((COUNTIFS(Database!$F:$I,CONCATENATE($J10,R$1,"W"))+COUNTIFS(Database!$F:$I,CONCATENATE(R$1,$J10,"W")))/(COUNTIFS(Database!$F:$I,CONCATENATE($J10,R$1,"L"))+COUNTIFS(Database!$F:$I,CONCATENATE(R$1,$J10,"L"))+COUNTIFS(Database!$F:$I,CONCATENATE($J10,R$1,"W"))+COUNTIFS(Database!$F:$I,CONCATENATE(R$1,$J10,"W"))),"-")</f>
        <v>0.66666666666666663</v>
      </c>
      <c r="S10" s="94"/>
      <c r="T10" s="88">
        <f>IFERROR((COUNTIFS(Database!$F:$I,CONCATENATE($J10,T$1,"W"))+COUNTIFS(Database!$F:$I,CONCATENATE(T$1,$J10,"W")))/(COUNTIFS(Database!$F:$I,CONCATENATE($J10,T$1,"L"))+COUNTIFS(Database!$F:$I,CONCATENATE(T$1,$J10,"L"))+COUNTIFS(Database!$F:$I,CONCATENATE($J10,T$1,"W"))+COUNTIFS(Database!$F:$I,CONCATENATE(T$1,$J10,"W"))),"-")</f>
        <v>0.625</v>
      </c>
    </row>
    <row r="11" spans="1:20" ht="12.75" customHeight="1" x14ac:dyDescent="0.25">
      <c r="A11" s="71" t="s">
        <v>55</v>
      </c>
      <c r="B11" s="139">
        <f>IFERROR(VLOOKUP(A11,Stats!B:M,12,0),0)</f>
        <v>-5</v>
      </c>
      <c r="C11" s="72" t="s">
        <v>78</v>
      </c>
      <c r="D11" s="65"/>
      <c r="H11" s="70" t="str">
        <f>VLOOKUP(A11,Stats!B:B,1,0)</f>
        <v>Baris</v>
      </c>
      <c r="J11" s="49" t="str">
        <f t="shared" si="0"/>
        <v>Baris</v>
      </c>
      <c r="K11" s="99">
        <f>IFERROR((COUNTIFS(Database!$F:$I,CONCATENATE($J11,K$1,"W"))+COUNTIFS(Database!$F:$I,CONCATENATE(K$1,$J11,"W")))/(COUNTIFS(Database!$F:$I,CONCATENATE($J11,K$1,"L"))+COUNTIFS(Database!$F:$I,CONCATENATE(K$1,$J11,"L"))+COUNTIFS(Database!$F:$I,CONCATENATE($J11,K$1,"W"))+COUNTIFS(Database!$F:$I,CONCATENATE(K$1,$J11,"W"))),"-")</f>
        <v>0.75</v>
      </c>
      <c r="L11" s="100">
        <f>IFERROR((COUNTIFS(Database!$F:$I,CONCATENATE($J11,L$1,"W"))+COUNTIFS(Database!$F:$I,CONCATENATE(L$1,$J11,"W")))/(COUNTIFS(Database!$F:$I,CONCATENATE($J11,L$1,"L"))+COUNTIFS(Database!$F:$I,CONCATENATE(L$1,$J11,"L"))+COUNTIFS(Database!$F:$I,CONCATENATE($J11,L$1,"W"))+COUNTIFS(Database!$F:$I,CONCATENATE(L$1,$J11,"W"))),"-")</f>
        <v>0.25</v>
      </c>
      <c r="M11" s="100">
        <f>IFERROR((COUNTIFS(Database!$F:$I,CONCATENATE($J11,M$1,"W"))+COUNTIFS(Database!$F:$I,CONCATENATE(M$1,$J11,"W")))/(COUNTIFS(Database!$F:$I,CONCATENATE($J11,M$1,"L"))+COUNTIFS(Database!$F:$I,CONCATENATE(M$1,$J11,"L"))+COUNTIFS(Database!$F:$I,CONCATENATE($J11,M$1,"W"))+COUNTIFS(Database!$F:$I,CONCATENATE(M$1,$J11,"W"))),"-")</f>
        <v>0</v>
      </c>
      <c r="N11" s="100">
        <f>IFERROR((COUNTIFS(Database!$F:$I,CONCATENATE($J11,N$1,"W"))+COUNTIFS(Database!$F:$I,CONCATENATE(N$1,$J11,"W")))/(COUNTIFS(Database!$F:$I,CONCATENATE($J11,N$1,"L"))+COUNTIFS(Database!$F:$I,CONCATENATE(N$1,$J11,"L"))+COUNTIFS(Database!$F:$I,CONCATENATE($J11,N$1,"W"))+COUNTIFS(Database!$F:$I,CONCATENATE(N$1,$J11,"W"))),"-")</f>
        <v>0.4</v>
      </c>
      <c r="O11" s="100">
        <f>IFERROR((COUNTIFS(Database!$F:$I,CONCATENATE($J11,O$1,"W"))+COUNTIFS(Database!$F:$I,CONCATENATE(O$1,$J11,"W")))/(COUNTIFS(Database!$F:$I,CONCATENATE($J11,O$1,"L"))+COUNTIFS(Database!$F:$I,CONCATENATE(O$1,$J11,"L"))+COUNTIFS(Database!$F:$I,CONCATENATE($J11,O$1,"W"))+COUNTIFS(Database!$F:$I,CONCATENATE(O$1,$J11,"W"))),"-")</f>
        <v>0.2</v>
      </c>
      <c r="P11" s="100">
        <f>IFERROR((COUNTIFS(Database!$F:$I,CONCATENATE($J11,P$1,"W"))+COUNTIFS(Database!$F:$I,CONCATENATE(P$1,$J11,"W")))/(COUNTIFS(Database!$F:$I,CONCATENATE($J11,P$1,"L"))+COUNTIFS(Database!$F:$I,CONCATENATE(P$1,$J11,"L"))+COUNTIFS(Database!$F:$I,CONCATENATE($J11,P$1,"W"))+COUNTIFS(Database!$F:$I,CONCATENATE(P$1,$J11,"W"))),"-")</f>
        <v>0</v>
      </c>
      <c r="Q11" s="100">
        <f>IFERROR((COUNTIFS(Database!$F:$I,CONCATENATE($J11,Q$1,"W"))+COUNTIFS(Database!$F:$I,CONCATENATE(Q$1,$J11,"W")))/(COUNTIFS(Database!$F:$I,CONCATENATE($J11,Q$1,"L"))+COUNTIFS(Database!$F:$I,CONCATENATE(Q$1,$J11,"L"))+COUNTIFS(Database!$F:$I,CONCATENATE($J11,Q$1,"W"))+COUNTIFS(Database!$F:$I,CONCATENATE(Q$1,$J11,"W"))),"-")</f>
        <v>0.16666666666666666</v>
      </c>
      <c r="R11" s="100">
        <f>IFERROR((COUNTIFS(Database!$F:$I,CONCATENATE($J11,R$1,"W"))+COUNTIFS(Database!$F:$I,CONCATENATE(R$1,$J11,"W")))/(COUNTIFS(Database!$F:$I,CONCATENATE($J11,R$1,"L"))+COUNTIFS(Database!$F:$I,CONCATENATE(R$1,$J11,"L"))+COUNTIFS(Database!$F:$I,CONCATENATE($J11,R$1,"W"))+COUNTIFS(Database!$F:$I,CONCATENATE(R$1,$J11,"W"))),"-")</f>
        <v>0.25</v>
      </c>
      <c r="S11" s="100">
        <f>IFERROR((COUNTIFS(Database!$F:$I,CONCATENATE($J11,S$1,"W"))+COUNTIFS(Database!$F:$I,CONCATENATE(S$1,$J11,"W")))/(COUNTIFS(Database!$F:$I,CONCATENATE($J11,S$1,"L"))+COUNTIFS(Database!$F:$I,CONCATENATE(S$1,$J11,"L"))+COUNTIFS(Database!$F:$I,CONCATENATE($J11,S$1,"W"))+COUNTIFS(Database!$F:$I,CONCATENATE(S$1,$J11,"W"))),"-")</f>
        <v>0.625</v>
      </c>
      <c r="T11" s="101"/>
    </row>
    <row r="13" spans="1:20" ht="12.75" customHeight="1" x14ac:dyDescent="0.25">
      <c r="A13" s="32"/>
    </row>
  </sheetData>
  <autoFilter ref="A1:C11" xr:uid="{00000000-0001-0000-0300-000000000000}">
    <sortState xmlns:xlrd2="http://schemas.microsoft.com/office/spreadsheetml/2017/richdata2" ref="A2:C11">
      <sortCondition ref="C1:C11"/>
    </sortState>
  </autoFilter>
  <sortState xmlns:xlrd2="http://schemas.microsoft.com/office/spreadsheetml/2017/richdata2" ref="A2:C11">
    <sortCondition ref="C2:C11"/>
  </sortState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ndMostBalancedTeams">
                <anchor moveWithCells="1" sizeWithCells="1">
                  <from>
                    <xdr:col>4</xdr:col>
                    <xdr:colOff>25879</xdr:colOff>
                    <xdr:row>6</xdr:row>
                    <xdr:rowOff>69011</xdr:rowOff>
                  </from>
                  <to>
                    <xdr:col>5</xdr:col>
                    <xdr:colOff>603849</xdr:colOff>
                    <xdr:row>8</xdr:row>
                    <xdr:rowOff>103517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D4368-22E0-4BDF-ACE0-60E82E5CD178}">
  <sheetPr codeName="Sheet5"/>
  <dimension ref="A1:AD21"/>
  <sheetViews>
    <sheetView showGridLines="0" zoomScale="190" zoomScaleNormal="190" workbookViewId="0">
      <selection activeCell="C24" sqref="C24"/>
    </sheetView>
  </sheetViews>
  <sheetFormatPr defaultColWidth="9" defaultRowHeight="12.75" customHeight="1" x14ac:dyDescent="0.25"/>
  <cols>
    <col min="2" max="2" width="11.85546875" bestFit="1" customWidth="1"/>
    <col min="5" max="5" width="12.140625" bestFit="1" customWidth="1"/>
    <col min="6" max="6" width="9.42578125" customWidth="1"/>
    <col min="8" max="8" width="17.140625" bestFit="1" customWidth="1"/>
  </cols>
  <sheetData>
    <row r="1" spans="1:30" s="48" customFormat="1" ht="12.75" customHeight="1" x14ac:dyDescent="0.25">
      <c r="A1" s="50" t="s">
        <v>2</v>
      </c>
      <c r="B1" s="51" t="s">
        <v>74</v>
      </c>
      <c r="C1" s="51" t="s">
        <v>75</v>
      </c>
      <c r="E1" s="64" t="s">
        <v>75</v>
      </c>
      <c r="F1" s="51" t="s">
        <v>74</v>
      </c>
      <c r="H1" s="68" t="s">
        <v>76</v>
      </c>
      <c r="J1"/>
      <c r="K1" s="91" t="str">
        <f>A2</f>
        <v>Baris</v>
      </c>
      <c r="L1" s="92" t="str">
        <f>A3</f>
        <v>Akbar</v>
      </c>
      <c r="M1" s="92" t="str">
        <f>A4</f>
        <v>Bishoy</v>
      </c>
      <c r="N1" s="92" t="str">
        <f>A5</f>
        <v>Dmytro</v>
      </c>
      <c r="O1" s="92" t="str">
        <f>A6</f>
        <v>Giovanni</v>
      </c>
      <c r="P1" s="92" t="str">
        <f>A7</f>
        <v>Luca</v>
      </c>
      <c r="Q1" s="92" t="str">
        <f>A8</f>
        <v>Sizwe</v>
      </c>
      <c r="R1" s="92" t="str">
        <f>A9</f>
        <v>Thijs</v>
      </c>
      <c r="S1" s="92" t="str">
        <f>A10</f>
        <v>Adam</v>
      </c>
      <c r="T1" s="92" t="str">
        <f>A11</f>
        <v>Miro</v>
      </c>
      <c r="U1" s="92" t="str">
        <f>A12</f>
        <v>Renaud</v>
      </c>
      <c r="V1" s="92" t="str">
        <f>A13</f>
        <v>Wouter</v>
      </c>
      <c r="W1" s="92" t="str">
        <f>A14</f>
        <v>Alex</v>
      </c>
      <c r="X1" s="92" t="str">
        <f>A15</f>
        <v>Dobro</v>
      </c>
      <c r="Y1" s="92" t="str">
        <f>A16</f>
        <v>Lars</v>
      </c>
      <c r="Z1" s="92" t="str">
        <f>A17</f>
        <v>Shawn</v>
      </c>
      <c r="AA1" s="92" t="str">
        <f>A18</f>
        <v>Firat</v>
      </c>
      <c r="AB1" s="92" t="str">
        <f>A19</f>
        <v>Bram</v>
      </c>
      <c r="AC1" s="92" t="str">
        <f>A20</f>
        <v>Tchi</v>
      </c>
      <c r="AD1" s="93" t="str">
        <f>A21</f>
        <v>Pablo OG</v>
      </c>
    </row>
    <row r="2" spans="1:30" ht="12.75" customHeight="1" x14ac:dyDescent="0.25">
      <c r="A2" s="32" t="s">
        <v>55</v>
      </c>
      <c r="B2" s="52">
        <f>IFERROR(VLOOKUP(A2,Stats!B:F,5,0),0)</f>
        <v>0</v>
      </c>
      <c r="C2" s="52" t="s">
        <v>81</v>
      </c>
      <c r="D2" s="65"/>
      <c r="E2" s="32" t="s">
        <v>77</v>
      </c>
      <c r="F2" s="52">
        <f>SUMIFS(B:B,$C:$C,$E2)</f>
        <v>0</v>
      </c>
      <c r="H2" s="69" t="str">
        <f>VLOOKUP(A2,Stats!B:B,1,0)</f>
        <v>Baris</v>
      </c>
      <c r="J2" s="89" t="str">
        <f>A2</f>
        <v>Baris</v>
      </c>
      <c r="K2" s="95"/>
      <c r="L2" s="102">
        <f>IFERROR((COUNTIFS(Database!$F:$I,CONCATENATE($J2,L$1,"W"))+COUNTIFS(Database!$F:$I,CONCATENATE(L$1,$J2,"W")))/(COUNTIFS(Database!$F:$I,CONCATENATE($J2,L$1,"L"))+COUNTIFS(Database!$F:$I,CONCATENATE(L$1,$J2,"L"))+COUNTIFS(Database!$F:$I,CONCATENATE($J2,L$1,"W"))+COUNTIFS(Database!$F:$I,CONCATENATE(L$1,$J2,"W"))),"-")</f>
        <v>0.33333333333333331</v>
      </c>
      <c r="M2" s="96">
        <f>IFERROR((COUNTIFS(Database!$F:$I,CONCATENATE($J2,M$1,"W"))+COUNTIFS(Database!$F:$I,CONCATENATE(M$1,$J2,"W")))/(COUNTIFS(Database!$F:$I,CONCATENATE($J2,M$1,"L"))+COUNTIFS(Database!$F:$I,CONCATENATE(M$1,$J2,"L"))+COUNTIFS(Database!$F:$I,CONCATENATE($J2,M$1,"W"))+COUNTIFS(Database!$F:$I,CONCATENATE(M$1,$J2,"W"))),"-")</f>
        <v>0.4</v>
      </c>
      <c r="N2" s="96">
        <f>IFERROR((COUNTIFS(Database!$F:$I,CONCATENATE($J2,N$1,"W"))+COUNTIFS(Database!$F:$I,CONCATENATE(N$1,$J2,"W")))/(COUNTIFS(Database!$F:$I,CONCATENATE($J2,N$1,"L"))+COUNTIFS(Database!$F:$I,CONCATENATE(N$1,$J2,"L"))+COUNTIFS(Database!$F:$I,CONCATENATE($J2,N$1,"W"))+COUNTIFS(Database!$F:$I,CONCATENATE(N$1,$J2,"W"))),"-")</f>
        <v>0.33333333333333331</v>
      </c>
      <c r="O2" s="96">
        <f>IFERROR((COUNTIFS(Database!$F:$I,CONCATENATE($J2,O$1,"W"))+COUNTIFS(Database!$F:$I,CONCATENATE(O$1,$J2,"W")))/(COUNTIFS(Database!$F:$I,CONCATENATE($J2,O$1,"L"))+COUNTIFS(Database!$F:$I,CONCATENATE(O$1,$J2,"L"))+COUNTIFS(Database!$F:$I,CONCATENATE($J2,O$1,"W"))+COUNTIFS(Database!$F:$I,CONCATENATE(O$1,$J2,"W"))),"-")</f>
        <v>0</v>
      </c>
      <c r="P2" s="96">
        <f>IFERROR((COUNTIFS(Database!$F:$I,CONCATENATE($J2,P$1,"W"))+COUNTIFS(Database!$F:$I,CONCATENATE(P$1,$J2,"W")))/(COUNTIFS(Database!$F:$I,CONCATENATE($J2,P$1,"L"))+COUNTIFS(Database!$F:$I,CONCATENATE(P$1,$J2,"L"))+COUNTIFS(Database!$F:$I,CONCATENATE($J2,P$1,"W"))+COUNTIFS(Database!$F:$I,CONCATENATE(P$1,$J2,"W"))),"-")</f>
        <v>0.25</v>
      </c>
      <c r="Q2" s="96">
        <f>IFERROR((COUNTIFS(Database!$F:$I,CONCATENATE($J2,Q$1,"W"))+COUNTIFS(Database!$F:$I,CONCATENATE(Q$1,$J2,"W")))/(COUNTIFS(Database!$F:$I,CONCATENATE($J2,Q$1,"L"))+COUNTIFS(Database!$F:$I,CONCATENATE(Q$1,$J2,"L"))+COUNTIFS(Database!$F:$I,CONCATENATE($J2,Q$1,"W"))+COUNTIFS(Database!$F:$I,CONCATENATE(Q$1,$J2,"W"))),"-")</f>
        <v>0.75</v>
      </c>
      <c r="R2" s="96" t="str">
        <f>IFERROR((COUNTIFS(Database!$F:$I,CONCATENATE($J2,R$1,"W"))+COUNTIFS(Database!$F:$I,CONCATENATE(R$1,$J2,"W")))/(COUNTIFS(Database!$F:$I,CONCATENATE($J2,R$1,"L"))+COUNTIFS(Database!$F:$I,CONCATENATE(R$1,$J2,"L"))+COUNTIFS(Database!$F:$I,CONCATENATE($J2,R$1,"W"))+COUNTIFS(Database!$F:$I,CONCATENATE(R$1,$J2,"W"))),"-")</f>
        <v>-</v>
      </c>
      <c r="S2" s="96">
        <f>IFERROR((COUNTIFS(Database!$F:$I,CONCATENATE($J2,S$1,"W"))+COUNTIFS(Database!$F:$I,CONCATENATE(S$1,$J2,"W")))/(COUNTIFS(Database!$F:$I,CONCATENATE($J2,S$1,"L"))+COUNTIFS(Database!$F:$I,CONCATENATE(S$1,$J2,"L"))+COUNTIFS(Database!$F:$I,CONCATENATE($J2,S$1,"W"))+COUNTIFS(Database!$F:$I,CONCATENATE(S$1,$J2,"W"))),"-")</f>
        <v>0.25</v>
      </c>
      <c r="T2" s="102">
        <f>IFERROR((COUNTIFS(Database!$F:$I,CONCATENATE($J2,T$1,"W"))+COUNTIFS(Database!$F:$I,CONCATENATE(T$1,$J2,"W")))/(COUNTIFS(Database!$F:$I,CONCATENATE($J2,T$1,"L"))+COUNTIFS(Database!$F:$I,CONCATENATE(T$1,$J2,"L"))+COUNTIFS(Database!$F:$I,CONCATENATE($J2,T$1,"W"))+COUNTIFS(Database!$F:$I,CONCATENATE(T$1,$J2,"W"))),"-")</f>
        <v>0</v>
      </c>
      <c r="U2" s="96">
        <f>IFERROR((COUNTIFS(Database!$F:$I,CONCATENATE($J2,U$1,"W"))+COUNTIFS(Database!$F:$I,CONCATENATE(U$1,$J2,"W")))/(COUNTIFS(Database!$F:$I,CONCATENATE($J2,U$1,"L"))+COUNTIFS(Database!$F:$I,CONCATENATE(U$1,$J2,"L"))+COUNTIFS(Database!$F:$I,CONCATENATE($J2,U$1,"W"))+COUNTIFS(Database!$F:$I,CONCATENATE(U$1,$J2,"W"))),"-")</f>
        <v>0.66666666666666663</v>
      </c>
      <c r="V2" s="96">
        <f>IFERROR((COUNTIFS(Database!$F:$I,CONCATENATE($J2,V$1,"W"))+COUNTIFS(Database!$F:$I,CONCATENATE(V$1,$J2,"W")))/(COUNTIFS(Database!$F:$I,CONCATENATE($J2,V$1,"L"))+COUNTIFS(Database!$F:$I,CONCATENATE(V$1,$J2,"L"))+COUNTIFS(Database!$F:$I,CONCATENATE($J2,V$1,"W"))+COUNTIFS(Database!$F:$I,CONCATENATE(V$1,$J2,"W"))),"-")</f>
        <v>0</v>
      </c>
      <c r="W2" s="96">
        <f>IFERROR((COUNTIFS(Database!$F:$I,CONCATENATE($J2,W$1,"W"))+COUNTIFS(Database!$F:$I,CONCATENATE(W$1,$J2,"W")))/(COUNTIFS(Database!$F:$I,CONCATENATE($J2,W$1,"L"))+COUNTIFS(Database!$F:$I,CONCATENATE(W$1,$J2,"L"))+COUNTIFS(Database!$F:$I,CONCATENATE($J2,W$1,"W"))+COUNTIFS(Database!$F:$I,CONCATENATE(W$1,$J2,"W"))),"-")</f>
        <v>0</v>
      </c>
      <c r="X2" s="96">
        <f>IFERROR((COUNTIFS(Database!$F:$I,CONCATENATE($J2,X$1,"W"))+COUNTIFS(Database!$F:$I,CONCATENATE(X$1,$J2,"W")))/(COUNTIFS(Database!$F:$I,CONCATENATE($J2,X$1,"L"))+COUNTIFS(Database!$F:$I,CONCATENATE(X$1,$J2,"L"))+COUNTIFS(Database!$F:$I,CONCATENATE($J2,X$1,"W"))+COUNTIFS(Database!$F:$I,CONCATENATE(X$1,$J2,"W"))),"-")</f>
        <v>0.2</v>
      </c>
      <c r="Y2" s="96" t="str">
        <f>IFERROR((COUNTIFS(Database!$F:$I,CONCATENATE($J2,Y$1,"W"))+COUNTIFS(Database!$F:$I,CONCATENATE(Y$1,$J2,"W")))/(COUNTIFS(Database!$F:$I,CONCATENATE($J2,Y$1,"L"))+COUNTIFS(Database!$F:$I,CONCATENATE(Y$1,$J2,"L"))+COUNTIFS(Database!$F:$I,CONCATENATE($J2,Y$1,"W"))+COUNTIFS(Database!$F:$I,CONCATENATE(Y$1,$J2,"W"))),"-")</f>
        <v>-</v>
      </c>
      <c r="Z2" s="96">
        <f>IFERROR((COUNTIFS(Database!$F:$I,CONCATENATE($J2,Z$1,"W"))+COUNTIFS(Database!$F:$I,CONCATENATE(Z$1,$J2,"W")))/(COUNTIFS(Database!$F:$I,CONCATENATE($J2,Z$1,"L"))+COUNTIFS(Database!$F:$I,CONCATENATE(Z$1,$J2,"L"))+COUNTIFS(Database!$F:$I,CONCATENATE($J2,Z$1,"W"))+COUNTIFS(Database!$F:$I,CONCATENATE(Z$1,$J2,"W"))),"-")</f>
        <v>0</v>
      </c>
      <c r="AA2" s="96">
        <f>IFERROR((COUNTIFS(Database!$F:$I,CONCATENATE($J2,AA$1,"W"))+COUNTIFS(Database!$F:$I,CONCATENATE(AA$1,$J2,"W")))/(COUNTIFS(Database!$F:$I,CONCATENATE($J2,AA$1,"L"))+COUNTIFS(Database!$F:$I,CONCATENATE(AA$1,$J2,"L"))+COUNTIFS(Database!$F:$I,CONCATENATE($J2,AA$1,"W"))+COUNTIFS(Database!$F:$I,CONCATENATE(AA$1,$J2,"W"))),"-")</f>
        <v>0.33333333333333331</v>
      </c>
      <c r="AB2" s="96">
        <f>IFERROR((COUNTIFS(Database!$F:$I,CONCATENATE($J2,AB$1,"W"))+COUNTIFS(Database!$F:$I,CONCATENATE(AB$1,$J2,"W")))/(COUNTIFS(Database!$F:$I,CONCATENATE($J2,AB$1,"L"))+COUNTIFS(Database!$F:$I,CONCATENATE(AB$1,$J2,"L"))+COUNTIFS(Database!$F:$I,CONCATENATE($J2,AB$1,"W"))+COUNTIFS(Database!$F:$I,CONCATENATE(AB$1,$J2,"W"))),"-")</f>
        <v>1</v>
      </c>
      <c r="AC2" s="96">
        <f>IFERROR((COUNTIFS(Database!$F:$I,CONCATENATE($J2,AC$1,"W"))+COUNTIFS(Database!$F:$I,CONCATENATE(AC$1,$J2,"W")))/(COUNTIFS(Database!$F:$I,CONCATENATE($J2,AC$1,"L"))+COUNTIFS(Database!$F:$I,CONCATENATE(AC$1,$J2,"L"))+COUNTIFS(Database!$F:$I,CONCATENATE($J2,AC$1,"W"))+COUNTIFS(Database!$F:$I,CONCATENATE(AC$1,$J2,"W"))),"-")</f>
        <v>0.33333333333333331</v>
      </c>
      <c r="AD2" s="97">
        <f>IFERROR((COUNTIFS(Database!$F:$I,CONCATENATE($J2,AD$1,"W"))+COUNTIFS(Database!$F:$I,CONCATENATE(AD$1,$J2,"W")))/(COUNTIFS(Database!$F:$I,CONCATENATE($J2,AD$1,"L"))+COUNTIFS(Database!$F:$I,CONCATENATE(AD$1,$J2,"L"))+COUNTIFS(Database!$F:$I,CONCATENATE($J2,AD$1,"W"))+COUNTIFS(Database!$F:$I,CONCATENATE(AD$1,$J2,"W"))),"-")</f>
        <v>0.625</v>
      </c>
    </row>
    <row r="3" spans="1:30" ht="12.75" customHeight="1" x14ac:dyDescent="0.25">
      <c r="A3" s="32" t="s">
        <v>54</v>
      </c>
      <c r="B3" s="52">
        <f>IFERROR(VLOOKUP(A3,Stats!B:F,5,0),0)</f>
        <v>0</v>
      </c>
      <c r="C3" s="52" t="s">
        <v>81</v>
      </c>
      <c r="D3" s="65"/>
      <c r="E3" s="32" t="s">
        <v>78</v>
      </c>
      <c r="F3" s="52">
        <f>SUMIFS(B:B,$C:$C,$E3)</f>
        <v>0</v>
      </c>
      <c r="H3" s="69" t="str">
        <f>VLOOKUP(A3,Stats!B:B,1,0)</f>
        <v>Akbar</v>
      </c>
      <c r="J3" s="90" t="str">
        <f t="shared" ref="J3:J10" si="0">A3</f>
        <v>Akbar</v>
      </c>
      <c r="K3" s="98">
        <f>IFERROR((COUNTIFS(Database!$F:$I,CONCATENATE($J3,K$1,"W"))+COUNTIFS(Database!$F:$I,CONCATENATE(K$1,$J3,"W")))/(COUNTIFS(Database!$F:$I,CONCATENATE($J3,K$1,"L"))+COUNTIFS(Database!$F:$I,CONCATENATE(K$1,$J3,"L"))+COUNTIFS(Database!$F:$I,CONCATENATE($J3,K$1,"W"))+COUNTIFS(Database!$F:$I,CONCATENATE(K$1,$J3,"W"))),"-")</f>
        <v>0.33333333333333331</v>
      </c>
      <c r="L3" s="94"/>
      <c r="M3" s="34">
        <f>IFERROR((COUNTIFS(Database!$F:$I,CONCATENATE($J3,M$1,"W"))+COUNTIFS(Database!$F:$I,CONCATENATE(M$1,$J3,"W")))/(COUNTIFS(Database!$F:$I,CONCATENATE($J3,M$1,"L"))+COUNTIFS(Database!$F:$I,CONCATENATE(M$1,$J3,"L"))+COUNTIFS(Database!$F:$I,CONCATENATE($J3,M$1,"W"))+COUNTIFS(Database!$F:$I,CONCATENATE(M$1,$J3,"W"))),"-")</f>
        <v>0.33333333333333331</v>
      </c>
      <c r="N3" s="34">
        <f>IFERROR((COUNTIFS(Database!$F:$I,CONCATENATE($J3,N$1,"W"))+COUNTIFS(Database!$F:$I,CONCATENATE(N$1,$J3,"W")))/(COUNTIFS(Database!$F:$I,CONCATENATE($J3,N$1,"L"))+COUNTIFS(Database!$F:$I,CONCATENATE(N$1,$J3,"L"))+COUNTIFS(Database!$F:$I,CONCATENATE($J3,N$1,"W"))+COUNTIFS(Database!$F:$I,CONCATENATE(N$1,$J3,"W"))),"-")</f>
        <v>0</v>
      </c>
      <c r="O3" s="34">
        <f>IFERROR((COUNTIFS(Database!$F:$I,CONCATENATE($J3,O$1,"W"))+COUNTIFS(Database!$F:$I,CONCATENATE(O$1,$J3,"W")))/(COUNTIFS(Database!$F:$I,CONCATENATE($J3,O$1,"L"))+COUNTIFS(Database!$F:$I,CONCATENATE(O$1,$J3,"L"))+COUNTIFS(Database!$F:$I,CONCATENATE($J3,O$1,"W"))+COUNTIFS(Database!$F:$I,CONCATENATE(O$1,$J3,"W"))),"-")</f>
        <v>0.25</v>
      </c>
      <c r="P3" s="34">
        <f>IFERROR((COUNTIFS(Database!$F:$I,CONCATENATE($J3,P$1,"W"))+COUNTIFS(Database!$F:$I,CONCATENATE(P$1,$J3,"W")))/(COUNTIFS(Database!$F:$I,CONCATENATE($J3,P$1,"L"))+COUNTIFS(Database!$F:$I,CONCATENATE(P$1,$J3,"L"))+COUNTIFS(Database!$F:$I,CONCATENATE($J3,P$1,"W"))+COUNTIFS(Database!$F:$I,CONCATENATE(P$1,$J3,"W"))),"-")</f>
        <v>0.42857142857142855</v>
      </c>
      <c r="Q3" s="34">
        <f>IFERROR((COUNTIFS(Database!$F:$I,CONCATENATE($J3,Q$1,"W"))+COUNTIFS(Database!$F:$I,CONCATENATE(Q$1,$J3,"W")))/(COUNTIFS(Database!$F:$I,CONCATENATE($J3,Q$1,"L"))+COUNTIFS(Database!$F:$I,CONCATENATE(Q$1,$J3,"L"))+COUNTIFS(Database!$F:$I,CONCATENATE($J3,Q$1,"W"))+COUNTIFS(Database!$F:$I,CONCATENATE(Q$1,$J3,"W"))),"-")</f>
        <v>0.33333333333333331</v>
      </c>
      <c r="R3" s="34">
        <f>IFERROR((COUNTIFS(Database!$F:$I,CONCATENATE($J3,R$1,"W"))+COUNTIFS(Database!$F:$I,CONCATENATE(R$1,$J3,"W")))/(COUNTIFS(Database!$F:$I,CONCATENATE($J3,R$1,"L"))+COUNTIFS(Database!$F:$I,CONCATENATE(R$1,$J3,"L"))+COUNTIFS(Database!$F:$I,CONCATENATE($J3,R$1,"W"))+COUNTIFS(Database!$F:$I,CONCATENATE(R$1,$J3,"W"))),"-")</f>
        <v>0.33333333333333331</v>
      </c>
      <c r="S3" s="34">
        <f>IFERROR((COUNTIFS(Database!$F:$I,CONCATENATE($J3,S$1,"W"))+COUNTIFS(Database!$F:$I,CONCATENATE(S$1,$J3,"W")))/(COUNTIFS(Database!$F:$I,CONCATENATE($J3,S$1,"L"))+COUNTIFS(Database!$F:$I,CONCATENATE(S$1,$J3,"L"))+COUNTIFS(Database!$F:$I,CONCATENATE($J3,S$1,"W"))+COUNTIFS(Database!$F:$I,CONCATENATE(S$1,$J3,"W"))),"-")</f>
        <v>0.8</v>
      </c>
      <c r="T3" s="34">
        <f>IFERROR((COUNTIFS(Database!$F:$I,CONCATENATE($J3,T$1,"W"))+COUNTIFS(Database!$F:$I,CONCATENATE(T$1,$J3,"W")))/(COUNTIFS(Database!$F:$I,CONCATENATE($J3,T$1,"L"))+COUNTIFS(Database!$F:$I,CONCATENATE(T$1,$J3,"L"))+COUNTIFS(Database!$F:$I,CONCATENATE($J3,T$1,"W"))+COUNTIFS(Database!$F:$I,CONCATENATE(T$1,$J3,"W"))),"-")</f>
        <v>0.5</v>
      </c>
      <c r="U3" s="34">
        <f>IFERROR((COUNTIFS(Database!$F:$I,CONCATENATE($J3,U$1,"W"))+COUNTIFS(Database!$F:$I,CONCATENATE(U$1,$J3,"W")))/(COUNTIFS(Database!$F:$I,CONCATENATE($J3,U$1,"L"))+COUNTIFS(Database!$F:$I,CONCATENATE(U$1,$J3,"L"))+COUNTIFS(Database!$F:$I,CONCATENATE($J3,U$1,"W"))+COUNTIFS(Database!$F:$I,CONCATENATE(U$1,$J3,"W"))),"-")</f>
        <v>0</v>
      </c>
      <c r="V3" s="34">
        <f>IFERROR((COUNTIFS(Database!$F:$I,CONCATENATE($J3,V$1,"W"))+COUNTIFS(Database!$F:$I,CONCATENATE(V$1,$J3,"W")))/(COUNTIFS(Database!$F:$I,CONCATENATE($J3,V$1,"L"))+COUNTIFS(Database!$F:$I,CONCATENATE(V$1,$J3,"L"))+COUNTIFS(Database!$F:$I,CONCATENATE($J3,V$1,"W"))+COUNTIFS(Database!$F:$I,CONCATENATE(V$1,$J3,"W"))),"-")</f>
        <v>0.5</v>
      </c>
      <c r="W3" s="34" t="str">
        <f>IFERROR((COUNTIFS(Database!$F:$I,CONCATENATE($J3,W$1,"W"))+COUNTIFS(Database!$F:$I,CONCATENATE(W$1,$J3,"W")))/(COUNTIFS(Database!$F:$I,CONCATENATE($J3,W$1,"L"))+COUNTIFS(Database!$F:$I,CONCATENATE(W$1,$J3,"L"))+COUNTIFS(Database!$F:$I,CONCATENATE($J3,W$1,"W"))+COUNTIFS(Database!$F:$I,CONCATENATE(W$1,$J3,"W"))),"-")</f>
        <v>-</v>
      </c>
      <c r="X3" s="34">
        <f>IFERROR((COUNTIFS(Database!$F:$I,CONCATENATE($J3,X$1,"W"))+COUNTIFS(Database!$F:$I,CONCATENATE(X$1,$J3,"W")))/(COUNTIFS(Database!$F:$I,CONCATENATE($J3,X$1,"L"))+COUNTIFS(Database!$F:$I,CONCATENATE(X$1,$J3,"L"))+COUNTIFS(Database!$F:$I,CONCATENATE($J3,X$1,"W"))+COUNTIFS(Database!$F:$I,CONCATENATE(X$1,$J3,"W"))),"-")</f>
        <v>0.4</v>
      </c>
      <c r="Y3" s="34">
        <f>IFERROR((COUNTIFS(Database!$F:$I,CONCATENATE($J3,Y$1,"W"))+COUNTIFS(Database!$F:$I,CONCATENATE(Y$1,$J3,"W")))/(COUNTIFS(Database!$F:$I,CONCATENATE($J3,Y$1,"L"))+COUNTIFS(Database!$F:$I,CONCATENATE(Y$1,$J3,"L"))+COUNTIFS(Database!$F:$I,CONCATENATE($J3,Y$1,"W"))+COUNTIFS(Database!$F:$I,CONCATENATE(Y$1,$J3,"W"))),"-")</f>
        <v>1</v>
      </c>
      <c r="Z3" s="34" t="str">
        <f>IFERROR((COUNTIFS(Database!$F:$I,CONCATENATE($J3,Z$1,"W"))+COUNTIFS(Database!$F:$I,CONCATENATE(Z$1,$J3,"W")))/(COUNTIFS(Database!$F:$I,CONCATENATE($J3,Z$1,"L"))+COUNTIFS(Database!$F:$I,CONCATENATE(Z$1,$J3,"L"))+COUNTIFS(Database!$F:$I,CONCATENATE($J3,Z$1,"W"))+COUNTIFS(Database!$F:$I,CONCATENATE(Z$1,$J3,"W"))),"-")</f>
        <v>-</v>
      </c>
      <c r="AA3" s="34">
        <f>IFERROR((COUNTIFS(Database!$F:$I,CONCATENATE($J3,AA$1,"W"))+COUNTIFS(Database!$F:$I,CONCATENATE(AA$1,$J3,"W")))/(COUNTIFS(Database!$F:$I,CONCATENATE($J3,AA$1,"L"))+COUNTIFS(Database!$F:$I,CONCATENATE(AA$1,$J3,"L"))+COUNTIFS(Database!$F:$I,CONCATENATE($J3,AA$1,"W"))+COUNTIFS(Database!$F:$I,CONCATENATE(AA$1,$J3,"W"))),"-")</f>
        <v>0.2857142857142857</v>
      </c>
      <c r="AB3" s="34">
        <f>IFERROR((COUNTIFS(Database!$F:$I,CONCATENATE($J3,AB$1,"W"))+COUNTIFS(Database!$F:$I,CONCATENATE(AB$1,$J3,"W")))/(COUNTIFS(Database!$F:$I,CONCATENATE($J3,AB$1,"L"))+COUNTIFS(Database!$F:$I,CONCATENATE(AB$1,$J3,"L"))+COUNTIFS(Database!$F:$I,CONCATENATE($J3,AB$1,"W"))+COUNTIFS(Database!$F:$I,CONCATENATE(AB$1,$J3,"W"))),"-")</f>
        <v>0</v>
      </c>
      <c r="AC3" s="34">
        <f>IFERROR((COUNTIFS(Database!$F:$I,CONCATENATE($J3,AC$1,"W"))+COUNTIFS(Database!$F:$I,CONCATENATE(AC$1,$J3,"W")))/(COUNTIFS(Database!$F:$I,CONCATENATE($J3,AC$1,"L"))+COUNTIFS(Database!$F:$I,CONCATENATE(AC$1,$J3,"L"))+COUNTIFS(Database!$F:$I,CONCATENATE($J3,AC$1,"W"))+COUNTIFS(Database!$F:$I,CONCATENATE(AC$1,$J3,"W"))),"-")</f>
        <v>0.5</v>
      </c>
      <c r="AD3" s="88">
        <f>IFERROR((COUNTIFS(Database!$F:$I,CONCATENATE($J3,AD$1,"W"))+COUNTIFS(Database!$F:$I,CONCATENATE(AD$1,$J3,"W")))/(COUNTIFS(Database!$F:$I,CONCATENATE($J3,AD$1,"L"))+COUNTIFS(Database!$F:$I,CONCATENATE(AD$1,$J3,"L"))+COUNTIFS(Database!$F:$I,CONCATENATE($J3,AD$1,"W"))+COUNTIFS(Database!$F:$I,CONCATENATE(AD$1,$J3,"W"))),"-")</f>
        <v>0.5</v>
      </c>
    </row>
    <row r="4" spans="1:30" ht="12.75" customHeight="1" x14ac:dyDescent="0.25">
      <c r="A4" s="32" t="s">
        <v>61</v>
      </c>
      <c r="B4" s="52">
        <f>IFERROR(VLOOKUP(A4,Stats!B:F,5,0),0)</f>
        <v>-1</v>
      </c>
      <c r="C4" s="52" t="s">
        <v>81</v>
      </c>
      <c r="D4" s="65"/>
      <c r="E4" s="32" t="s">
        <v>80</v>
      </c>
      <c r="F4" s="52">
        <f>SUMIFS(B:B,$C:$C,$E4)</f>
        <v>0</v>
      </c>
      <c r="H4" s="69" t="str">
        <f>VLOOKUP(A4,Stats!B:B,1,0)</f>
        <v>Bishoy</v>
      </c>
      <c r="J4" s="90" t="str">
        <f t="shared" si="0"/>
        <v>Bishoy</v>
      </c>
      <c r="K4" s="98">
        <f>IFERROR((COUNTIFS(Database!$F:$I,CONCATENATE($J4,K$1,"W"))+COUNTIFS(Database!$F:$I,CONCATENATE(K$1,$J4,"W")))/(COUNTIFS(Database!$F:$I,CONCATENATE($J4,K$1,"L"))+COUNTIFS(Database!$F:$I,CONCATENATE(K$1,$J4,"L"))+COUNTIFS(Database!$F:$I,CONCATENATE($J4,K$1,"W"))+COUNTIFS(Database!$F:$I,CONCATENATE(K$1,$J4,"W"))),"-")</f>
        <v>0.4</v>
      </c>
      <c r="L4" s="34">
        <f>IFERROR((COUNTIFS(Database!$F:$I,CONCATENATE($J4,L$1,"W"))+COUNTIFS(Database!$F:$I,CONCATENATE(L$1,$J4,"W")))/(COUNTIFS(Database!$F:$I,CONCATENATE($J4,L$1,"L"))+COUNTIFS(Database!$F:$I,CONCATENATE(L$1,$J4,"L"))+COUNTIFS(Database!$F:$I,CONCATENATE($J4,L$1,"W"))+COUNTIFS(Database!$F:$I,CONCATENATE(L$1,$J4,"W"))),"-")</f>
        <v>0.33333333333333331</v>
      </c>
      <c r="M4" s="94"/>
      <c r="N4" s="34" t="str">
        <f>IFERROR((COUNTIFS(Database!$F:$I,CONCATENATE($J4,N$1,"W"))+COUNTIFS(Database!$F:$I,CONCATENATE(N$1,$J4,"W")))/(COUNTIFS(Database!$F:$I,CONCATENATE($J4,N$1,"L"))+COUNTIFS(Database!$F:$I,CONCATENATE(N$1,$J4,"L"))+COUNTIFS(Database!$F:$I,CONCATENATE($J4,N$1,"W"))+COUNTIFS(Database!$F:$I,CONCATENATE(N$1,$J4,"W"))),"-")</f>
        <v>-</v>
      </c>
      <c r="O4" s="34">
        <f>IFERROR((COUNTIFS(Database!$F:$I,CONCATENATE($J4,O$1,"W"))+COUNTIFS(Database!$F:$I,CONCATENATE(O$1,$J4,"W")))/(COUNTIFS(Database!$F:$I,CONCATENATE($J4,O$1,"L"))+COUNTIFS(Database!$F:$I,CONCATENATE(O$1,$J4,"L"))+COUNTIFS(Database!$F:$I,CONCATENATE($J4,O$1,"W"))+COUNTIFS(Database!$F:$I,CONCATENATE(O$1,$J4,"W"))),"-")</f>
        <v>0.5</v>
      </c>
      <c r="P4" s="34">
        <f>IFERROR((COUNTIFS(Database!$F:$I,CONCATENATE($J4,P$1,"W"))+COUNTIFS(Database!$F:$I,CONCATENATE(P$1,$J4,"W")))/(COUNTIFS(Database!$F:$I,CONCATENATE($J4,P$1,"L"))+COUNTIFS(Database!$F:$I,CONCATENATE(P$1,$J4,"L"))+COUNTIFS(Database!$F:$I,CONCATENATE($J4,P$1,"W"))+COUNTIFS(Database!$F:$I,CONCATENATE(P$1,$J4,"W"))),"-")</f>
        <v>0.25</v>
      </c>
      <c r="Q4" s="34">
        <f>IFERROR((COUNTIFS(Database!$F:$I,CONCATENATE($J4,Q$1,"W"))+COUNTIFS(Database!$F:$I,CONCATENATE(Q$1,$J4,"W")))/(COUNTIFS(Database!$F:$I,CONCATENATE($J4,Q$1,"L"))+COUNTIFS(Database!$F:$I,CONCATENATE(Q$1,$J4,"L"))+COUNTIFS(Database!$F:$I,CONCATENATE($J4,Q$1,"W"))+COUNTIFS(Database!$F:$I,CONCATENATE(Q$1,$J4,"W"))),"-")</f>
        <v>0.33333333333333331</v>
      </c>
      <c r="R4" s="34">
        <f>IFERROR((COUNTIFS(Database!$F:$I,CONCATENATE($J4,R$1,"W"))+COUNTIFS(Database!$F:$I,CONCATENATE(R$1,$J4,"W")))/(COUNTIFS(Database!$F:$I,CONCATENATE($J4,R$1,"L"))+COUNTIFS(Database!$F:$I,CONCATENATE(R$1,$J4,"L"))+COUNTIFS(Database!$F:$I,CONCATENATE($J4,R$1,"W"))+COUNTIFS(Database!$F:$I,CONCATENATE(R$1,$J4,"W"))),"-")</f>
        <v>0</v>
      </c>
      <c r="S4" s="34">
        <f>IFERROR((COUNTIFS(Database!$F:$I,CONCATENATE($J4,S$1,"W"))+COUNTIFS(Database!$F:$I,CONCATENATE(S$1,$J4,"W")))/(COUNTIFS(Database!$F:$I,CONCATENATE($J4,S$1,"L"))+COUNTIFS(Database!$F:$I,CONCATENATE(S$1,$J4,"L"))+COUNTIFS(Database!$F:$I,CONCATENATE($J4,S$1,"W"))+COUNTIFS(Database!$F:$I,CONCATENATE(S$1,$J4,"W"))),"-")</f>
        <v>0.33333333333333331</v>
      </c>
      <c r="T4" s="34">
        <f>IFERROR((COUNTIFS(Database!$F:$I,CONCATENATE($J4,T$1,"W"))+COUNTIFS(Database!$F:$I,CONCATENATE(T$1,$J4,"W")))/(COUNTIFS(Database!$F:$I,CONCATENATE($J4,T$1,"L"))+COUNTIFS(Database!$F:$I,CONCATENATE(T$1,$J4,"L"))+COUNTIFS(Database!$F:$I,CONCATENATE($J4,T$1,"W"))+COUNTIFS(Database!$F:$I,CONCATENATE(T$1,$J4,"W"))),"-")</f>
        <v>1</v>
      </c>
      <c r="U4" s="34">
        <f>IFERROR((COUNTIFS(Database!$F:$I,CONCATENATE($J4,U$1,"W"))+COUNTIFS(Database!$F:$I,CONCATENATE(U$1,$J4,"W")))/(COUNTIFS(Database!$F:$I,CONCATENATE($J4,U$1,"L"))+COUNTIFS(Database!$F:$I,CONCATENATE(U$1,$J4,"L"))+COUNTIFS(Database!$F:$I,CONCATENATE($J4,U$1,"W"))+COUNTIFS(Database!$F:$I,CONCATENATE(U$1,$J4,"W"))),"-")</f>
        <v>0.5</v>
      </c>
      <c r="V4" s="34">
        <f>IFERROR((COUNTIFS(Database!$F:$I,CONCATENATE($J4,V$1,"W"))+COUNTIFS(Database!$F:$I,CONCATENATE(V$1,$J4,"W")))/(COUNTIFS(Database!$F:$I,CONCATENATE($J4,V$1,"L"))+COUNTIFS(Database!$F:$I,CONCATENATE(V$1,$J4,"L"))+COUNTIFS(Database!$F:$I,CONCATENATE($J4,V$1,"W"))+COUNTIFS(Database!$F:$I,CONCATENATE(V$1,$J4,"W"))),"-")</f>
        <v>0.6</v>
      </c>
      <c r="W4" s="34">
        <f>IFERROR((COUNTIFS(Database!$F:$I,CONCATENATE($J4,W$1,"W"))+COUNTIFS(Database!$F:$I,CONCATENATE(W$1,$J4,"W")))/(COUNTIFS(Database!$F:$I,CONCATENATE($J4,W$1,"L"))+COUNTIFS(Database!$F:$I,CONCATENATE(W$1,$J4,"L"))+COUNTIFS(Database!$F:$I,CONCATENATE($J4,W$1,"W"))+COUNTIFS(Database!$F:$I,CONCATENATE(W$1,$J4,"W"))),"-")</f>
        <v>1</v>
      </c>
      <c r="X4" s="34">
        <f>IFERROR((COUNTIFS(Database!$F:$I,CONCATENATE($J4,X$1,"W"))+COUNTIFS(Database!$F:$I,CONCATENATE(X$1,$J4,"W")))/(COUNTIFS(Database!$F:$I,CONCATENATE($J4,X$1,"L"))+COUNTIFS(Database!$F:$I,CONCATENATE(X$1,$J4,"L"))+COUNTIFS(Database!$F:$I,CONCATENATE($J4,X$1,"W"))+COUNTIFS(Database!$F:$I,CONCATENATE(X$1,$J4,"W"))),"-")</f>
        <v>0.42857142857142855</v>
      </c>
      <c r="Y4" s="34" t="str">
        <f>IFERROR((COUNTIFS(Database!$F:$I,CONCATENATE($J4,Y$1,"W"))+COUNTIFS(Database!$F:$I,CONCATENATE(Y$1,$J4,"W")))/(COUNTIFS(Database!$F:$I,CONCATENATE($J4,Y$1,"L"))+COUNTIFS(Database!$F:$I,CONCATENATE(Y$1,$J4,"L"))+COUNTIFS(Database!$F:$I,CONCATENATE($J4,Y$1,"W"))+COUNTIFS(Database!$F:$I,CONCATENATE(Y$1,$J4,"W"))),"-")</f>
        <v>-</v>
      </c>
      <c r="Z4" s="34">
        <f>IFERROR((COUNTIFS(Database!$F:$I,CONCATENATE($J4,Z$1,"W"))+COUNTIFS(Database!$F:$I,CONCATENATE(Z$1,$J4,"W")))/(COUNTIFS(Database!$F:$I,CONCATENATE($J4,Z$1,"L"))+COUNTIFS(Database!$F:$I,CONCATENATE(Z$1,$J4,"L"))+COUNTIFS(Database!$F:$I,CONCATENATE($J4,Z$1,"W"))+COUNTIFS(Database!$F:$I,CONCATENATE(Z$1,$J4,"W"))),"-")</f>
        <v>0</v>
      </c>
      <c r="AA4" s="34">
        <f>IFERROR((COUNTIFS(Database!$F:$I,CONCATENATE($J4,AA$1,"W"))+COUNTIFS(Database!$F:$I,CONCATENATE(AA$1,$J4,"W")))/(COUNTIFS(Database!$F:$I,CONCATENATE($J4,AA$1,"L"))+COUNTIFS(Database!$F:$I,CONCATENATE(AA$1,$J4,"L"))+COUNTIFS(Database!$F:$I,CONCATENATE($J4,AA$1,"W"))+COUNTIFS(Database!$F:$I,CONCATENATE(AA$1,$J4,"W"))),"-")</f>
        <v>1</v>
      </c>
      <c r="AB4" s="34">
        <f>IFERROR((COUNTIFS(Database!$F:$I,CONCATENATE($J4,AB$1,"W"))+COUNTIFS(Database!$F:$I,CONCATENATE(AB$1,$J4,"W")))/(COUNTIFS(Database!$F:$I,CONCATENATE($J4,AB$1,"L"))+COUNTIFS(Database!$F:$I,CONCATENATE(AB$1,$J4,"L"))+COUNTIFS(Database!$F:$I,CONCATENATE($J4,AB$1,"W"))+COUNTIFS(Database!$F:$I,CONCATENATE(AB$1,$J4,"W"))),"-")</f>
        <v>1</v>
      </c>
      <c r="AC4" s="34">
        <f>IFERROR((COUNTIFS(Database!$F:$I,CONCATENATE($J4,AC$1,"W"))+COUNTIFS(Database!$F:$I,CONCATENATE(AC$1,$J4,"W")))/(COUNTIFS(Database!$F:$I,CONCATENATE($J4,AC$1,"L"))+COUNTIFS(Database!$F:$I,CONCATENATE(AC$1,$J4,"L"))+COUNTIFS(Database!$F:$I,CONCATENATE($J4,AC$1,"W"))+COUNTIFS(Database!$F:$I,CONCATENATE(AC$1,$J4,"W"))),"-")</f>
        <v>0.5714285714285714</v>
      </c>
      <c r="AD4" s="88">
        <f>IFERROR((COUNTIFS(Database!$F:$I,CONCATENATE($J4,AD$1,"W"))+COUNTIFS(Database!$F:$I,CONCATENATE(AD$1,$J4,"W")))/(COUNTIFS(Database!$F:$I,CONCATENATE($J4,AD$1,"L"))+COUNTIFS(Database!$F:$I,CONCATENATE(AD$1,$J4,"L"))+COUNTIFS(Database!$F:$I,CONCATENATE($J4,AD$1,"W"))+COUNTIFS(Database!$F:$I,CONCATENATE(AD$1,$J4,"W"))),"-")</f>
        <v>0.8</v>
      </c>
    </row>
    <row r="5" spans="1:30" ht="12.75" customHeight="1" x14ac:dyDescent="0.25">
      <c r="A5" s="32" t="s">
        <v>28</v>
      </c>
      <c r="B5" s="52">
        <f>IFERROR(VLOOKUP(A5,Stats!B:F,5,0),0)</f>
        <v>0</v>
      </c>
      <c r="C5" s="52" t="s">
        <v>81</v>
      </c>
      <c r="D5" s="65"/>
      <c r="E5" s="71" t="s">
        <v>81</v>
      </c>
      <c r="F5" s="72">
        <f>SUMIFS(B:B,$C:$C,$E5)</f>
        <v>2</v>
      </c>
      <c r="H5" s="69" t="str">
        <f>VLOOKUP(A5,Stats!B:B,1,0)</f>
        <v>Dmytro</v>
      </c>
      <c r="J5" s="90" t="str">
        <f t="shared" si="0"/>
        <v>Dmytro</v>
      </c>
      <c r="K5" s="98">
        <f>IFERROR((COUNTIFS(Database!$F:$I,CONCATENATE($J5,K$1,"W"))+COUNTIFS(Database!$F:$I,CONCATENATE(K$1,$J5,"W")))/(COUNTIFS(Database!$F:$I,CONCATENATE($J5,K$1,"L"))+COUNTIFS(Database!$F:$I,CONCATENATE(K$1,$J5,"L"))+COUNTIFS(Database!$F:$I,CONCATENATE($J5,K$1,"W"))+COUNTIFS(Database!$F:$I,CONCATENATE(K$1,$J5,"W"))),"-")</f>
        <v>0.33333333333333331</v>
      </c>
      <c r="L5" s="34">
        <f>IFERROR((COUNTIFS(Database!$F:$I,CONCATENATE($J5,L$1,"W"))+COUNTIFS(Database!$F:$I,CONCATENATE(L$1,$J5,"W")))/(COUNTIFS(Database!$F:$I,CONCATENATE($J5,L$1,"L"))+COUNTIFS(Database!$F:$I,CONCATENATE(L$1,$J5,"L"))+COUNTIFS(Database!$F:$I,CONCATENATE($J5,L$1,"W"))+COUNTIFS(Database!$F:$I,CONCATENATE(L$1,$J5,"W"))),"-")</f>
        <v>0</v>
      </c>
      <c r="M5" s="34" t="str">
        <f>IFERROR((COUNTIFS(Database!$F:$I,CONCATENATE($J5,M$1,"W"))+COUNTIFS(Database!$F:$I,CONCATENATE(M$1,$J5,"W")))/(COUNTIFS(Database!$F:$I,CONCATENATE($J5,M$1,"L"))+COUNTIFS(Database!$F:$I,CONCATENATE(M$1,$J5,"L"))+COUNTIFS(Database!$F:$I,CONCATENATE($J5,M$1,"W"))+COUNTIFS(Database!$F:$I,CONCATENATE(M$1,$J5,"W"))),"-")</f>
        <v>-</v>
      </c>
      <c r="N5" s="94"/>
      <c r="O5" s="34">
        <f>IFERROR((COUNTIFS(Database!$F:$I,CONCATENATE($J5,O$1,"W"))+COUNTIFS(Database!$F:$I,CONCATENATE(O$1,$J5,"W")))/(COUNTIFS(Database!$F:$I,CONCATENATE($J5,O$1,"L"))+COUNTIFS(Database!$F:$I,CONCATENATE(O$1,$J5,"L"))+COUNTIFS(Database!$F:$I,CONCATENATE($J5,O$1,"W"))+COUNTIFS(Database!$F:$I,CONCATENATE(O$1,$J5,"W"))),"-")</f>
        <v>0.5</v>
      </c>
      <c r="P5" s="34">
        <f>IFERROR((COUNTIFS(Database!$F:$I,CONCATENATE($J5,P$1,"W"))+COUNTIFS(Database!$F:$I,CONCATENATE(P$1,$J5,"W")))/(COUNTIFS(Database!$F:$I,CONCATENATE($J5,P$1,"L"))+COUNTIFS(Database!$F:$I,CONCATENATE(P$1,$J5,"L"))+COUNTIFS(Database!$F:$I,CONCATENATE($J5,P$1,"W"))+COUNTIFS(Database!$F:$I,CONCATENATE(P$1,$J5,"W"))),"-")</f>
        <v>0.4</v>
      </c>
      <c r="Q5" s="34" t="str">
        <f>IFERROR((COUNTIFS(Database!$F:$I,CONCATENATE($J5,Q$1,"W"))+COUNTIFS(Database!$F:$I,CONCATENATE(Q$1,$J5,"W")))/(COUNTIFS(Database!$F:$I,CONCATENATE($J5,Q$1,"L"))+COUNTIFS(Database!$F:$I,CONCATENATE(Q$1,$J5,"L"))+COUNTIFS(Database!$F:$I,CONCATENATE($J5,Q$1,"W"))+COUNTIFS(Database!$F:$I,CONCATENATE(Q$1,$J5,"W"))),"-")</f>
        <v>-</v>
      </c>
      <c r="R5" s="34" t="str">
        <f>IFERROR((COUNTIFS(Database!$F:$I,CONCATENATE($J5,R$1,"W"))+COUNTIFS(Database!$F:$I,CONCATENATE(R$1,$J5,"W")))/(COUNTIFS(Database!$F:$I,CONCATENATE($J5,R$1,"L"))+COUNTIFS(Database!$F:$I,CONCATENATE(R$1,$J5,"L"))+COUNTIFS(Database!$F:$I,CONCATENATE($J5,R$1,"W"))+COUNTIFS(Database!$F:$I,CONCATENATE(R$1,$J5,"W"))),"-")</f>
        <v>-</v>
      </c>
      <c r="S5" s="34">
        <f>IFERROR((COUNTIFS(Database!$F:$I,CONCATENATE($J5,S$1,"W"))+COUNTIFS(Database!$F:$I,CONCATENATE(S$1,$J5,"W")))/(COUNTIFS(Database!$F:$I,CONCATENATE($J5,S$1,"L"))+COUNTIFS(Database!$F:$I,CONCATENATE(S$1,$J5,"L"))+COUNTIFS(Database!$F:$I,CONCATENATE($J5,S$1,"W"))+COUNTIFS(Database!$F:$I,CONCATENATE(S$1,$J5,"W"))),"-")</f>
        <v>1</v>
      </c>
      <c r="T5" s="34" t="str">
        <f>IFERROR((COUNTIFS(Database!$F:$I,CONCATENATE($J5,T$1,"W"))+COUNTIFS(Database!$F:$I,CONCATENATE(T$1,$J5,"W")))/(COUNTIFS(Database!$F:$I,CONCATENATE($J5,T$1,"L"))+COUNTIFS(Database!$F:$I,CONCATENATE(T$1,$J5,"L"))+COUNTIFS(Database!$F:$I,CONCATENATE($J5,T$1,"W"))+COUNTIFS(Database!$F:$I,CONCATENATE(T$1,$J5,"W"))),"-")</f>
        <v>-</v>
      </c>
      <c r="U5" s="34">
        <f>IFERROR((COUNTIFS(Database!$F:$I,CONCATENATE($J5,U$1,"W"))+COUNTIFS(Database!$F:$I,CONCATENATE(U$1,$J5,"W")))/(COUNTIFS(Database!$F:$I,CONCATENATE($J5,U$1,"L"))+COUNTIFS(Database!$F:$I,CONCATENATE(U$1,$J5,"L"))+COUNTIFS(Database!$F:$I,CONCATENATE($J5,U$1,"W"))+COUNTIFS(Database!$F:$I,CONCATENATE(U$1,$J5,"W"))),"-")</f>
        <v>0.5</v>
      </c>
      <c r="V5" s="34">
        <f>IFERROR((COUNTIFS(Database!$F:$I,CONCATENATE($J5,V$1,"W"))+COUNTIFS(Database!$F:$I,CONCATENATE(V$1,$J5,"W")))/(COUNTIFS(Database!$F:$I,CONCATENATE($J5,V$1,"L"))+COUNTIFS(Database!$F:$I,CONCATENATE(V$1,$J5,"L"))+COUNTIFS(Database!$F:$I,CONCATENATE($J5,V$1,"W"))+COUNTIFS(Database!$F:$I,CONCATENATE(V$1,$J5,"W"))),"-")</f>
        <v>0.33333333333333331</v>
      </c>
      <c r="W5" s="34">
        <f>IFERROR((COUNTIFS(Database!$F:$I,CONCATENATE($J5,W$1,"W"))+COUNTIFS(Database!$F:$I,CONCATENATE(W$1,$J5,"W")))/(COUNTIFS(Database!$F:$I,CONCATENATE($J5,W$1,"L"))+COUNTIFS(Database!$F:$I,CONCATENATE(W$1,$J5,"L"))+COUNTIFS(Database!$F:$I,CONCATENATE($J5,W$1,"W"))+COUNTIFS(Database!$F:$I,CONCATENATE(W$1,$J5,"W"))),"-")</f>
        <v>0</v>
      </c>
      <c r="X5" s="34">
        <f>IFERROR((COUNTIFS(Database!$F:$I,CONCATENATE($J5,X$1,"W"))+COUNTIFS(Database!$F:$I,CONCATENATE(X$1,$J5,"W")))/(COUNTIFS(Database!$F:$I,CONCATENATE($J5,X$1,"L"))+COUNTIFS(Database!$F:$I,CONCATENATE(X$1,$J5,"L"))+COUNTIFS(Database!$F:$I,CONCATENATE($J5,X$1,"W"))+COUNTIFS(Database!$F:$I,CONCATENATE(X$1,$J5,"W"))),"-")</f>
        <v>0.375</v>
      </c>
      <c r="Y5" s="34" t="str">
        <f>IFERROR((COUNTIFS(Database!$F:$I,CONCATENATE($J5,Y$1,"W"))+COUNTIFS(Database!$F:$I,CONCATENATE(Y$1,$J5,"W")))/(COUNTIFS(Database!$F:$I,CONCATENATE($J5,Y$1,"L"))+COUNTIFS(Database!$F:$I,CONCATENATE(Y$1,$J5,"L"))+COUNTIFS(Database!$F:$I,CONCATENATE($J5,Y$1,"W"))+COUNTIFS(Database!$F:$I,CONCATENATE(Y$1,$J5,"W"))),"-")</f>
        <v>-</v>
      </c>
      <c r="Z5" s="34">
        <f>IFERROR((COUNTIFS(Database!$F:$I,CONCATENATE($J5,Z$1,"W"))+COUNTIFS(Database!$F:$I,CONCATENATE(Z$1,$J5,"W")))/(COUNTIFS(Database!$F:$I,CONCATENATE($J5,Z$1,"L"))+COUNTIFS(Database!$F:$I,CONCATENATE(Z$1,$J5,"L"))+COUNTIFS(Database!$F:$I,CONCATENATE($J5,Z$1,"W"))+COUNTIFS(Database!$F:$I,CONCATENATE(Z$1,$J5,"W"))),"-")</f>
        <v>0.5</v>
      </c>
      <c r="AA5" s="34">
        <f>IFERROR((COUNTIFS(Database!$F:$I,CONCATENATE($J5,AA$1,"W"))+COUNTIFS(Database!$F:$I,CONCATENATE(AA$1,$J5,"W")))/(COUNTIFS(Database!$F:$I,CONCATENATE($J5,AA$1,"L"))+COUNTIFS(Database!$F:$I,CONCATENATE(AA$1,$J5,"L"))+COUNTIFS(Database!$F:$I,CONCATENATE($J5,AA$1,"W"))+COUNTIFS(Database!$F:$I,CONCATENATE(AA$1,$J5,"W"))),"-")</f>
        <v>0</v>
      </c>
      <c r="AB5" s="34">
        <f>IFERROR((COUNTIFS(Database!$F:$I,CONCATENATE($J5,AB$1,"W"))+COUNTIFS(Database!$F:$I,CONCATENATE(AB$1,$J5,"W")))/(COUNTIFS(Database!$F:$I,CONCATENATE($J5,AB$1,"L"))+COUNTIFS(Database!$F:$I,CONCATENATE(AB$1,$J5,"L"))+COUNTIFS(Database!$F:$I,CONCATENATE($J5,AB$1,"W"))+COUNTIFS(Database!$F:$I,CONCATENATE(AB$1,$J5,"W"))),"-")</f>
        <v>0.5</v>
      </c>
      <c r="AC5" s="34" t="str">
        <f>IFERROR((COUNTIFS(Database!$F:$I,CONCATENATE($J5,AC$1,"W"))+COUNTIFS(Database!$F:$I,CONCATENATE(AC$1,$J5,"W")))/(COUNTIFS(Database!$F:$I,CONCATENATE($J5,AC$1,"L"))+COUNTIFS(Database!$F:$I,CONCATENATE(AC$1,$J5,"L"))+COUNTIFS(Database!$F:$I,CONCATENATE($J5,AC$1,"W"))+COUNTIFS(Database!$F:$I,CONCATENATE(AC$1,$J5,"W"))),"-")</f>
        <v>-</v>
      </c>
      <c r="AD5" s="88">
        <f>IFERROR((COUNTIFS(Database!$F:$I,CONCATENATE($J5,AD$1,"W"))+COUNTIFS(Database!$F:$I,CONCATENATE(AD$1,$J5,"W")))/(COUNTIFS(Database!$F:$I,CONCATENATE($J5,AD$1,"L"))+COUNTIFS(Database!$F:$I,CONCATENATE(AD$1,$J5,"L"))+COUNTIFS(Database!$F:$I,CONCATENATE($J5,AD$1,"W"))+COUNTIFS(Database!$F:$I,CONCATENATE(AD$1,$J5,"W"))),"-")</f>
        <v>1</v>
      </c>
    </row>
    <row r="6" spans="1:30" ht="12.75" customHeight="1" x14ac:dyDescent="0.25">
      <c r="A6" s="66" t="s">
        <v>45</v>
      </c>
      <c r="B6" s="67">
        <f>IFERROR(VLOOKUP(A6,Stats!B:F,5,0),0)</f>
        <v>0</v>
      </c>
      <c r="C6" s="67" t="s">
        <v>81</v>
      </c>
      <c r="D6" s="65"/>
      <c r="H6" s="69" t="str">
        <f>VLOOKUP(A6,Stats!B:B,1,0)</f>
        <v>Giovanni</v>
      </c>
      <c r="J6" s="90" t="str">
        <f t="shared" si="0"/>
        <v>Giovanni</v>
      </c>
      <c r="K6" s="98">
        <f>IFERROR((COUNTIFS(Database!$F:$I,CONCATENATE($J6,K$1,"W"))+COUNTIFS(Database!$F:$I,CONCATENATE(K$1,$J6,"W")))/(COUNTIFS(Database!$F:$I,CONCATENATE($J6,K$1,"L"))+COUNTIFS(Database!$F:$I,CONCATENATE(K$1,$J6,"L"))+COUNTIFS(Database!$F:$I,CONCATENATE($J6,K$1,"W"))+COUNTIFS(Database!$F:$I,CONCATENATE(K$1,$J6,"W"))),"-")</f>
        <v>0</v>
      </c>
      <c r="L6" s="34">
        <f>IFERROR((COUNTIFS(Database!$F:$I,CONCATENATE($J6,L$1,"W"))+COUNTIFS(Database!$F:$I,CONCATENATE(L$1,$J6,"W")))/(COUNTIFS(Database!$F:$I,CONCATENATE($J6,L$1,"L"))+COUNTIFS(Database!$F:$I,CONCATENATE(L$1,$J6,"L"))+COUNTIFS(Database!$F:$I,CONCATENATE($J6,L$1,"W"))+COUNTIFS(Database!$F:$I,CONCATENATE(L$1,$J6,"W"))),"-")</f>
        <v>0.25</v>
      </c>
      <c r="M6" s="34">
        <f>IFERROR((COUNTIFS(Database!$F:$I,CONCATENATE($J6,M$1,"W"))+COUNTIFS(Database!$F:$I,CONCATENATE(M$1,$J6,"W")))/(COUNTIFS(Database!$F:$I,CONCATENATE($J6,M$1,"L"))+COUNTIFS(Database!$F:$I,CONCATENATE(M$1,$J6,"L"))+COUNTIFS(Database!$F:$I,CONCATENATE($J6,M$1,"W"))+COUNTIFS(Database!$F:$I,CONCATENATE(M$1,$J6,"W"))),"-")</f>
        <v>0.5</v>
      </c>
      <c r="N6" s="34">
        <f>IFERROR((COUNTIFS(Database!$F:$I,CONCATENATE($J6,N$1,"W"))+COUNTIFS(Database!$F:$I,CONCATENATE(N$1,$J6,"W")))/(COUNTIFS(Database!$F:$I,CONCATENATE($J6,N$1,"L"))+COUNTIFS(Database!$F:$I,CONCATENATE(N$1,$J6,"L"))+COUNTIFS(Database!$F:$I,CONCATENATE($J6,N$1,"W"))+COUNTIFS(Database!$F:$I,CONCATENATE(N$1,$J6,"W"))),"-")</f>
        <v>0.5</v>
      </c>
      <c r="O6" s="94"/>
      <c r="P6" s="34">
        <f>IFERROR((COUNTIFS(Database!$F:$I,CONCATENATE($J6,P$1,"W"))+COUNTIFS(Database!$F:$I,CONCATENATE(P$1,$J6,"W")))/(COUNTIFS(Database!$F:$I,CONCATENATE($J6,P$1,"L"))+COUNTIFS(Database!$F:$I,CONCATENATE(P$1,$J6,"L"))+COUNTIFS(Database!$F:$I,CONCATENATE($J6,P$1,"W"))+COUNTIFS(Database!$F:$I,CONCATENATE(P$1,$J6,"W"))),"-")</f>
        <v>0.5</v>
      </c>
      <c r="Q6" s="34">
        <f>IFERROR((COUNTIFS(Database!$F:$I,CONCATENATE($J6,Q$1,"W"))+COUNTIFS(Database!$F:$I,CONCATENATE(Q$1,$J6,"W")))/(COUNTIFS(Database!$F:$I,CONCATENATE($J6,Q$1,"L"))+COUNTIFS(Database!$F:$I,CONCATENATE(Q$1,$J6,"L"))+COUNTIFS(Database!$F:$I,CONCATENATE($J6,Q$1,"W"))+COUNTIFS(Database!$F:$I,CONCATENATE(Q$1,$J6,"W"))),"-")</f>
        <v>0.44444444444444442</v>
      </c>
      <c r="R6" s="34">
        <f>IFERROR((COUNTIFS(Database!$F:$I,CONCATENATE($J6,R$1,"W"))+COUNTIFS(Database!$F:$I,CONCATENATE(R$1,$J6,"W")))/(COUNTIFS(Database!$F:$I,CONCATENATE($J6,R$1,"L"))+COUNTIFS(Database!$F:$I,CONCATENATE(R$1,$J6,"L"))+COUNTIFS(Database!$F:$I,CONCATENATE($J6,R$1,"W"))+COUNTIFS(Database!$F:$I,CONCATENATE(R$1,$J6,"W"))),"-")</f>
        <v>0.33333333333333331</v>
      </c>
      <c r="S6" s="34">
        <f>IFERROR((COUNTIFS(Database!$F:$I,CONCATENATE($J6,S$1,"W"))+COUNTIFS(Database!$F:$I,CONCATENATE(S$1,$J6,"W")))/(COUNTIFS(Database!$F:$I,CONCATENATE($J6,S$1,"L"))+COUNTIFS(Database!$F:$I,CONCATENATE(S$1,$J6,"L"))+COUNTIFS(Database!$F:$I,CONCATENATE($J6,S$1,"W"))+COUNTIFS(Database!$F:$I,CONCATENATE(S$1,$J6,"W"))),"-")</f>
        <v>0.47058823529411764</v>
      </c>
      <c r="T6" s="34" t="str">
        <f>IFERROR((COUNTIFS(Database!$F:$I,CONCATENATE($J6,T$1,"W"))+COUNTIFS(Database!$F:$I,CONCATENATE(T$1,$J6,"W")))/(COUNTIFS(Database!$F:$I,CONCATENATE($J6,T$1,"L"))+COUNTIFS(Database!$F:$I,CONCATENATE(T$1,$J6,"L"))+COUNTIFS(Database!$F:$I,CONCATENATE($J6,T$1,"W"))+COUNTIFS(Database!$F:$I,CONCATENATE(T$1,$J6,"W"))),"-")</f>
        <v>-</v>
      </c>
      <c r="U6" s="34">
        <f>IFERROR((COUNTIFS(Database!$F:$I,CONCATENATE($J6,U$1,"W"))+COUNTIFS(Database!$F:$I,CONCATENATE(U$1,$J6,"W")))/(COUNTIFS(Database!$F:$I,CONCATENATE($J6,U$1,"L"))+COUNTIFS(Database!$F:$I,CONCATENATE(U$1,$J6,"L"))+COUNTIFS(Database!$F:$I,CONCATENATE($J6,U$1,"W"))+COUNTIFS(Database!$F:$I,CONCATENATE(U$1,$J6,"W"))),"-")</f>
        <v>0.33333333333333331</v>
      </c>
      <c r="V6" s="34">
        <f>IFERROR((COUNTIFS(Database!$F:$I,CONCATENATE($J6,V$1,"W"))+COUNTIFS(Database!$F:$I,CONCATENATE(V$1,$J6,"W")))/(COUNTIFS(Database!$F:$I,CONCATENATE($J6,V$1,"L"))+COUNTIFS(Database!$F:$I,CONCATENATE(V$1,$J6,"L"))+COUNTIFS(Database!$F:$I,CONCATENATE($J6,V$1,"W"))+COUNTIFS(Database!$F:$I,CONCATENATE(V$1,$J6,"W"))),"-")</f>
        <v>0.5</v>
      </c>
      <c r="W6" s="34">
        <f>IFERROR((COUNTIFS(Database!$F:$I,CONCATENATE($J6,W$1,"W"))+COUNTIFS(Database!$F:$I,CONCATENATE(W$1,$J6,"W")))/(COUNTIFS(Database!$F:$I,CONCATENATE($J6,W$1,"L"))+COUNTIFS(Database!$F:$I,CONCATENATE(W$1,$J6,"L"))+COUNTIFS(Database!$F:$I,CONCATENATE($J6,W$1,"W"))+COUNTIFS(Database!$F:$I,CONCATENATE(W$1,$J6,"W"))),"-")</f>
        <v>0</v>
      </c>
      <c r="X6" s="34">
        <f>IFERROR((COUNTIFS(Database!$F:$I,CONCATENATE($J6,X$1,"W"))+COUNTIFS(Database!$F:$I,CONCATENATE(X$1,$J6,"W")))/(COUNTIFS(Database!$F:$I,CONCATENATE($J6,X$1,"L"))+COUNTIFS(Database!$F:$I,CONCATENATE(X$1,$J6,"L"))+COUNTIFS(Database!$F:$I,CONCATENATE($J6,X$1,"W"))+COUNTIFS(Database!$F:$I,CONCATENATE(X$1,$J6,"W"))),"-")</f>
        <v>0.5</v>
      </c>
      <c r="Y6" s="34">
        <f>IFERROR((COUNTIFS(Database!$F:$I,CONCATENATE($J6,Y$1,"W"))+COUNTIFS(Database!$F:$I,CONCATENATE(Y$1,$J6,"W")))/(COUNTIFS(Database!$F:$I,CONCATENATE($J6,Y$1,"L"))+COUNTIFS(Database!$F:$I,CONCATENATE(Y$1,$J6,"L"))+COUNTIFS(Database!$F:$I,CONCATENATE($J6,Y$1,"W"))+COUNTIFS(Database!$F:$I,CONCATENATE(Y$1,$J6,"W"))),"-")</f>
        <v>0</v>
      </c>
      <c r="Z6" s="34" t="str">
        <f>IFERROR((COUNTIFS(Database!$F:$I,CONCATENATE($J6,Z$1,"W"))+COUNTIFS(Database!$F:$I,CONCATENATE(Z$1,$J6,"W")))/(COUNTIFS(Database!$F:$I,CONCATENATE($J6,Z$1,"L"))+COUNTIFS(Database!$F:$I,CONCATENATE(Z$1,$J6,"L"))+COUNTIFS(Database!$F:$I,CONCATENATE($J6,Z$1,"W"))+COUNTIFS(Database!$F:$I,CONCATENATE(Z$1,$J6,"W"))),"-")</f>
        <v>-</v>
      </c>
      <c r="AA6" s="34">
        <f>IFERROR((COUNTIFS(Database!$F:$I,CONCATENATE($J6,AA$1,"W"))+COUNTIFS(Database!$F:$I,CONCATENATE(AA$1,$J6,"W")))/(COUNTIFS(Database!$F:$I,CONCATENATE($J6,AA$1,"L"))+COUNTIFS(Database!$F:$I,CONCATENATE(AA$1,$J6,"L"))+COUNTIFS(Database!$F:$I,CONCATENATE($J6,AA$1,"W"))+COUNTIFS(Database!$F:$I,CONCATENATE(AA$1,$J6,"W"))),"-")</f>
        <v>1</v>
      </c>
      <c r="AB6" s="34">
        <f>IFERROR((COUNTIFS(Database!$F:$I,CONCATENATE($J6,AB$1,"W"))+COUNTIFS(Database!$F:$I,CONCATENATE(AB$1,$J6,"W")))/(COUNTIFS(Database!$F:$I,CONCATENATE($J6,AB$1,"L"))+COUNTIFS(Database!$F:$I,CONCATENATE(AB$1,$J6,"L"))+COUNTIFS(Database!$F:$I,CONCATENATE($J6,AB$1,"W"))+COUNTIFS(Database!$F:$I,CONCATENATE(AB$1,$J6,"W"))),"-")</f>
        <v>1</v>
      </c>
      <c r="AC6" s="34">
        <f>IFERROR((COUNTIFS(Database!$F:$I,CONCATENATE($J6,AC$1,"W"))+COUNTIFS(Database!$F:$I,CONCATENATE(AC$1,$J6,"W")))/(COUNTIFS(Database!$F:$I,CONCATENATE($J6,AC$1,"L"))+COUNTIFS(Database!$F:$I,CONCATENATE(AC$1,$J6,"L"))+COUNTIFS(Database!$F:$I,CONCATENATE($J6,AC$1,"W"))+COUNTIFS(Database!$F:$I,CONCATENATE(AC$1,$J6,"W"))),"-")</f>
        <v>0.5</v>
      </c>
      <c r="AD6" s="88">
        <f>IFERROR((COUNTIFS(Database!$F:$I,CONCATENATE($J6,AD$1,"W"))+COUNTIFS(Database!$F:$I,CONCATENATE(AD$1,$J6,"W")))/(COUNTIFS(Database!$F:$I,CONCATENATE($J6,AD$1,"L"))+COUNTIFS(Database!$F:$I,CONCATENATE(AD$1,$J6,"L"))+COUNTIFS(Database!$F:$I,CONCATENATE($J6,AD$1,"W"))+COUNTIFS(Database!$F:$I,CONCATENATE(AD$1,$J6,"W"))),"-")</f>
        <v>0.42857142857142855</v>
      </c>
    </row>
    <row r="7" spans="1:30" ht="12.75" customHeight="1" x14ac:dyDescent="0.25">
      <c r="A7" s="32" t="s">
        <v>46</v>
      </c>
      <c r="B7" s="52">
        <f>IFERROR(VLOOKUP(A7,Stats!B:F,5,0),0)</f>
        <v>0</v>
      </c>
      <c r="C7" s="52" t="s">
        <v>81</v>
      </c>
      <c r="D7" s="65"/>
      <c r="H7" s="69" t="str">
        <f>VLOOKUP(A7,Stats!B:B,1,0)</f>
        <v>Luca</v>
      </c>
      <c r="J7" s="90" t="str">
        <f t="shared" si="0"/>
        <v>Luca</v>
      </c>
      <c r="K7" s="98">
        <f>IFERROR((COUNTIFS(Database!$F:$I,CONCATENATE($J7,K$1,"W"))+COUNTIFS(Database!$F:$I,CONCATENATE(K$1,$J7,"W")))/(COUNTIFS(Database!$F:$I,CONCATENATE($J7,K$1,"L"))+COUNTIFS(Database!$F:$I,CONCATENATE(K$1,$J7,"L"))+COUNTIFS(Database!$F:$I,CONCATENATE($J7,K$1,"W"))+COUNTIFS(Database!$F:$I,CONCATENATE(K$1,$J7,"W"))),"-")</f>
        <v>0.25</v>
      </c>
      <c r="L7" s="34">
        <f>IFERROR((COUNTIFS(Database!$F:$I,CONCATENATE($J7,L$1,"W"))+COUNTIFS(Database!$F:$I,CONCATENATE(L$1,$J7,"W")))/(COUNTIFS(Database!$F:$I,CONCATENATE($J7,L$1,"L"))+COUNTIFS(Database!$F:$I,CONCATENATE(L$1,$J7,"L"))+COUNTIFS(Database!$F:$I,CONCATENATE($J7,L$1,"W"))+COUNTIFS(Database!$F:$I,CONCATENATE(L$1,$J7,"W"))),"-")</f>
        <v>0.42857142857142855</v>
      </c>
      <c r="M7" s="34">
        <f>IFERROR((COUNTIFS(Database!$F:$I,CONCATENATE($J7,M$1,"W"))+COUNTIFS(Database!$F:$I,CONCATENATE(M$1,$J7,"W")))/(COUNTIFS(Database!$F:$I,CONCATENATE($J7,M$1,"L"))+COUNTIFS(Database!$F:$I,CONCATENATE(M$1,$J7,"L"))+COUNTIFS(Database!$F:$I,CONCATENATE($J7,M$1,"W"))+COUNTIFS(Database!$F:$I,CONCATENATE(M$1,$J7,"W"))),"-")</f>
        <v>0.25</v>
      </c>
      <c r="N7" s="34">
        <f>IFERROR((COUNTIFS(Database!$F:$I,CONCATENATE($J7,N$1,"W"))+COUNTIFS(Database!$F:$I,CONCATENATE(N$1,$J7,"W")))/(COUNTIFS(Database!$F:$I,CONCATENATE($J7,N$1,"L"))+COUNTIFS(Database!$F:$I,CONCATENATE(N$1,$J7,"L"))+COUNTIFS(Database!$F:$I,CONCATENATE($J7,N$1,"W"))+COUNTIFS(Database!$F:$I,CONCATENATE(N$1,$J7,"W"))),"-")</f>
        <v>0.4</v>
      </c>
      <c r="O7" s="34">
        <f>IFERROR((COUNTIFS(Database!$F:$I,CONCATENATE($J7,O$1,"W"))+COUNTIFS(Database!$F:$I,CONCATENATE(O$1,$J7,"W")))/(COUNTIFS(Database!$F:$I,CONCATENATE($J7,O$1,"L"))+COUNTIFS(Database!$F:$I,CONCATENATE(O$1,$J7,"L"))+COUNTIFS(Database!$F:$I,CONCATENATE($J7,O$1,"W"))+COUNTIFS(Database!$F:$I,CONCATENATE(O$1,$J7,"W"))),"-")</f>
        <v>0.5</v>
      </c>
      <c r="P7" s="94"/>
      <c r="Q7" s="34">
        <f>IFERROR((COUNTIFS(Database!$F:$I,CONCATENATE($J7,Q$1,"W"))+COUNTIFS(Database!$F:$I,CONCATENATE(Q$1,$J7,"W")))/(COUNTIFS(Database!$F:$I,CONCATENATE($J7,Q$1,"L"))+COUNTIFS(Database!$F:$I,CONCATENATE(Q$1,$J7,"L"))+COUNTIFS(Database!$F:$I,CONCATENATE($J7,Q$1,"W"))+COUNTIFS(Database!$F:$I,CONCATENATE(Q$1,$J7,"W"))),"-")</f>
        <v>0.2857142857142857</v>
      </c>
      <c r="R7" s="34">
        <f>IFERROR((COUNTIFS(Database!$F:$I,CONCATENATE($J7,R$1,"W"))+COUNTIFS(Database!$F:$I,CONCATENATE(R$1,$J7,"W")))/(COUNTIFS(Database!$F:$I,CONCATENATE($J7,R$1,"L"))+COUNTIFS(Database!$F:$I,CONCATENATE(R$1,$J7,"L"))+COUNTIFS(Database!$F:$I,CONCATENATE($J7,R$1,"W"))+COUNTIFS(Database!$F:$I,CONCATENATE(R$1,$J7,"W"))),"-")</f>
        <v>0</v>
      </c>
      <c r="S7" s="34">
        <f>IFERROR((COUNTIFS(Database!$F:$I,CONCATENATE($J7,S$1,"W"))+COUNTIFS(Database!$F:$I,CONCATENATE(S$1,$J7,"W")))/(COUNTIFS(Database!$F:$I,CONCATENATE($J7,S$1,"L"))+COUNTIFS(Database!$F:$I,CONCATENATE(S$1,$J7,"L"))+COUNTIFS(Database!$F:$I,CONCATENATE($J7,S$1,"W"))+COUNTIFS(Database!$F:$I,CONCATENATE(S$1,$J7,"W"))),"-")</f>
        <v>0.5</v>
      </c>
      <c r="T7" s="34" t="str">
        <f>IFERROR((COUNTIFS(Database!$F:$I,CONCATENATE($J7,T$1,"W"))+COUNTIFS(Database!$F:$I,CONCATENATE(T$1,$J7,"W")))/(COUNTIFS(Database!$F:$I,CONCATENATE($J7,T$1,"L"))+COUNTIFS(Database!$F:$I,CONCATENATE(T$1,$J7,"L"))+COUNTIFS(Database!$F:$I,CONCATENATE($J7,T$1,"W"))+COUNTIFS(Database!$F:$I,CONCATENATE(T$1,$J7,"W"))),"-")</f>
        <v>-</v>
      </c>
      <c r="U7" s="34">
        <f>IFERROR((COUNTIFS(Database!$F:$I,CONCATENATE($J7,U$1,"W"))+COUNTIFS(Database!$F:$I,CONCATENATE(U$1,$J7,"W")))/(COUNTIFS(Database!$F:$I,CONCATENATE($J7,U$1,"L"))+COUNTIFS(Database!$F:$I,CONCATENATE(U$1,$J7,"L"))+COUNTIFS(Database!$F:$I,CONCATENATE($J7,U$1,"W"))+COUNTIFS(Database!$F:$I,CONCATENATE(U$1,$J7,"W"))),"-")</f>
        <v>0</v>
      </c>
      <c r="V7" s="34">
        <f>IFERROR((COUNTIFS(Database!$F:$I,CONCATENATE($J7,V$1,"W"))+COUNTIFS(Database!$F:$I,CONCATENATE(V$1,$J7,"W")))/(COUNTIFS(Database!$F:$I,CONCATENATE($J7,V$1,"L"))+COUNTIFS(Database!$F:$I,CONCATENATE(V$1,$J7,"L"))+COUNTIFS(Database!$F:$I,CONCATENATE($J7,V$1,"W"))+COUNTIFS(Database!$F:$I,CONCATENATE(V$1,$J7,"W"))),"-")</f>
        <v>0.66666666666666663</v>
      </c>
      <c r="W7" s="34">
        <f>IFERROR((COUNTIFS(Database!$F:$I,CONCATENATE($J7,W$1,"W"))+COUNTIFS(Database!$F:$I,CONCATENATE(W$1,$J7,"W")))/(COUNTIFS(Database!$F:$I,CONCATENATE($J7,W$1,"L"))+COUNTIFS(Database!$F:$I,CONCATENATE(W$1,$J7,"L"))+COUNTIFS(Database!$F:$I,CONCATENATE($J7,W$1,"W"))+COUNTIFS(Database!$F:$I,CONCATENATE(W$1,$J7,"W"))),"-")</f>
        <v>0</v>
      </c>
      <c r="X7" s="34">
        <f>IFERROR((COUNTIFS(Database!$F:$I,CONCATENATE($J7,X$1,"W"))+COUNTIFS(Database!$F:$I,CONCATENATE(X$1,$J7,"W")))/(COUNTIFS(Database!$F:$I,CONCATENATE($J7,X$1,"L"))+COUNTIFS(Database!$F:$I,CONCATENATE(X$1,$J7,"L"))+COUNTIFS(Database!$F:$I,CONCATENATE($J7,X$1,"W"))+COUNTIFS(Database!$F:$I,CONCATENATE(X$1,$J7,"W"))),"-")</f>
        <v>0.375</v>
      </c>
      <c r="Y7" s="34" t="str">
        <f>IFERROR((COUNTIFS(Database!$F:$I,CONCATENATE($J7,Y$1,"W"))+COUNTIFS(Database!$F:$I,CONCATENATE(Y$1,$J7,"W")))/(COUNTIFS(Database!$F:$I,CONCATENATE($J7,Y$1,"L"))+COUNTIFS(Database!$F:$I,CONCATENATE(Y$1,$J7,"L"))+COUNTIFS(Database!$F:$I,CONCATENATE($J7,Y$1,"W"))+COUNTIFS(Database!$F:$I,CONCATENATE(Y$1,$J7,"W"))),"-")</f>
        <v>-</v>
      </c>
      <c r="Z7" s="34">
        <f>IFERROR((COUNTIFS(Database!$F:$I,CONCATENATE($J7,Z$1,"W"))+COUNTIFS(Database!$F:$I,CONCATENATE(Z$1,$J7,"W")))/(COUNTIFS(Database!$F:$I,CONCATENATE($J7,Z$1,"L"))+COUNTIFS(Database!$F:$I,CONCATENATE(Z$1,$J7,"L"))+COUNTIFS(Database!$F:$I,CONCATENATE($J7,Z$1,"W"))+COUNTIFS(Database!$F:$I,CONCATENATE(Z$1,$J7,"W"))),"-")</f>
        <v>0.5</v>
      </c>
      <c r="AA7" s="34">
        <f>IFERROR((COUNTIFS(Database!$F:$I,CONCATENATE($J7,AA$1,"W"))+COUNTIFS(Database!$F:$I,CONCATENATE(AA$1,$J7,"W")))/(COUNTIFS(Database!$F:$I,CONCATENATE($J7,AA$1,"L"))+COUNTIFS(Database!$F:$I,CONCATENATE(AA$1,$J7,"L"))+COUNTIFS(Database!$F:$I,CONCATENATE($J7,AA$1,"W"))+COUNTIFS(Database!$F:$I,CONCATENATE(AA$1,$J7,"W"))),"-")</f>
        <v>0.5</v>
      </c>
      <c r="AB7" s="34">
        <f>IFERROR((COUNTIFS(Database!$F:$I,CONCATENATE($J7,AB$1,"W"))+COUNTIFS(Database!$F:$I,CONCATENATE(AB$1,$J7,"W")))/(COUNTIFS(Database!$F:$I,CONCATENATE($J7,AB$1,"L"))+COUNTIFS(Database!$F:$I,CONCATENATE(AB$1,$J7,"L"))+COUNTIFS(Database!$F:$I,CONCATENATE($J7,AB$1,"W"))+COUNTIFS(Database!$F:$I,CONCATENATE(AB$1,$J7,"W"))),"-")</f>
        <v>0.66666666666666663</v>
      </c>
      <c r="AC7" s="34">
        <f>IFERROR((COUNTIFS(Database!$F:$I,CONCATENATE($J7,AC$1,"W"))+COUNTIFS(Database!$F:$I,CONCATENATE(AC$1,$J7,"W")))/(COUNTIFS(Database!$F:$I,CONCATENATE($J7,AC$1,"L"))+COUNTIFS(Database!$F:$I,CONCATENATE(AC$1,$J7,"L"))+COUNTIFS(Database!$F:$I,CONCATENATE($J7,AC$1,"W"))+COUNTIFS(Database!$F:$I,CONCATENATE(AC$1,$J7,"W"))),"-")</f>
        <v>0.25</v>
      </c>
      <c r="AD7" s="88">
        <f>IFERROR((COUNTIFS(Database!$F:$I,CONCATENATE($J7,AD$1,"W"))+COUNTIFS(Database!$F:$I,CONCATENATE(AD$1,$J7,"W")))/(COUNTIFS(Database!$F:$I,CONCATENATE($J7,AD$1,"L"))+COUNTIFS(Database!$F:$I,CONCATENATE(AD$1,$J7,"L"))+COUNTIFS(Database!$F:$I,CONCATENATE($J7,AD$1,"W"))+COUNTIFS(Database!$F:$I,CONCATENATE(AD$1,$J7,"W"))),"-")</f>
        <v>0.66666666666666663</v>
      </c>
    </row>
    <row r="8" spans="1:30" ht="12.75" customHeight="1" x14ac:dyDescent="0.25">
      <c r="A8" s="32" t="s">
        <v>44</v>
      </c>
      <c r="B8" s="52">
        <f>IFERROR(VLOOKUP(A8,Stats!B:F,5,0),0)</f>
        <v>0</v>
      </c>
      <c r="C8" s="52" t="s">
        <v>81</v>
      </c>
      <c r="D8" s="65"/>
      <c r="H8" s="69" t="str">
        <f>VLOOKUP(A8,Stats!B:B,1,0)</f>
        <v>Sizwe</v>
      </c>
      <c r="J8" s="90" t="str">
        <f t="shared" si="0"/>
        <v>Sizwe</v>
      </c>
      <c r="K8" s="98">
        <f>IFERROR((COUNTIFS(Database!$F:$I,CONCATENATE($J8,K$1,"W"))+COUNTIFS(Database!$F:$I,CONCATENATE(K$1,$J8,"W")))/(COUNTIFS(Database!$F:$I,CONCATENATE($J8,K$1,"L"))+COUNTIFS(Database!$F:$I,CONCATENATE(K$1,$J8,"L"))+COUNTIFS(Database!$F:$I,CONCATENATE($J8,K$1,"W"))+COUNTIFS(Database!$F:$I,CONCATENATE(K$1,$J8,"W"))),"-")</f>
        <v>0.75</v>
      </c>
      <c r="L8" s="34">
        <f>IFERROR((COUNTIFS(Database!$F:$I,CONCATENATE($J8,L$1,"W"))+COUNTIFS(Database!$F:$I,CONCATENATE(L$1,$J8,"W")))/(COUNTIFS(Database!$F:$I,CONCATENATE($J8,L$1,"L"))+COUNTIFS(Database!$F:$I,CONCATENATE(L$1,$J8,"L"))+COUNTIFS(Database!$F:$I,CONCATENATE($J8,L$1,"W"))+COUNTIFS(Database!$F:$I,CONCATENATE(L$1,$J8,"W"))),"-")</f>
        <v>0.33333333333333331</v>
      </c>
      <c r="M8" s="34">
        <f>IFERROR((COUNTIFS(Database!$F:$I,CONCATENATE($J8,M$1,"W"))+COUNTIFS(Database!$F:$I,CONCATENATE(M$1,$J8,"W")))/(COUNTIFS(Database!$F:$I,CONCATENATE($J8,M$1,"L"))+COUNTIFS(Database!$F:$I,CONCATENATE(M$1,$J8,"L"))+COUNTIFS(Database!$F:$I,CONCATENATE($J8,M$1,"W"))+COUNTIFS(Database!$F:$I,CONCATENATE(M$1,$J8,"W"))),"-")</f>
        <v>0.33333333333333331</v>
      </c>
      <c r="N8" s="34" t="str">
        <f>IFERROR((COUNTIFS(Database!$F:$I,CONCATENATE($J8,N$1,"W"))+COUNTIFS(Database!$F:$I,CONCATENATE(N$1,$J8,"W")))/(COUNTIFS(Database!$F:$I,CONCATENATE($J8,N$1,"L"))+COUNTIFS(Database!$F:$I,CONCATENATE(N$1,$J8,"L"))+COUNTIFS(Database!$F:$I,CONCATENATE($J8,N$1,"W"))+COUNTIFS(Database!$F:$I,CONCATENATE(N$1,$J8,"W"))),"-")</f>
        <v>-</v>
      </c>
      <c r="O8" s="34">
        <f>IFERROR((COUNTIFS(Database!$F:$I,CONCATENATE($J8,O$1,"W"))+COUNTIFS(Database!$F:$I,CONCATENATE(O$1,$J8,"W")))/(COUNTIFS(Database!$F:$I,CONCATENATE($J8,O$1,"L"))+COUNTIFS(Database!$F:$I,CONCATENATE(O$1,$J8,"L"))+COUNTIFS(Database!$F:$I,CONCATENATE($J8,O$1,"W"))+COUNTIFS(Database!$F:$I,CONCATENATE(O$1,$J8,"W"))),"-")</f>
        <v>0.44444444444444442</v>
      </c>
      <c r="P8" s="34">
        <f>IFERROR((COUNTIFS(Database!$F:$I,CONCATENATE($J8,P$1,"W"))+COUNTIFS(Database!$F:$I,CONCATENATE(P$1,$J8,"W")))/(COUNTIFS(Database!$F:$I,CONCATENATE($J8,P$1,"L"))+COUNTIFS(Database!$F:$I,CONCATENATE(P$1,$J8,"L"))+COUNTIFS(Database!$F:$I,CONCATENATE($J8,P$1,"W"))+COUNTIFS(Database!$F:$I,CONCATENATE(P$1,$J8,"W"))),"-")</f>
        <v>0.2857142857142857</v>
      </c>
      <c r="Q8" s="94"/>
      <c r="R8" s="34" t="str">
        <f>IFERROR((COUNTIFS(Database!$F:$I,CONCATENATE($J8,R$1,"W"))+COUNTIFS(Database!$F:$I,CONCATENATE(R$1,$J8,"W")))/(COUNTIFS(Database!$F:$I,CONCATENATE($J8,R$1,"L"))+COUNTIFS(Database!$F:$I,CONCATENATE(R$1,$J8,"L"))+COUNTIFS(Database!$F:$I,CONCATENATE($J8,R$1,"W"))+COUNTIFS(Database!$F:$I,CONCATENATE(R$1,$J8,"W"))),"-")</f>
        <v>-</v>
      </c>
      <c r="S8" s="34">
        <f>IFERROR((COUNTIFS(Database!$F:$I,CONCATENATE($J8,S$1,"W"))+COUNTIFS(Database!$F:$I,CONCATENATE(S$1,$J8,"W")))/(COUNTIFS(Database!$F:$I,CONCATENATE($J8,S$1,"L"))+COUNTIFS(Database!$F:$I,CONCATENATE(S$1,$J8,"L"))+COUNTIFS(Database!$F:$I,CONCATENATE($J8,S$1,"W"))+COUNTIFS(Database!$F:$I,CONCATENATE(S$1,$J8,"W"))),"-")</f>
        <v>0.45454545454545453</v>
      </c>
      <c r="T8" s="34">
        <f>IFERROR((COUNTIFS(Database!$F:$I,CONCATENATE($J8,T$1,"W"))+COUNTIFS(Database!$F:$I,CONCATENATE(T$1,$J8,"W")))/(COUNTIFS(Database!$F:$I,CONCATENATE($J8,T$1,"L"))+COUNTIFS(Database!$F:$I,CONCATENATE(T$1,$J8,"L"))+COUNTIFS(Database!$F:$I,CONCATENATE($J8,T$1,"W"))+COUNTIFS(Database!$F:$I,CONCATENATE(T$1,$J8,"W"))),"-")</f>
        <v>0</v>
      </c>
      <c r="U8" s="34">
        <f>IFERROR((COUNTIFS(Database!$F:$I,CONCATENATE($J8,U$1,"W"))+COUNTIFS(Database!$F:$I,CONCATENATE(U$1,$J8,"W")))/(COUNTIFS(Database!$F:$I,CONCATENATE($J8,U$1,"L"))+COUNTIFS(Database!$F:$I,CONCATENATE(U$1,$J8,"L"))+COUNTIFS(Database!$F:$I,CONCATENATE($J8,U$1,"W"))+COUNTIFS(Database!$F:$I,CONCATENATE(U$1,$J8,"W"))),"-")</f>
        <v>0.5</v>
      </c>
      <c r="V8" s="34">
        <f>IFERROR((COUNTIFS(Database!$F:$I,CONCATENATE($J8,V$1,"W"))+COUNTIFS(Database!$F:$I,CONCATENATE(V$1,$J8,"W")))/(COUNTIFS(Database!$F:$I,CONCATENATE($J8,V$1,"L"))+COUNTIFS(Database!$F:$I,CONCATENATE(V$1,$J8,"L"))+COUNTIFS(Database!$F:$I,CONCATENATE($J8,V$1,"W"))+COUNTIFS(Database!$F:$I,CONCATENATE(V$1,$J8,"W"))),"-")</f>
        <v>0.5</v>
      </c>
      <c r="W8" s="34" t="str">
        <f>IFERROR((COUNTIFS(Database!$F:$I,CONCATENATE($J8,W$1,"W"))+COUNTIFS(Database!$F:$I,CONCATENATE(W$1,$J8,"W")))/(COUNTIFS(Database!$F:$I,CONCATENATE($J8,W$1,"L"))+COUNTIFS(Database!$F:$I,CONCATENATE(W$1,$J8,"L"))+COUNTIFS(Database!$F:$I,CONCATENATE($J8,W$1,"W"))+COUNTIFS(Database!$F:$I,CONCATENATE(W$1,$J8,"W"))),"-")</f>
        <v>-</v>
      </c>
      <c r="X8" s="34">
        <f>IFERROR((COUNTIFS(Database!$F:$I,CONCATENATE($J8,X$1,"W"))+COUNTIFS(Database!$F:$I,CONCATENATE(X$1,$J8,"W")))/(COUNTIFS(Database!$F:$I,CONCATENATE($J8,X$1,"L"))+COUNTIFS(Database!$F:$I,CONCATENATE(X$1,$J8,"L"))+COUNTIFS(Database!$F:$I,CONCATENATE($J8,X$1,"W"))+COUNTIFS(Database!$F:$I,CONCATENATE(X$1,$J8,"W"))),"-")</f>
        <v>0.16666666666666666</v>
      </c>
      <c r="Y8" s="34" t="str">
        <f>IFERROR((COUNTIFS(Database!$F:$I,CONCATENATE($J8,Y$1,"W"))+COUNTIFS(Database!$F:$I,CONCATENATE(Y$1,$J8,"W")))/(COUNTIFS(Database!$F:$I,CONCATENATE($J8,Y$1,"L"))+COUNTIFS(Database!$F:$I,CONCATENATE(Y$1,$J8,"L"))+COUNTIFS(Database!$F:$I,CONCATENATE($J8,Y$1,"W"))+COUNTIFS(Database!$F:$I,CONCATENATE(Y$1,$J8,"W"))),"-")</f>
        <v>-</v>
      </c>
      <c r="Z8" s="34">
        <f>IFERROR((COUNTIFS(Database!$F:$I,CONCATENATE($J8,Z$1,"W"))+COUNTIFS(Database!$F:$I,CONCATENATE(Z$1,$J8,"W")))/(COUNTIFS(Database!$F:$I,CONCATENATE($J8,Z$1,"L"))+COUNTIFS(Database!$F:$I,CONCATENATE(Z$1,$J8,"L"))+COUNTIFS(Database!$F:$I,CONCATENATE($J8,Z$1,"W"))+COUNTIFS(Database!$F:$I,CONCATENATE(Z$1,$J8,"W"))),"-")</f>
        <v>0</v>
      </c>
      <c r="AA8" s="34">
        <f>IFERROR((COUNTIFS(Database!$F:$I,CONCATENATE($J8,AA$1,"W"))+COUNTIFS(Database!$F:$I,CONCATENATE(AA$1,$J8,"W")))/(COUNTIFS(Database!$F:$I,CONCATENATE($J8,AA$1,"L"))+COUNTIFS(Database!$F:$I,CONCATENATE(AA$1,$J8,"L"))+COUNTIFS(Database!$F:$I,CONCATENATE($J8,AA$1,"W"))+COUNTIFS(Database!$F:$I,CONCATENATE(AA$1,$J8,"W"))),"-")</f>
        <v>0.25</v>
      </c>
      <c r="AB8" s="34">
        <f>IFERROR((COUNTIFS(Database!$F:$I,CONCATENATE($J8,AB$1,"W"))+COUNTIFS(Database!$F:$I,CONCATENATE(AB$1,$J8,"W")))/(COUNTIFS(Database!$F:$I,CONCATENATE($J8,AB$1,"L"))+COUNTIFS(Database!$F:$I,CONCATENATE(AB$1,$J8,"L"))+COUNTIFS(Database!$F:$I,CONCATENATE($J8,AB$1,"W"))+COUNTIFS(Database!$F:$I,CONCATENATE(AB$1,$J8,"W"))),"-")</f>
        <v>0.75</v>
      </c>
      <c r="AC8" s="34">
        <f>IFERROR((COUNTIFS(Database!$F:$I,CONCATENATE($J8,AC$1,"W"))+COUNTIFS(Database!$F:$I,CONCATENATE(AC$1,$J8,"W")))/(COUNTIFS(Database!$F:$I,CONCATENATE($J8,AC$1,"L"))+COUNTIFS(Database!$F:$I,CONCATENATE(AC$1,$J8,"L"))+COUNTIFS(Database!$F:$I,CONCATENATE($J8,AC$1,"W"))+COUNTIFS(Database!$F:$I,CONCATENATE(AC$1,$J8,"W"))),"-")</f>
        <v>0.4</v>
      </c>
      <c r="AD8" s="88">
        <f>IFERROR((COUNTIFS(Database!$F:$I,CONCATENATE($J8,AD$1,"W"))+COUNTIFS(Database!$F:$I,CONCATENATE(AD$1,$J8,"W")))/(COUNTIFS(Database!$F:$I,CONCATENATE($J8,AD$1,"L"))+COUNTIFS(Database!$F:$I,CONCATENATE(AD$1,$J8,"L"))+COUNTIFS(Database!$F:$I,CONCATENATE($J8,AD$1,"W"))+COUNTIFS(Database!$F:$I,CONCATENATE(AD$1,$J8,"W"))),"-")</f>
        <v>0.75</v>
      </c>
    </row>
    <row r="9" spans="1:30" ht="12.75" customHeight="1" x14ac:dyDescent="0.25">
      <c r="A9" s="32" t="s">
        <v>24</v>
      </c>
      <c r="B9" s="52">
        <f>IFERROR(VLOOKUP(A9,Stats!B:F,5,0),0)</f>
        <v>0</v>
      </c>
      <c r="C9" s="52" t="s">
        <v>81</v>
      </c>
      <c r="D9" s="65"/>
      <c r="H9" s="69" t="str">
        <f>VLOOKUP(A9,Stats!B:B,1,0)</f>
        <v>Thijs</v>
      </c>
      <c r="J9" s="90" t="str">
        <f t="shared" si="0"/>
        <v>Thijs</v>
      </c>
      <c r="K9" s="98" t="str">
        <f>IFERROR((COUNTIFS(Database!$F:$I,CONCATENATE($J9,K$1,"W"))+COUNTIFS(Database!$F:$I,CONCATENATE(K$1,$J9,"W")))/(COUNTIFS(Database!$F:$I,CONCATENATE($J9,K$1,"L"))+COUNTIFS(Database!$F:$I,CONCATENATE(K$1,$J9,"L"))+COUNTIFS(Database!$F:$I,CONCATENATE($J9,K$1,"W"))+COUNTIFS(Database!$F:$I,CONCATENATE(K$1,$J9,"W"))),"-")</f>
        <v>-</v>
      </c>
      <c r="L9" s="34">
        <f>IFERROR((COUNTIFS(Database!$F:$I,CONCATENATE($J9,L$1,"W"))+COUNTIFS(Database!$F:$I,CONCATENATE(L$1,$J9,"W")))/(COUNTIFS(Database!$F:$I,CONCATENATE($J9,L$1,"L"))+COUNTIFS(Database!$F:$I,CONCATENATE(L$1,$J9,"L"))+COUNTIFS(Database!$F:$I,CONCATENATE($J9,L$1,"W"))+COUNTIFS(Database!$F:$I,CONCATENATE(L$1,$J9,"W"))),"-")</f>
        <v>0.33333333333333331</v>
      </c>
      <c r="M9" s="34">
        <f>IFERROR((COUNTIFS(Database!$F:$I,CONCATENATE($J9,M$1,"W"))+COUNTIFS(Database!$F:$I,CONCATENATE(M$1,$J9,"W")))/(COUNTIFS(Database!$F:$I,CONCATENATE($J9,M$1,"L"))+COUNTIFS(Database!$F:$I,CONCATENATE(M$1,$J9,"L"))+COUNTIFS(Database!$F:$I,CONCATENATE($J9,M$1,"W"))+COUNTIFS(Database!$F:$I,CONCATENATE(M$1,$J9,"W"))),"-")</f>
        <v>0</v>
      </c>
      <c r="N9" s="34" t="str">
        <f>IFERROR((COUNTIFS(Database!$F:$I,CONCATENATE($J9,N$1,"W"))+COUNTIFS(Database!$F:$I,CONCATENATE(N$1,$J9,"W")))/(COUNTIFS(Database!$F:$I,CONCATENATE($J9,N$1,"L"))+COUNTIFS(Database!$F:$I,CONCATENATE(N$1,$J9,"L"))+COUNTIFS(Database!$F:$I,CONCATENATE($J9,N$1,"W"))+COUNTIFS(Database!$F:$I,CONCATENATE(N$1,$J9,"W"))),"-")</f>
        <v>-</v>
      </c>
      <c r="O9" s="34">
        <f>IFERROR((COUNTIFS(Database!$F:$I,CONCATENATE($J9,O$1,"W"))+COUNTIFS(Database!$F:$I,CONCATENATE(O$1,$J9,"W")))/(COUNTIFS(Database!$F:$I,CONCATENATE($J9,O$1,"L"))+COUNTIFS(Database!$F:$I,CONCATENATE(O$1,$J9,"L"))+COUNTIFS(Database!$F:$I,CONCATENATE($J9,O$1,"W"))+COUNTIFS(Database!$F:$I,CONCATENATE(O$1,$J9,"W"))),"-")</f>
        <v>0.33333333333333331</v>
      </c>
      <c r="P9" s="34">
        <f>IFERROR((COUNTIFS(Database!$F:$I,CONCATENATE($J9,P$1,"W"))+COUNTIFS(Database!$F:$I,CONCATENATE(P$1,$J9,"W")))/(COUNTIFS(Database!$F:$I,CONCATENATE($J9,P$1,"L"))+COUNTIFS(Database!$F:$I,CONCATENATE(P$1,$J9,"L"))+COUNTIFS(Database!$F:$I,CONCATENATE($J9,P$1,"W"))+COUNTIFS(Database!$F:$I,CONCATENATE(P$1,$J9,"W"))),"-")</f>
        <v>0</v>
      </c>
      <c r="Q9" s="34" t="str">
        <f>IFERROR((COUNTIFS(Database!$F:$I,CONCATENATE($J9,Q$1,"W"))+COUNTIFS(Database!$F:$I,CONCATENATE(Q$1,$J9,"W")))/(COUNTIFS(Database!$F:$I,CONCATENATE($J9,Q$1,"L"))+COUNTIFS(Database!$F:$I,CONCATENATE(Q$1,$J9,"L"))+COUNTIFS(Database!$F:$I,CONCATENATE($J9,Q$1,"W"))+COUNTIFS(Database!$F:$I,CONCATENATE(Q$1,$J9,"W"))),"-")</f>
        <v>-</v>
      </c>
      <c r="R9" s="94"/>
      <c r="S9" s="34">
        <f>IFERROR((COUNTIFS(Database!$F:$I,CONCATENATE($J9,S$1,"W"))+COUNTIFS(Database!$F:$I,CONCATENATE(S$1,$J9,"W")))/(COUNTIFS(Database!$F:$I,CONCATENATE($J9,S$1,"L"))+COUNTIFS(Database!$F:$I,CONCATENATE(S$1,$J9,"L"))+COUNTIFS(Database!$F:$I,CONCATENATE($J9,S$1,"W"))+COUNTIFS(Database!$F:$I,CONCATENATE(S$1,$J9,"W"))),"-")</f>
        <v>0</v>
      </c>
      <c r="T9" s="34">
        <f>IFERROR((COUNTIFS(Database!$F:$I,CONCATENATE($J9,T$1,"W"))+COUNTIFS(Database!$F:$I,CONCATENATE(T$1,$J9,"W")))/(COUNTIFS(Database!$F:$I,CONCATENATE($J9,T$1,"L"))+COUNTIFS(Database!$F:$I,CONCATENATE(T$1,$J9,"L"))+COUNTIFS(Database!$F:$I,CONCATENATE($J9,T$1,"W"))+COUNTIFS(Database!$F:$I,CONCATENATE(T$1,$J9,"W"))),"-")</f>
        <v>0.5</v>
      </c>
      <c r="U9" s="34" t="str">
        <f>IFERROR((COUNTIFS(Database!$F:$I,CONCATENATE($J9,U$1,"W"))+COUNTIFS(Database!$F:$I,CONCATENATE(U$1,$J9,"W")))/(COUNTIFS(Database!$F:$I,CONCATENATE($J9,U$1,"L"))+COUNTIFS(Database!$F:$I,CONCATENATE(U$1,$J9,"L"))+COUNTIFS(Database!$F:$I,CONCATENATE($J9,U$1,"W"))+COUNTIFS(Database!$F:$I,CONCATENATE(U$1,$J9,"W"))),"-")</f>
        <v>-</v>
      </c>
      <c r="V9" s="34" t="str">
        <f>IFERROR((COUNTIFS(Database!$F:$I,CONCATENATE($J9,V$1,"W"))+COUNTIFS(Database!$F:$I,CONCATENATE(V$1,$J9,"W")))/(COUNTIFS(Database!$F:$I,CONCATENATE($J9,V$1,"L"))+COUNTIFS(Database!$F:$I,CONCATENATE(V$1,$J9,"L"))+COUNTIFS(Database!$F:$I,CONCATENATE($J9,V$1,"W"))+COUNTIFS(Database!$F:$I,CONCATENATE(V$1,$J9,"W"))),"-")</f>
        <v>-</v>
      </c>
      <c r="W9" s="34" t="str">
        <f>IFERROR((COUNTIFS(Database!$F:$I,CONCATENATE($J9,W$1,"W"))+COUNTIFS(Database!$F:$I,CONCATENATE(W$1,$J9,"W")))/(COUNTIFS(Database!$F:$I,CONCATENATE($J9,W$1,"L"))+COUNTIFS(Database!$F:$I,CONCATENATE(W$1,$J9,"L"))+COUNTIFS(Database!$F:$I,CONCATENATE($J9,W$1,"W"))+COUNTIFS(Database!$F:$I,CONCATENATE(W$1,$J9,"W"))),"-")</f>
        <v>-</v>
      </c>
      <c r="X9" s="34">
        <f>IFERROR((COUNTIFS(Database!$F:$I,CONCATENATE($J9,X$1,"W"))+COUNTIFS(Database!$F:$I,CONCATENATE(X$1,$J9,"W")))/(COUNTIFS(Database!$F:$I,CONCATENATE($J9,X$1,"L"))+COUNTIFS(Database!$F:$I,CONCATENATE(X$1,$J9,"L"))+COUNTIFS(Database!$F:$I,CONCATENATE($J9,X$1,"W"))+COUNTIFS(Database!$F:$I,CONCATENATE(X$1,$J9,"W"))),"-")</f>
        <v>1</v>
      </c>
      <c r="Y9" s="34">
        <f>IFERROR((COUNTIFS(Database!$F:$I,CONCATENATE($J9,Y$1,"W"))+COUNTIFS(Database!$F:$I,CONCATENATE(Y$1,$J9,"W")))/(COUNTIFS(Database!$F:$I,CONCATENATE($J9,Y$1,"L"))+COUNTIFS(Database!$F:$I,CONCATENATE(Y$1,$J9,"L"))+COUNTIFS(Database!$F:$I,CONCATENATE($J9,Y$1,"W"))+COUNTIFS(Database!$F:$I,CONCATENATE(Y$1,$J9,"W"))),"-")</f>
        <v>0</v>
      </c>
      <c r="Z9" s="34" t="str">
        <f>IFERROR((COUNTIFS(Database!$F:$I,CONCATENATE($J9,Z$1,"W"))+COUNTIFS(Database!$F:$I,CONCATENATE(Z$1,$J9,"W")))/(COUNTIFS(Database!$F:$I,CONCATENATE($J9,Z$1,"L"))+COUNTIFS(Database!$F:$I,CONCATENATE(Z$1,$J9,"L"))+COUNTIFS(Database!$F:$I,CONCATENATE($J9,Z$1,"W"))+COUNTIFS(Database!$F:$I,CONCATENATE(Z$1,$J9,"W"))),"-")</f>
        <v>-</v>
      </c>
      <c r="AA9" s="34">
        <f>IFERROR((COUNTIFS(Database!$F:$I,CONCATENATE($J9,AA$1,"W"))+COUNTIFS(Database!$F:$I,CONCATENATE(AA$1,$J9,"W")))/(COUNTIFS(Database!$F:$I,CONCATENATE($J9,AA$1,"L"))+COUNTIFS(Database!$F:$I,CONCATENATE(AA$1,$J9,"L"))+COUNTIFS(Database!$F:$I,CONCATENATE($J9,AA$1,"W"))+COUNTIFS(Database!$F:$I,CONCATENATE(AA$1,$J9,"W"))),"-")</f>
        <v>0.5</v>
      </c>
      <c r="AB9" s="34" t="str">
        <f>IFERROR((COUNTIFS(Database!$F:$I,CONCATENATE($J9,AB$1,"W"))+COUNTIFS(Database!$F:$I,CONCATENATE(AB$1,$J9,"W")))/(COUNTIFS(Database!$F:$I,CONCATENATE($J9,AB$1,"L"))+COUNTIFS(Database!$F:$I,CONCATENATE(AB$1,$J9,"L"))+COUNTIFS(Database!$F:$I,CONCATENATE($J9,AB$1,"W"))+COUNTIFS(Database!$F:$I,CONCATENATE(AB$1,$J9,"W"))),"-")</f>
        <v>-</v>
      </c>
      <c r="AC9" s="34">
        <f>IFERROR((COUNTIFS(Database!$F:$I,CONCATENATE($J9,AC$1,"W"))+COUNTIFS(Database!$F:$I,CONCATENATE(AC$1,$J9,"W")))/(COUNTIFS(Database!$F:$I,CONCATENATE($J9,AC$1,"L"))+COUNTIFS(Database!$F:$I,CONCATENATE(AC$1,$J9,"L"))+COUNTIFS(Database!$F:$I,CONCATENATE($J9,AC$1,"W"))+COUNTIFS(Database!$F:$I,CONCATENATE(AC$1,$J9,"W"))),"-")</f>
        <v>1</v>
      </c>
      <c r="AD9" s="88">
        <f>IFERROR((COUNTIFS(Database!$F:$I,CONCATENATE($J9,AD$1,"W"))+COUNTIFS(Database!$F:$I,CONCATENATE(AD$1,$J9,"W")))/(COUNTIFS(Database!$F:$I,CONCATENATE($J9,AD$1,"L"))+COUNTIFS(Database!$F:$I,CONCATENATE(AD$1,$J9,"L"))+COUNTIFS(Database!$F:$I,CONCATENATE($J9,AD$1,"W"))+COUNTIFS(Database!$F:$I,CONCATENATE(AD$1,$J9,"W"))),"-")</f>
        <v>0</v>
      </c>
    </row>
    <row r="10" spans="1:30" ht="12.75" customHeight="1" x14ac:dyDescent="0.25">
      <c r="A10" s="32" t="s">
        <v>53</v>
      </c>
      <c r="B10" s="52">
        <f>IFERROR(VLOOKUP(A10,Stats!B:F,5,0),0)</f>
        <v>2</v>
      </c>
      <c r="C10" s="52" t="s">
        <v>81</v>
      </c>
      <c r="D10" s="65"/>
      <c r="H10" s="69" t="str">
        <f>VLOOKUP(A10,Stats!B:B,1,0)</f>
        <v>Adam</v>
      </c>
      <c r="J10" s="90" t="str">
        <f t="shared" si="0"/>
        <v>Adam</v>
      </c>
      <c r="K10" s="98">
        <f>IFERROR((COUNTIFS(Database!$F:$I,CONCATENATE($J10,K$1,"W"))+COUNTIFS(Database!$F:$I,CONCATENATE(K$1,$J10,"W")))/(COUNTIFS(Database!$F:$I,CONCATENATE($J10,K$1,"L"))+COUNTIFS(Database!$F:$I,CONCATENATE(K$1,$J10,"L"))+COUNTIFS(Database!$F:$I,CONCATENATE($J10,K$1,"W"))+COUNTIFS(Database!$F:$I,CONCATENATE(K$1,$J10,"W"))),"-")</f>
        <v>0.25</v>
      </c>
      <c r="L10" s="34">
        <f>IFERROR((COUNTIFS(Database!$F:$I,CONCATENATE($J10,L$1,"W"))+COUNTIFS(Database!$F:$I,CONCATENATE(L$1,$J10,"W")))/(COUNTIFS(Database!$F:$I,CONCATENATE($J10,L$1,"L"))+COUNTIFS(Database!$F:$I,CONCATENATE(L$1,$J10,"L"))+COUNTIFS(Database!$F:$I,CONCATENATE($J10,L$1,"W"))+COUNTIFS(Database!$F:$I,CONCATENATE(L$1,$J10,"W"))),"-")</f>
        <v>0.8</v>
      </c>
      <c r="M10" s="34">
        <f>IFERROR((COUNTIFS(Database!$F:$I,CONCATENATE($J10,M$1,"W"))+COUNTIFS(Database!$F:$I,CONCATENATE(M$1,$J10,"W")))/(COUNTIFS(Database!$F:$I,CONCATENATE($J10,M$1,"L"))+COUNTIFS(Database!$F:$I,CONCATENATE(M$1,$J10,"L"))+COUNTIFS(Database!$F:$I,CONCATENATE($J10,M$1,"W"))+COUNTIFS(Database!$F:$I,CONCATENATE(M$1,$J10,"W"))),"-")</f>
        <v>0.33333333333333331</v>
      </c>
      <c r="N10" s="34">
        <f>IFERROR((COUNTIFS(Database!$F:$I,CONCATENATE($J10,N$1,"W"))+COUNTIFS(Database!$F:$I,CONCATENATE(N$1,$J10,"W")))/(COUNTIFS(Database!$F:$I,CONCATENATE($J10,N$1,"L"))+COUNTIFS(Database!$F:$I,CONCATENATE(N$1,$J10,"L"))+COUNTIFS(Database!$F:$I,CONCATENATE($J10,N$1,"W"))+COUNTIFS(Database!$F:$I,CONCATENATE(N$1,$J10,"W"))),"-")</f>
        <v>1</v>
      </c>
      <c r="O10" s="34">
        <f>IFERROR((COUNTIFS(Database!$F:$I,CONCATENATE($J10,O$1,"W"))+COUNTIFS(Database!$F:$I,CONCATENATE(O$1,$J10,"W")))/(COUNTIFS(Database!$F:$I,CONCATENATE($J10,O$1,"L"))+COUNTIFS(Database!$F:$I,CONCATENATE(O$1,$J10,"L"))+COUNTIFS(Database!$F:$I,CONCATENATE($J10,O$1,"W"))+COUNTIFS(Database!$F:$I,CONCATENATE(O$1,$J10,"W"))),"-")</f>
        <v>0.47058823529411764</v>
      </c>
      <c r="P10" s="34">
        <f>IFERROR((COUNTIFS(Database!$F:$I,CONCATENATE($J10,P$1,"W"))+COUNTIFS(Database!$F:$I,CONCATENATE(P$1,$J10,"W")))/(COUNTIFS(Database!$F:$I,CONCATENATE($J10,P$1,"L"))+COUNTIFS(Database!$F:$I,CONCATENATE(P$1,$J10,"L"))+COUNTIFS(Database!$F:$I,CONCATENATE($J10,P$1,"W"))+COUNTIFS(Database!$F:$I,CONCATENATE(P$1,$J10,"W"))),"-")</f>
        <v>0.5</v>
      </c>
      <c r="Q10" s="34">
        <f>IFERROR((COUNTIFS(Database!$F:$I,CONCATENATE($J10,Q$1,"W"))+COUNTIFS(Database!$F:$I,CONCATENATE(Q$1,$J10,"W")))/(COUNTIFS(Database!$F:$I,CONCATENATE($J10,Q$1,"L"))+COUNTIFS(Database!$F:$I,CONCATENATE(Q$1,$J10,"L"))+COUNTIFS(Database!$F:$I,CONCATENATE($J10,Q$1,"W"))+COUNTIFS(Database!$F:$I,CONCATENATE(Q$1,$J10,"W"))),"-")</f>
        <v>0.45454545454545453</v>
      </c>
      <c r="R10" s="34">
        <f>IFERROR((COUNTIFS(Database!$F:$I,CONCATENATE($J10,R$1,"W"))+COUNTIFS(Database!$F:$I,CONCATENATE(R$1,$J10,"W")))/(COUNTIFS(Database!$F:$I,CONCATENATE($J10,R$1,"L"))+COUNTIFS(Database!$F:$I,CONCATENATE(R$1,$J10,"L"))+COUNTIFS(Database!$F:$I,CONCATENATE($J10,R$1,"W"))+COUNTIFS(Database!$F:$I,CONCATENATE(R$1,$J10,"W"))),"-")</f>
        <v>0</v>
      </c>
      <c r="S10" s="94"/>
      <c r="T10" s="34">
        <f>IFERROR((COUNTIFS(Database!$F:$I,CONCATENATE($J10,T$1,"W"))+COUNTIFS(Database!$F:$I,CONCATENATE(T$1,$J10,"W")))/(COUNTIFS(Database!$F:$I,CONCATENATE($J10,T$1,"L"))+COUNTIFS(Database!$F:$I,CONCATENATE(T$1,$J10,"L"))+COUNTIFS(Database!$F:$I,CONCATENATE($J10,T$1,"W"))+COUNTIFS(Database!$F:$I,CONCATENATE(T$1,$J10,"W"))),"-")</f>
        <v>0</v>
      </c>
      <c r="U10" s="34">
        <f>IFERROR((COUNTIFS(Database!$F:$I,CONCATENATE($J10,U$1,"W"))+COUNTIFS(Database!$F:$I,CONCATENATE(U$1,$J10,"W")))/(COUNTIFS(Database!$F:$I,CONCATENATE($J10,U$1,"L"))+COUNTIFS(Database!$F:$I,CONCATENATE(U$1,$J10,"L"))+COUNTIFS(Database!$F:$I,CONCATENATE($J10,U$1,"W"))+COUNTIFS(Database!$F:$I,CONCATENATE(U$1,$J10,"W"))),"-")</f>
        <v>0.33333333333333331</v>
      </c>
      <c r="V10" s="34">
        <f>IFERROR((COUNTIFS(Database!$F:$I,CONCATENATE($J10,V$1,"W"))+COUNTIFS(Database!$F:$I,CONCATENATE(V$1,$J10,"W")))/(COUNTIFS(Database!$F:$I,CONCATENATE($J10,V$1,"L"))+COUNTIFS(Database!$F:$I,CONCATENATE(V$1,$J10,"L"))+COUNTIFS(Database!$F:$I,CONCATENATE($J10,V$1,"W"))+COUNTIFS(Database!$F:$I,CONCATENATE(V$1,$J10,"W"))),"-")</f>
        <v>0.4</v>
      </c>
      <c r="W10" s="34">
        <f>IFERROR((COUNTIFS(Database!$F:$I,CONCATENATE($J10,W$1,"W"))+COUNTIFS(Database!$F:$I,CONCATENATE(W$1,$J10,"W")))/(COUNTIFS(Database!$F:$I,CONCATENATE($J10,W$1,"L"))+COUNTIFS(Database!$F:$I,CONCATENATE(W$1,$J10,"L"))+COUNTIFS(Database!$F:$I,CONCATENATE($J10,W$1,"W"))+COUNTIFS(Database!$F:$I,CONCATENATE(W$1,$J10,"W"))),"-")</f>
        <v>0.33333333333333331</v>
      </c>
      <c r="X10" s="34">
        <f>IFERROR((COUNTIFS(Database!$F:$I,CONCATENATE($J10,X$1,"W"))+COUNTIFS(Database!$F:$I,CONCATENATE(X$1,$J10,"W")))/(COUNTIFS(Database!$F:$I,CONCATENATE($J10,X$1,"L"))+COUNTIFS(Database!$F:$I,CONCATENATE(X$1,$J10,"L"))+COUNTIFS(Database!$F:$I,CONCATENATE($J10,X$1,"W"))+COUNTIFS(Database!$F:$I,CONCATENATE(X$1,$J10,"W"))),"-")</f>
        <v>0.5</v>
      </c>
      <c r="Y10" s="34">
        <f>IFERROR((COUNTIFS(Database!$F:$I,CONCATENATE($J10,Y$1,"W"))+COUNTIFS(Database!$F:$I,CONCATENATE(Y$1,$J10,"W")))/(COUNTIFS(Database!$F:$I,CONCATENATE($J10,Y$1,"L"))+COUNTIFS(Database!$F:$I,CONCATENATE(Y$1,$J10,"L"))+COUNTIFS(Database!$F:$I,CONCATENATE($J10,Y$1,"W"))+COUNTIFS(Database!$F:$I,CONCATENATE(Y$1,$J10,"W"))),"-")</f>
        <v>0.33333333333333331</v>
      </c>
      <c r="Z10" s="34" t="str">
        <f>IFERROR((COUNTIFS(Database!$F:$I,CONCATENATE($J10,Z$1,"W"))+COUNTIFS(Database!$F:$I,CONCATENATE(Z$1,$J10,"W")))/(COUNTIFS(Database!$F:$I,CONCATENATE($J10,Z$1,"L"))+COUNTIFS(Database!$F:$I,CONCATENATE(Z$1,$J10,"L"))+COUNTIFS(Database!$F:$I,CONCATENATE($J10,Z$1,"W"))+COUNTIFS(Database!$F:$I,CONCATENATE(Z$1,$J10,"W"))),"-")</f>
        <v>-</v>
      </c>
      <c r="AA10" s="34">
        <f>IFERROR((COUNTIFS(Database!$F:$I,CONCATENATE($J10,AA$1,"W"))+COUNTIFS(Database!$F:$I,CONCATENATE(AA$1,$J10,"W")))/(COUNTIFS(Database!$F:$I,CONCATENATE($J10,AA$1,"L"))+COUNTIFS(Database!$F:$I,CONCATENATE(AA$1,$J10,"L"))+COUNTIFS(Database!$F:$I,CONCATENATE($J10,AA$1,"W"))+COUNTIFS(Database!$F:$I,CONCATENATE(AA$1,$J10,"W"))),"-")</f>
        <v>0</v>
      </c>
      <c r="AB10" s="34">
        <f>IFERROR((COUNTIFS(Database!$F:$I,CONCATENATE($J10,AB$1,"W"))+COUNTIFS(Database!$F:$I,CONCATENATE(AB$1,$J10,"W")))/(COUNTIFS(Database!$F:$I,CONCATENATE($J10,AB$1,"L"))+COUNTIFS(Database!$F:$I,CONCATENATE(AB$1,$J10,"L"))+COUNTIFS(Database!$F:$I,CONCATENATE($J10,AB$1,"W"))+COUNTIFS(Database!$F:$I,CONCATENATE(AB$1,$J10,"W"))),"-")</f>
        <v>0.66666666666666663</v>
      </c>
      <c r="AC10" s="34">
        <f>IFERROR((COUNTIFS(Database!$F:$I,CONCATENATE($J10,AC$1,"W"))+COUNTIFS(Database!$F:$I,CONCATENATE(AC$1,$J10,"W")))/(COUNTIFS(Database!$F:$I,CONCATENATE($J10,AC$1,"L"))+COUNTIFS(Database!$F:$I,CONCATENATE(AC$1,$J10,"L"))+COUNTIFS(Database!$F:$I,CONCATENATE($J10,AC$1,"W"))+COUNTIFS(Database!$F:$I,CONCATENATE(AC$1,$J10,"W"))),"-")</f>
        <v>0.5</v>
      </c>
      <c r="AD10" s="88">
        <f>IFERROR((COUNTIFS(Database!$F:$I,CONCATENATE($J10,AD$1,"W"))+COUNTIFS(Database!$F:$I,CONCATENATE(AD$1,$J10,"W")))/(COUNTIFS(Database!$F:$I,CONCATENATE($J10,AD$1,"L"))+COUNTIFS(Database!$F:$I,CONCATENATE(AD$1,$J10,"L"))+COUNTIFS(Database!$F:$I,CONCATENATE($J10,AD$1,"W"))+COUNTIFS(Database!$F:$I,CONCATENATE(AD$1,$J10,"W"))),"-")</f>
        <v>0.55555555555555558</v>
      </c>
    </row>
    <row r="11" spans="1:30" ht="12.75" customHeight="1" x14ac:dyDescent="0.25">
      <c r="A11" s="66" t="s">
        <v>151</v>
      </c>
      <c r="B11" s="67">
        <f>IFERROR(VLOOKUP(A11,Stats!B:F,5,0),0)</f>
        <v>0</v>
      </c>
      <c r="C11" s="67" t="s">
        <v>81</v>
      </c>
      <c r="D11" s="65"/>
      <c r="H11" s="69" t="str">
        <f>VLOOKUP(A11,Stats!B:B,1,0)</f>
        <v>Miro</v>
      </c>
      <c r="J11" s="90" t="str">
        <f t="shared" ref="J11:J18" si="1">A11</f>
        <v>Miro</v>
      </c>
      <c r="K11" s="98">
        <f>IFERROR((COUNTIFS(Database!$F:$I,CONCATENATE($J11,K$1,"W"))+COUNTIFS(Database!$F:$I,CONCATENATE(K$1,$J11,"W")))/(COUNTIFS(Database!$F:$I,CONCATENATE($J11,K$1,"L"))+COUNTIFS(Database!$F:$I,CONCATENATE(K$1,$J11,"L"))+COUNTIFS(Database!$F:$I,CONCATENATE($J11,K$1,"W"))+COUNTIFS(Database!$F:$I,CONCATENATE(K$1,$J11,"W"))),"-")</f>
        <v>0</v>
      </c>
      <c r="L11" s="34">
        <f>IFERROR((COUNTIFS(Database!$F:$I,CONCATENATE($J11,L$1,"W"))+COUNTIFS(Database!$F:$I,CONCATENATE(L$1,$J11,"W")))/(COUNTIFS(Database!$F:$I,CONCATENATE($J11,L$1,"L"))+COUNTIFS(Database!$F:$I,CONCATENATE(L$1,$J11,"L"))+COUNTIFS(Database!$F:$I,CONCATENATE($J11,L$1,"W"))+COUNTIFS(Database!$F:$I,CONCATENATE(L$1,$J11,"W"))),"-")</f>
        <v>0.5</v>
      </c>
      <c r="M11" s="34">
        <f>IFERROR((COUNTIFS(Database!$F:$I,CONCATENATE($J11,M$1,"W"))+COUNTIFS(Database!$F:$I,CONCATENATE(M$1,$J11,"W")))/(COUNTIFS(Database!$F:$I,CONCATENATE($J11,M$1,"L"))+COUNTIFS(Database!$F:$I,CONCATENATE(M$1,$J11,"L"))+COUNTIFS(Database!$F:$I,CONCATENATE($J11,M$1,"W"))+COUNTIFS(Database!$F:$I,CONCATENATE(M$1,$J11,"W"))),"-")</f>
        <v>1</v>
      </c>
      <c r="N11" s="34" t="str">
        <f>IFERROR((COUNTIFS(Database!$F:$I,CONCATENATE($J11,N$1,"W"))+COUNTIFS(Database!$F:$I,CONCATENATE(N$1,$J11,"W")))/(COUNTIFS(Database!$F:$I,CONCATENATE($J11,N$1,"L"))+COUNTIFS(Database!$F:$I,CONCATENATE(N$1,$J11,"L"))+COUNTIFS(Database!$F:$I,CONCATENATE($J11,N$1,"W"))+COUNTIFS(Database!$F:$I,CONCATENATE(N$1,$J11,"W"))),"-")</f>
        <v>-</v>
      </c>
      <c r="O11" s="34" t="str">
        <f>IFERROR((COUNTIFS(Database!$F:$I,CONCATENATE($J11,O$1,"W"))+COUNTIFS(Database!$F:$I,CONCATENATE(O$1,$J11,"W")))/(COUNTIFS(Database!$F:$I,CONCATENATE($J11,O$1,"L"))+COUNTIFS(Database!$F:$I,CONCATENATE(O$1,$J11,"L"))+COUNTIFS(Database!$F:$I,CONCATENATE($J11,O$1,"W"))+COUNTIFS(Database!$F:$I,CONCATENATE(O$1,$J11,"W"))),"-")</f>
        <v>-</v>
      </c>
      <c r="P11" s="34" t="str">
        <f>IFERROR((COUNTIFS(Database!$F:$I,CONCATENATE($J11,P$1,"W"))+COUNTIFS(Database!$F:$I,CONCATENATE(P$1,$J11,"W")))/(COUNTIFS(Database!$F:$I,CONCATENATE($J11,P$1,"L"))+COUNTIFS(Database!$F:$I,CONCATENATE(P$1,$J11,"L"))+COUNTIFS(Database!$F:$I,CONCATENATE($J11,P$1,"W"))+COUNTIFS(Database!$F:$I,CONCATENATE(P$1,$J11,"W"))),"-")</f>
        <v>-</v>
      </c>
      <c r="Q11" s="34">
        <f>IFERROR((COUNTIFS(Database!$F:$I,CONCATENATE($J11,Q$1,"W"))+COUNTIFS(Database!$F:$I,CONCATENATE(Q$1,$J11,"W")))/(COUNTIFS(Database!$F:$I,CONCATENATE($J11,Q$1,"L"))+COUNTIFS(Database!$F:$I,CONCATENATE(Q$1,$J11,"L"))+COUNTIFS(Database!$F:$I,CONCATENATE($J11,Q$1,"W"))+COUNTIFS(Database!$F:$I,CONCATENATE(Q$1,$J11,"W"))),"-")</f>
        <v>0</v>
      </c>
      <c r="R11" s="34">
        <f>IFERROR((COUNTIFS(Database!$F:$I,CONCATENATE($J11,R$1,"W"))+COUNTIFS(Database!$F:$I,CONCATENATE(R$1,$J11,"W")))/(COUNTIFS(Database!$F:$I,CONCATENATE($J11,R$1,"L"))+COUNTIFS(Database!$F:$I,CONCATENATE(R$1,$J11,"L"))+COUNTIFS(Database!$F:$I,CONCATENATE($J11,R$1,"W"))+COUNTIFS(Database!$F:$I,CONCATENATE(R$1,$J11,"W"))),"-")</f>
        <v>0.5</v>
      </c>
      <c r="S11" s="34">
        <f>IFERROR((COUNTIFS(Database!$F:$I,CONCATENATE($J11,S$1,"W"))+COUNTIFS(Database!$F:$I,CONCATENATE(S$1,$J11,"W")))/(COUNTIFS(Database!$F:$I,CONCATENATE($J11,S$1,"L"))+COUNTIFS(Database!$F:$I,CONCATENATE(S$1,$J11,"L"))+COUNTIFS(Database!$F:$I,CONCATENATE($J11,S$1,"W"))+COUNTIFS(Database!$F:$I,CONCATENATE(S$1,$J11,"W"))),"-")</f>
        <v>0</v>
      </c>
      <c r="T11" s="94"/>
      <c r="U11" s="34">
        <f>IFERROR((COUNTIFS(Database!$F:$I,CONCATENATE($J11,U$1,"W"))+COUNTIFS(Database!$F:$I,CONCATENATE(U$1,$J11,"W")))/(COUNTIFS(Database!$F:$I,CONCATENATE($J11,U$1,"L"))+COUNTIFS(Database!$F:$I,CONCATENATE(U$1,$J11,"L"))+COUNTIFS(Database!$F:$I,CONCATENATE($J11,U$1,"W"))+COUNTIFS(Database!$F:$I,CONCATENATE(U$1,$J11,"W"))),"-")</f>
        <v>0.5</v>
      </c>
      <c r="V11" s="34">
        <f>IFERROR((COUNTIFS(Database!$F:$I,CONCATENATE($J11,V$1,"W"))+COUNTIFS(Database!$F:$I,CONCATENATE(V$1,$J11,"W")))/(COUNTIFS(Database!$F:$I,CONCATENATE($J11,V$1,"L"))+COUNTIFS(Database!$F:$I,CONCATENATE(V$1,$J11,"L"))+COUNTIFS(Database!$F:$I,CONCATENATE($J11,V$1,"W"))+COUNTIFS(Database!$F:$I,CONCATENATE(V$1,$J11,"W"))),"-")</f>
        <v>1</v>
      </c>
      <c r="W11" s="34">
        <f>IFERROR((COUNTIFS(Database!$F:$I,CONCATENATE($J11,W$1,"W"))+COUNTIFS(Database!$F:$I,CONCATENATE(W$1,$J11,"W")))/(COUNTIFS(Database!$F:$I,CONCATENATE($J11,W$1,"L"))+COUNTIFS(Database!$F:$I,CONCATENATE(W$1,$J11,"L"))+COUNTIFS(Database!$F:$I,CONCATENATE($J11,W$1,"W"))+COUNTIFS(Database!$F:$I,CONCATENATE(W$1,$J11,"W"))),"-")</f>
        <v>1</v>
      </c>
      <c r="X11" s="34" t="str">
        <f>IFERROR((COUNTIFS(Database!$F:$I,CONCATENATE($J11,X$1,"W"))+COUNTIFS(Database!$F:$I,CONCATENATE(X$1,$J11,"W")))/(COUNTIFS(Database!$F:$I,CONCATENATE($J11,X$1,"L"))+COUNTIFS(Database!$F:$I,CONCATENATE(X$1,$J11,"L"))+COUNTIFS(Database!$F:$I,CONCATENATE($J11,X$1,"W"))+COUNTIFS(Database!$F:$I,CONCATENATE(X$1,$J11,"W"))),"-")</f>
        <v>-</v>
      </c>
      <c r="Y11" s="34" t="str">
        <f>IFERROR((COUNTIFS(Database!$F:$I,CONCATENATE($J11,Y$1,"W"))+COUNTIFS(Database!$F:$I,CONCATENATE(Y$1,$J11,"W")))/(COUNTIFS(Database!$F:$I,CONCATENATE($J11,Y$1,"L"))+COUNTIFS(Database!$F:$I,CONCATENATE(Y$1,$J11,"L"))+COUNTIFS(Database!$F:$I,CONCATENATE($J11,Y$1,"W"))+COUNTIFS(Database!$F:$I,CONCATENATE(Y$1,$J11,"W"))),"-")</f>
        <v>-</v>
      </c>
      <c r="Z11" s="34" t="str">
        <f>IFERROR((COUNTIFS(Database!$F:$I,CONCATENATE($J11,Z$1,"W"))+COUNTIFS(Database!$F:$I,CONCATENATE(Z$1,$J11,"W")))/(COUNTIFS(Database!$F:$I,CONCATENATE($J11,Z$1,"L"))+COUNTIFS(Database!$F:$I,CONCATENATE(Z$1,$J11,"L"))+COUNTIFS(Database!$F:$I,CONCATENATE($J11,Z$1,"W"))+COUNTIFS(Database!$F:$I,CONCATENATE(Z$1,$J11,"W"))),"-")</f>
        <v>-</v>
      </c>
      <c r="AA11" s="34">
        <f>IFERROR((COUNTIFS(Database!$F:$I,CONCATENATE($J11,AA$1,"W"))+COUNTIFS(Database!$F:$I,CONCATENATE(AA$1,$J11,"W")))/(COUNTIFS(Database!$F:$I,CONCATENATE($J11,AA$1,"L"))+COUNTIFS(Database!$F:$I,CONCATENATE(AA$1,$J11,"L"))+COUNTIFS(Database!$F:$I,CONCATENATE($J11,AA$1,"W"))+COUNTIFS(Database!$F:$I,CONCATENATE(AA$1,$J11,"W"))),"-")</f>
        <v>0.5</v>
      </c>
      <c r="AB11" s="34" t="str">
        <f>IFERROR((COUNTIFS(Database!$F:$I,CONCATENATE($J11,AB$1,"W"))+COUNTIFS(Database!$F:$I,CONCATENATE(AB$1,$J11,"W")))/(COUNTIFS(Database!$F:$I,CONCATENATE($J11,AB$1,"L"))+COUNTIFS(Database!$F:$I,CONCATENATE(AB$1,$J11,"L"))+COUNTIFS(Database!$F:$I,CONCATENATE($J11,AB$1,"W"))+COUNTIFS(Database!$F:$I,CONCATENATE(AB$1,$J11,"W"))),"-")</f>
        <v>-</v>
      </c>
      <c r="AC11" s="34" t="str">
        <f>IFERROR((COUNTIFS(Database!$F:$I,CONCATENATE($J11,AC$1,"W"))+COUNTIFS(Database!$F:$I,CONCATENATE(AC$1,$J11,"W")))/(COUNTIFS(Database!$F:$I,CONCATENATE($J11,AC$1,"L"))+COUNTIFS(Database!$F:$I,CONCATENATE(AC$1,$J11,"L"))+COUNTIFS(Database!$F:$I,CONCATENATE($J11,AC$1,"W"))+COUNTIFS(Database!$F:$I,CONCATENATE(AC$1,$J11,"W"))),"-")</f>
        <v>-</v>
      </c>
      <c r="AD11" s="88" t="str">
        <f>IFERROR((COUNTIFS(Database!$F:$I,CONCATENATE($J11,AD$1,"W"))+COUNTIFS(Database!$F:$I,CONCATENATE(AD$1,$J11,"W")))/(COUNTIFS(Database!$F:$I,CONCATENATE($J11,AD$1,"L"))+COUNTIFS(Database!$F:$I,CONCATENATE(AD$1,$J11,"L"))+COUNTIFS(Database!$F:$I,CONCATENATE($J11,AD$1,"W"))+COUNTIFS(Database!$F:$I,CONCATENATE(AD$1,$J11,"W"))),"-")</f>
        <v>-</v>
      </c>
    </row>
    <row r="12" spans="1:30" ht="12.75" customHeight="1" x14ac:dyDescent="0.25">
      <c r="A12" s="32" t="s">
        <v>147</v>
      </c>
      <c r="B12" s="52">
        <f>IFERROR(VLOOKUP(A12,Stats!B:F,5,0),0)</f>
        <v>2</v>
      </c>
      <c r="C12" s="52" t="s">
        <v>81</v>
      </c>
      <c r="H12" s="69" t="str">
        <f>VLOOKUP(A12,Stats!B:B,1,0)</f>
        <v>Renaud</v>
      </c>
      <c r="J12" s="90" t="str">
        <f t="shared" si="1"/>
        <v>Renaud</v>
      </c>
      <c r="K12" s="98">
        <f>IFERROR((COUNTIFS(Database!$F:$I,CONCATENATE($J12,K$1,"W"))+COUNTIFS(Database!$F:$I,CONCATENATE(K$1,$J12,"W")))/(COUNTIFS(Database!$F:$I,CONCATENATE($J12,K$1,"L"))+COUNTIFS(Database!$F:$I,CONCATENATE(K$1,$J12,"L"))+COUNTIFS(Database!$F:$I,CONCATENATE($J12,K$1,"W"))+COUNTIFS(Database!$F:$I,CONCATENATE(K$1,$J12,"W"))),"-")</f>
        <v>0.66666666666666663</v>
      </c>
      <c r="L12" s="34">
        <f>IFERROR((COUNTIFS(Database!$F:$I,CONCATENATE($J12,L$1,"W"))+COUNTIFS(Database!$F:$I,CONCATENATE(L$1,$J12,"W")))/(COUNTIFS(Database!$F:$I,CONCATENATE($J12,L$1,"L"))+COUNTIFS(Database!$F:$I,CONCATENATE(L$1,$J12,"L"))+COUNTIFS(Database!$F:$I,CONCATENATE($J12,L$1,"W"))+COUNTIFS(Database!$F:$I,CONCATENATE(L$1,$J12,"W"))),"-")</f>
        <v>0</v>
      </c>
      <c r="M12" s="34">
        <f>IFERROR((COUNTIFS(Database!$F:$I,CONCATENATE($J12,M$1,"W"))+COUNTIFS(Database!$F:$I,CONCATENATE(M$1,$J12,"W")))/(COUNTIFS(Database!$F:$I,CONCATENATE($J12,M$1,"L"))+COUNTIFS(Database!$F:$I,CONCATENATE(M$1,$J12,"L"))+COUNTIFS(Database!$F:$I,CONCATENATE($J12,M$1,"W"))+COUNTIFS(Database!$F:$I,CONCATENATE(M$1,$J12,"W"))),"-")</f>
        <v>0.5</v>
      </c>
      <c r="N12" s="34">
        <f>IFERROR((COUNTIFS(Database!$F:$I,CONCATENATE($J12,N$1,"W"))+COUNTIFS(Database!$F:$I,CONCATENATE(N$1,$J12,"W")))/(COUNTIFS(Database!$F:$I,CONCATENATE($J12,N$1,"L"))+COUNTIFS(Database!$F:$I,CONCATENATE(N$1,$J12,"L"))+COUNTIFS(Database!$F:$I,CONCATENATE($J12,N$1,"W"))+COUNTIFS(Database!$F:$I,CONCATENATE(N$1,$J12,"W"))),"-")</f>
        <v>0.5</v>
      </c>
      <c r="O12" s="34">
        <f>IFERROR((COUNTIFS(Database!$F:$I,CONCATENATE($J12,O$1,"W"))+COUNTIFS(Database!$F:$I,CONCATENATE(O$1,$J12,"W")))/(COUNTIFS(Database!$F:$I,CONCATENATE($J12,O$1,"L"))+COUNTIFS(Database!$F:$I,CONCATENATE(O$1,$J12,"L"))+COUNTIFS(Database!$F:$I,CONCATENATE($J12,O$1,"W"))+COUNTIFS(Database!$F:$I,CONCATENATE(O$1,$J12,"W"))),"-")</f>
        <v>0.33333333333333331</v>
      </c>
      <c r="P12" s="34">
        <f>IFERROR((COUNTIFS(Database!$F:$I,CONCATENATE($J12,P$1,"W"))+COUNTIFS(Database!$F:$I,CONCATENATE(P$1,$J12,"W")))/(COUNTIFS(Database!$F:$I,CONCATENATE($J12,P$1,"L"))+COUNTIFS(Database!$F:$I,CONCATENATE(P$1,$J12,"L"))+COUNTIFS(Database!$F:$I,CONCATENATE($J12,P$1,"W"))+COUNTIFS(Database!$F:$I,CONCATENATE(P$1,$J12,"W"))),"-")</f>
        <v>0</v>
      </c>
      <c r="Q12" s="34">
        <f>IFERROR((COUNTIFS(Database!$F:$I,CONCATENATE($J12,Q$1,"W"))+COUNTIFS(Database!$F:$I,CONCATENATE(Q$1,$J12,"W")))/(COUNTIFS(Database!$F:$I,CONCATENATE($J12,Q$1,"L"))+COUNTIFS(Database!$F:$I,CONCATENATE(Q$1,$J12,"L"))+COUNTIFS(Database!$F:$I,CONCATENATE($J12,Q$1,"W"))+COUNTIFS(Database!$F:$I,CONCATENATE(Q$1,$J12,"W"))),"-")</f>
        <v>0.5</v>
      </c>
      <c r="R12" s="34" t="str">
        <f>IFERROR((COUNTIFS(Database!$F:$I,CONCATENATE($J12,R$1,"W"))+COUNTIFS(Database!$F:$I,CONCATENATE(R$1,$J12,"W")))/(COUNTIFS(Database!$F:$I,CONCATENATE($J12,R$1,"L"))+COUNTIFS(Database!$F:$I,CONCATENATE(R$1,$J12,"L"))+COUNTIFS(Database!$F:$I,CONCATENATE($J12,R$1,"W"))+COUNTIFS(Database!$F:$I,CONCATENATE(R$1,$J12,"W"))),"-")</f>
        <v>-</v>
      </c>
      <c r="S12" s="34">
        <f>IFERROR((COUNTIFS(Database!$F:$I,CONCATENATE($J12,S$1,"W"))+COUNTIFS(Database!$F:$I,CONCATENATE(S$1,$J12,"W")))/(COUNTIFS(Database!$F:$I,CONCATENATE($J12,S$1,"L"))+COUNTIFS(Database!$F:$I,CONCATENATE(S$1,$J12,"L"))+COUNTIFS(Database!$F:$I,CONCATENATE($J12,S$1,"W"))+COUNTIFS(Database!$F:$I,CONCATENATE(S$1,$J12,"W"))),"-")</f>
        <v>0.33333333333333331</v>
      </c>
      <c r="T12" s="34">
        <f>IFERROR((COUNTIFS(Database!$F:$I,CONCATENATE($J12,T$1,"W"))+COUNTIFS(Database!$F:$I,CONCATENATE(T$1,$J12,"W")))/(COUNTIFS(Database!$F:$I,CONCATENATE($J12,T$1,"L"))+COUNTIFS(Database!$F:$I,CONCATENATE(T$1,$J12,"L"))+COUNTIFS(Database!$F:$I,CONCATENATE($J12,T$1,"W"))+COUNTIFS(Database!$F:$I,CONCATENATE(T$1,$J12,"W"))),"-")</f>
        <v>0.5</v>
      </c>
      <c r="U12" s="94"/>
      <c r="V12" s="34">
        <f>IFERROR((COUNTIFS(Database!$F:$I,CONCATENATE($J12,V$1,"W"))+COUNTIFS(Database!$F:$I,CONCATENATE(V$1,$J12,"W")))/(COUNTIFS(Database!$F:$I,CONCATENATE($J12,V$1,"L"))+COUNTIFS(Database!$F:$I,CONCATENATE(V$1,$J12,"L"))+COUNTIFS(Database!$F:$I,CONCATENATE($J12,V$1,"W"))+COUNTIFS(Database!$F:$I,CONCATENATE(V$1,$J12,"W"))),"-")</f>
        <v>1</v>
      </c>
      <c r="W12" s="34">
        <f>IFERROR((COUNTIFS(Database!$F:$I,CONCATENATE($J12,W$1,"W"))+COUNTIFS(Database!$F:$I,CONCATENATE(W$1,$J12,"W")))/(COUNTIFS(Database!$F:$I,CONCATENATE($J12,W$1,"L"))+COUNTIFS(Database!$F:$I,CONCATENATE(W$1,$J12,"L"))+COUNTIFS(Database!$F:$I,CONCATENATE($J12,W$1,"W"))+COUNTIFS(Database!$F:$I,CONCATENATE(W$1,$J12,"W"))),"-")</f>
        <v>0.33333333333333331</v>
      </c>
      <c r="X12" s="34">
        <f>IFERROR((COUNTIFS(Database!$F:$I,CONCATENATE($J12,X$1,"W"))+COUNTIFS(Database!$F:$I,CONCATENATE(X$1,$J12,"W")))/(COUNTIFS(Database!$F:$I,CONCATENATE($J12,X$1,"L"))+COUNTIFS(Database!$F:$I,CONCATENATE(X$1,$J12,"L"))+COUNTIFS(Database!$F:$I,CONCATENATE($J12,X$1,"W"))+COUNTIFS(Database!$F:$I,CONCATENATE(X$1,$J12,"W"))),"-")</f>
        <v>0.5</v>
      </c>
      <c r="Y12" s="34">
        <f>IFERROR((COUNTIFS(Database!$F:$I,CONCATENATE($J12,Y$1,"W"))+COUNTIFS(Database!$F:$I,CONCATENATE(Y$1,$J12,"W")))/(COUNTIFS(Database!$F:$I,CONCATENATE($J12,Y$1,"L"))+COUNTIFS(Database!$F:$I,CONCATENATE(Y$1,$J12,"L"))+COUNTIFS(Database!$F:$I,CONCATENATE($J12,Y$1,"W"))+COUNTIFS(Database!$F:$I,CONCATENATE(Y$1,$J12,"W"))),"-")</f>
        <v>0</v>
      </c>
      <c r="Z12" s="34" t="str">
        <f>IFERROR((COUNTIFS(Database!$F:$I,CONCATENATE($J12,Z$1,"W"))+COUNTIFS(Database!$F:$I,CONCATENATE(Z$1,$J12,"W")))/(COUNTIFS(Database!$F:$I,CONCATENATE($J12,Z$1,"L"))+COUNTIFS(Database!$F:$I,CONCATENATE(Z$1,$J12,"L"))+COUNTIFS(Database!$F:$I,CONCATENATE($J12,Z$1,"W"))+COUNTIFS(Database!$F:$I,CONCATENATE(Z$1,$J12,"W"))),"-")</f>
        <v>-</v>
      </c>
      <c r="AA12" s="34" t="str">
        <f>IFERROR((COUNTIFS(Database!$F:$I,CONCATENATE($J12,AA$1,"W"))+COUNTIFS(Database!$F:$I,CONCATENATE(AA$1,$J12,"W")))/(COUNTIFS(Database!$F:$I,CONCATENATE($J12,AA$1,"L"))+COUNTIFS(Database!$F:$I,CONCATENATE(AA$1,$J12,"L"))+COUNTIFS(Database!$F:$I,CONCATENATE($J12,AA$1,"W"))+COUNTIFS(Database!$F:$I,CONCATENATE(AA$1,$J12,"W"))),"-")</f>
        <v>-</v>
      </c>
      <c r="AB12" s="34">
        <f>IFERROR((COUNTIFS(Database!$F:$I,CONCATENATE($J12,AB$1,"W"))+COUNTIFS(Database!$F:$I,CONCATENATE(AB$1,$J12,"W")))/(COUNTIFS(Database!$F:$I,CONCATENATE($J12,AB$1,"L"))+COUNTIFS(Database!$F:$I,CONCATENATE(AB$1,$J12,"L"))+COUNTIFS(Database!$F:$I,CONCATENATE($J12,AB$1,"W"))+COUNTIFS(Database!$F:$I,CONCATENATE(AB$1,$J12,"W"))),"-")</f>
        <v>0</v>
      </c>
      <c r="AC12" s="34">
        <f>IFERROR((COUNTIFS(Database!$F:$I,CONCATENATE($J12,AC$1,"W"))+COUNTIFS(Database!$F:$I,CONCATENATE(AC$1,$J12,"W")))/(COUNTIFS(Database!$F:$I,CONCATENATE($J12,AC$1,"L"))+COUNTIFS(Database!$F:$I,CONCATENATE(AC$1,$J12,"L"))+COUNTIFS(Database!$F:$I,CONCATENATE($J12,AC$1,"W"))+COUNTIFS(Database!$F:$I,CONCATENATE(AC$1,$J12,"W"))),"-")</f>
        <v>1</v>
      </c>
      <c r="AD12" s="88">
        <f>IFERROR((COUNTIFS(Database!$F:$I,CONCATENATE($J12,AD$1,"W"))+COUNTIFS(Database!$F:$I,CONCATENATE(AD$1,$J12,"W")))/(COUNTIFS(Database!$F:$I,CONCATENATE($J12,AD$1,"L"))+COUNTIFS(Database!$F:$I,CONCATENATE(AD$1,$J12,"L"))+COUNTIFS(Database!$F:$I,CONCATENATE($J12,AD$1,"W"))+COUNTIFS(Database!$F:$I,CONCATENATE(AD$1,$J12,"W"))),"-")</f>
        <v>1</v>
      </c>
    </row>
    <row r="13" spans="1:30" ht="12.75" customHeight="1" x14ac:dyDescent="0.25">
      <c r="A13" s="32" t="s">
        <v>36</v>
      </c>
      <c r="B13" s="52">
        <f>IFERROR(VLOOKUP(A13,Stats!B:F,5,0),0)</f>
        <v>0</v>
      </c>
      <c r="C13" s="52" t="s">
        <v>81</v>
      </c>
      <c r="H13" s="69" t="str">
        <f>VLOOKUP(A13,Stats!B:B,1,0)</f>
        <v>Wouter</v>
      </c>
      <c r="J13" s="90" t="str">
        <f t="shared" si="1"/>
        <v>Wouter</v>
      </c>
      <c r="K13" s="98">
        <f>IFERROR((COUNTIFS(Database!$F:$I,CONCATENATE($J13,K$1,"W"))+COUNTIFS(Database!$F:$I,CONCATENATE(K$1,$J13,"W")))/(COUNTIFS(Database!$F:$I,CONCATENATE($J13,K$1,"L"))+COUNTIFS(Database!$F:$I,CONCATENATE(K$1,$J13,"L"))+COUNTIFS(Database!$F:$I,CONCATENATE($J13,K$1,"W"))+COUNTIFS(Database!$F:$I,CONCATENATE(K$1,$J13,"W"))),"-")</f>
        <v>0</v>
      </c>
      <c r="L13" s="34">
        <f>IFERROR((COUNTIFS(Database!$F:$I,CONCATENATE($J13,L$1,"W"))+COUNTIFS(Database!$F:$I,CONCATENATE(L$1,$J13,"W")))/(COUNTIFS(Database!$F:$I,CONCATENATE($J13,L$1,"L"))+COUNTIFS(Database!$F:$I,CONCATENATE(L$1,$J13,"L"))+COUNTIFS(Database!$F:$I,CONCATENATE($J13,L$1,"W"))+COUNTIFS(Database!$F:$I,CONCATENATE(L$1,$J13,"W"))),"-")</f>
        <v>0.5</v>
      </c>
      <c r="M13" s="34">
        <f>IFERROR((COUNTIFS(Database!$F:$I,CONCATENATE($J13,M$1,"W"))+COUNTIFS(Database!$F:$I,CONCATENATE(M$1,$J13,"W")))/(COUNTIFS(Database!$F:$I,CONCATENATE($J13,M$1,"L"))+COUNTIFS(Database!$F:$I,CONCATENATE(M$1,$J13,"L"))+COUNTIFS(Database!$F:$I,CONCATENATE($J13,M$1,"W"))+COUNTIFS(Database!$F:$I,CONCATENATE(M$1,$J13,"W"))),"-")</f>
        <v>0.6</v>
      </c>
      <c r="N13" s="34">
        <f>IFERROR((COUNTIFS(Database!$F:$I,CONCATENATE($J13,N$1,"W"))+COUNTIFS(Database!$F:$I,CONCATENATE(N$1,$J13,"W")))/(COUNTIFS(Database!$F:$I,CONCATENATE($J13,N$1,"L"))+COUNTIFS(Database!$F:$I,CONCATENATE(N$1,$J13,"L"))+COUNTIFS(Database!$F:$I,CONCATENATE($J13,N$1,"W"))+COUNTIFS(Database!$F:$I,CONCATENATE(N$1,$J13,"W"))),"-")</f>
        <v>0.33333333333333331</v>
      </c>
      <c r="O13" s="34">
        <f>IFERROR((COUNTIFS(Database!$F:$I,CONCATENATE($J13,O$1,"W"))+COUNTIFS(Database!$F:$I,CONCATENATE(O$1,$J13,"W")))/(COUNTIFS(Database!$F:$I,CONCATENATE($J13,O$1,"L"))+COUNTIFS(Database!$F:$I,CONCATENATE(O$1,$J13,"L"))+COUNTIFS(Database!$F:$I,CONCATENATE($J13,O$1,"W"))+COUNTIFS(Database!$F:$I,CONCATENATE(O$1,$J13,"W"))),"-")</f>
        <v>0.5</v>
      </c>
      <c r="P13" s="34">
        <f>IFERROR((COUNTIFS(Database!$F:$I,CONCATENATE($J13,P$1,"W"))+COUNTIFS(Database!$F:$I,CONCATENATE(P$1,$J13,"W")))/(COUNTIFS(Database!$F:$I,CONCATENATE($J13,P$1,"L"))+COUNTIFS(Database!$F:$I,CONCATENATE(P$1,$J13,"L"))+COUNTIFS(Database!$F:$I,CONCATENATE($J13,P$1,"W"))+COUNTIFS(Database!$F:$I,CONCATENATE(P$1,$J13,"W"))),"-")</f>
        <v>0.66666666666666663</v>
      </c>
      <c r="Q13" s="34">
        <f>IFERROR((COUNTIFS(Database!$F:$I,CONCATENATE($J13,Q$1,"W"))+COUNTIFS(Database!$F:$I,CONCATENATE(Q$1,$J13,"W")))/(COUNTIFS(Database!$F:$I,CONCATENATE($J13,Q$1,"L"))+COUNTIFS(Database!$F:$I,CONCATENATE(Q$1,$J13,"L"))+COUNTIFS(Database!$F:$I,CONCATENATE($J13,Q$1,"W"))+COUNTIFS(Database!$F:$I,CONCATENATE(Q$1,$J13,"W"))),"-")</f>
        <v>0.5</v>
      </c>
      <c r="R13" s="34" t="str">
        <f>IFERROR((COUNTIFS(Database!$F:$I,CONCATENATE($J13,R$1,"W"))+COUNTIFS(Database!$F:$I,CONCATENATE(R$1,$J13,"W")))/(COUNTIFS(Database!$F:$I,CONCATENATE($J13,R$1,"L"))+COUNTIFS(Database!$F:$I,CONCATENATE(R$1,$J13,"L"))+COUNTIFS(Database!$F:$I,CONCATENATE($J13,R$1,"W"))+COUNTIFS(Database!$F:$I,CONCATENATE(R$1,$J13,"W"))),"-")</f>
        <v>-</v>
      </c>
      <c r="S13" s="34">
        <f>IFERROR((COUNTIFS(Database!$F:$I,CONCATENATE($J13,S$1,"W"))+COUNTIFS(Database!$F:$I,CONCATENATE(S$1,$J13,"W")))/(COUNTIFS(Database!$F:$I,CONCATENATE($J13,S$1,"L"))+COUNTIFS(Database!$F:$I,CONCATENATE(S$1,$J13,"L"))+COUNTIFS(Database!$F:$I,CONCATENATE($J13,S$1,"W"))+COUNTIFS(Database!$F:$I,CONCATENATE(S$1,$J13,"W"))),"-")</f>
        <v>0.4</v>
      </c>
      <c r="T13" s="34">
        <f>IFERROR((COUNTIFS(Database!$F:$I,CONCATENATE($J13,T$1,"W"))+COUNTIFS(Database!$F:$I,CONCATENATE(T$1,$J13,"W")))/(COUNTIFS(Database!$F:$I,CONCATENATE($J13,T$1,"L"))+COUNTIFS(Database!$F:$I,CONCATENATE(T$1,$J13,"L"))+COUNTIFS(Database!$F:$I,CONCATENATE($J13,T$1,"W"))+COUNTIFS(Database!$F:$I,CONCATENATE(T$1,$J13,"W"))),"-")</f>
        <v>1</v>
      </c>
      <c r="U13" s="34">
        <f>IFERROR((COUNTIFS(Database!$F:$I,CONCATENATE($J13,U$1,"W"))+COUNTIFS(Database!$F:$I,CONCATENATE(U$1,$J13,"W")))/(COUNTIFS(Database!$F:$I,CONCATENATE($J13,U$1,"L"))+COUNTIFS(Database!$F:$I,CONCATENATE(U$1,$J13,"L"))+COUNTIFS(Database!$F:$I,CONCATENATE($J13,U$1,"W"))+COUNTIFS(Database!$F:$I,CONCATENATE(U$1,$J13,"W"))),"-")</f>
        <v>1</v>
      </c>
      <c r="V13" s="94"/>
      <c r="W13" s="34">
        <f>IFERROR((COUNTIFS(Database!$F:$I,CONCATENATE($J13,W$1,"W"))+COUNTIFS(Database!$F:$I,CONCATENATE(W$1,$J13,"W")))/(COUNTIFS(Database!$F:$I,CONCATENATE($J13,W$1,"L"))+COUNTIFS(Database!$F:$I,CONCATENATE(W$1,$J13,"L"))+COUNTIFS(Database!$F:$I,CONCATENATE($J13,W$1,"W"))+COUNTIFS(Database!$F:$I,CONCATENATE(W$1,$J13,"W"))),"-")</f>
        <v>1</v>
      </c>
      <c r="X13" s="34">
        <f>IFERROR((COUNTIFS(Database!$F:$I,CONCATENATE($J13,X$1,"W"))+COUNTIFS(Database!$F:$I,CONCATENATE(X$1,$J13,"W")))/(COUNTIFS(Database!$F:$I,CONCATENATE($J13,X$1,"L"))+COUNTIFS(Database!$F:$I,CONCATENATE(X$1,$J13,"L"))+COUNTIFS(Database!$F:$I,CONCATENATE($J13,X$1,"W"))+COUNTIFS(Database!$F:$I,CONCATENATE(X$1,$J13,"W"))),"-")</f>
        <v>0.55555555555555558</v>
      </c>
      <c r="Y13" s="34" t="str">
        <f>IFERROR((COUNTIFS(Database!$F:$I,CONCATENATE($J13,Y$1,"W"))+COUNTIFS(Database!$F:$I,CONCATENATE(Y$1,$J13,"W")))/(COUNTIFS(Database!$F:$I,CONCATENATE($J13,Y$1,"L"))+COUNTIFS(Database!$F:$I,CONCATENATE(Y$1,$J13,"L"))+COUNTIFS(Database!$F:$I,CONCATENATE($J13,Y$1,"W"))+COUNTIFS(Database!$F:$I,CONCATENATE(Y$1,$J13,"W"))),"-")</f>
        <v>-</v>
      </c>
      <c r="Z13" s="34">
        <f>IFERROR((COUNTIFS(Database!$F:$I,CONCATENATE($J13,Z$1,"W"))+COUNTIFS(Database!$F:$I,CONCATENATE(Z$1,$J13,"W")))/(COUNTIFS(Database!$F:$I,CONCATENATE($J13,Z$1,"L"))+COUNTIFS(Database!$F:$I,CONCATENATE(Z$1,$J13,"L"))+COUNTIFS(Database!$F:$I,CONCATENATE($J13,Z$1,"W"))+COUNTIFS(Database!$F:$I,CONCATENATE(Z$1,$J13,"W"))),"-")</f>
        <v>0.5</v>
      </c>
      <c r="AA13" s="34">
        <f>IFERROR((COUNTIFS(Database!$F:$I,CONCATENATE($J13,AA$1,"W"))+COUNTIFS(Database!$F:$I,CONCATENATE(AA$1,$J13,"W")))/(COUNTIFS(Database!$F:$I,CONCATENATE($J13,AA$1,"L"))+COUNTIFS(Database!$F:$I,CONCATENATE(AA$1,$J13,"L"))+COUNTIFS(Database!$F:$I,CONCATENATE($J13,AA$1,"W"))+COUNTIFS(Database!$F:$I,CONCATENATE(AA$1,$J13,"W"))),"-")</f>
        <v>1</v>
      </c>
      <c r="AB13" s="34">
        <f>IFERROR((COUNTIFS(Database!$F:$I,CONCATENATE($J13,AB$1,"W"))+COUNTIFS(Database!$F:$I,CONCATENATE(AB$1,$J13,"W")))/(COUNTIFS(Database!$F:$I,CONCATENATE($J13,AB$1,"L"))+COUNTIFS(Database!$F:$I,CONCATENATE(AB$1,$J13,"L"))+COUNTIFS(Database!$F:$I,CONCATENATE($J13,AB$1,"W"))+COUNTIFS(Database!$F:$I,CONCATENATE(AB$1,$J13,"W"))),"-")</f>
        <v>1</v>
      </c>
      <c r="AC13" s="34">
        <f>IFERROR((COUNTIFS(Database!$F:$I,CONCATENATE($J13,AC$1,"W"))+COUNTIFS(Database!$F:$I,CONCATENATE(AC$1,$J13,"W")))/(COUNTIFS(Database!$F:$I,CONCATENATE($J13,AC$1,"L"))+COUNTIFS(Database!$F:$I,CONCATENATE(AC$1,$J13,"L"))+COUNTIFS(Database!$F:$I,CONCATENATE($J13,AC$1,"W"))+COUNTIFS(Database!$F:$I,CONCATENATE(AC$1,$J13,"W"))),"-")</f>
        <v>0.66666666666666663</v>
      </c>
      <c r="AD13" s="88">
        <f>IFERROR((COUNTIFS(Database!$F:$I,CONCATENATE($J13,AD$1,"W"))+COUNTIFS(Database!$F:$I,CONCATENATE(AD$1,$J13,"W")))/(COUNTIFS(Database!$F:$I,CONCATENATE($J13,AD$1,"L"))+COUNTIFS(Database!$F:$I,CONCATENATE(AD$1,$J13,"L"))+COUNTIFS(Database!$F:$I,CONCATENATE($J13,AD$1,"W"))+COUNTIFS(Database!$F:$I,CONCATENATE(AD$1,$J13,"W"))),"-")</f>
        <v>0.5714285714285714</v>
      </c>
    </row>
    <row r="14" spans="1:30" ht="12.75" customHeight="1" x14ac:dyDescent="0.25">
      <c r="A14" s="32" t="s">
        <v>18</v>
      </c>
      <c r="B14" s="52">
        <f>IFERROR(VLOOKUP(A14,Stats!B:F,5,0),0)</f>
        <v>0</v>
      </c>
      <c r="C14" s="52" t="s">
        <v>81</v>
      </c>
      <c r="E14" s="73" t="s">
        <v>82</v>
      </c>
      <c r="F14" s="73"/>
      <c r="H14" s="69" t="str">
        <f>VLOOKUP(A14,Stats!B:B,1,0)</f>
        <v>Alex</v>
      </c>
      <c r="J14" s="90" t="str">
        <f t="shared" si="1"/>
        <v>Alex</v>
      </c>
      <c r="K14" s="98">
        <f>IFERROR((COUNTIFS(Database!$F:$I,CONCATENATE($J14,K$1,"W"))+COUNTIFS(Database!$F:$I,CONCATENATE(K$1,$J14,"W")))/(COUNTIFS(Database!$F:$I,CONCATENATE($J14,K$1,"L"))+COUNTIFS(Database!$F:$I,CONCATENATE(K$1,$J14,"L"))+COUNTIFS(Database!$F:$I,CONCATENATE($J14,K$1,"W"))+COUNTIFS(Database!$F:$I,CONCATENATE(K$1,$J14,"W"))),"-")</f>
        <v>0</v>
      </c>
      <c r="L14" s="34" t="str">
        <f>IFERROR((COUNTIFS(Database!$F:$I,CONCATENATE($J14,L$1,"W"))+COUNTIFS(Database!$F:$I,CONCATENATE(L$1,$J14,"W")))/(COUNTIFS(Database!$F:$I,CONCATENATE($J14,L$1,"L"))+COUNTIFS(Database!$F:$I,CONCATENATE(L$1,$J14,"L"))+COUNTIFS(Database!$F:$I,CONCATENATE($J14,L$1,"W"))+COUNTIFS(Database!$F:$I,CONCATENATE(L$1,$J14,"W"))),"-")</f>
        <v>-</v>
      </c>
      <c r="M14" s="34">
        <f>IFERROR((COUNTIFS(Database!$F:$I,CONCATENATE($J14,M$1,"W"))+COUNTIFS(Database!$F:$I,CONCATENATE(M$1,$J14,"W")))/(COUNTIFS(Database!$F:$I,CONCATENATE($J14,M$1,"L"))+COUNTIFS(Database!$F:$I,CONCATENATE(M$1,$J14,"L"))+COUNTIFS(Database!$F:$I,CONCATENATE($J14,M$1,"W"))+COUNTIFS(Database!$F:$I,CONCATENATE(M$1,$J14,"W"))),"-")</f>
        <v>1</v>
      </c>
      <c r="N14" s="34">
        <f>IFERROR((COUNTIFS(Database!$F:$I,CONCATENATE($J14,N$1,"W"))+COUNTIFS(Database!$F:$I,CONCATENATE(N$1,$J14,"W")))/(COUNTIFS(Database!$F:$I,CONCATENATE($J14,N$1,"L"))+COUNTIFS(Database!$F:$I,CONCATENATE(N$1,$J14,"L"))+COUNTIFS(Database!$F:$I,CONCATENATE($J14,N$1,"W"))+COUNTIFS(Database!$F:$I,CONCATENATE(N$1,$J14,"W"))),"-")</f>
        <v>0</v>
      </c>
      <c r="O14" s="34">
        <f>IFERROR((COUNTIFS(Database!$F:$I,CONCATENATE($J14,O$1,"W"))+COUNTIFS(Database!$F:$I,CONCATENATE(O$1,$J14,"W")))/(COUNTIFS(Database!$F:$I,CONCATENATE($J14,O$1,"L"))+COUNTIFS(Database!$F:$I,CONCATENATE(O$1,$J14,"L"))+COUNTIFS(Database!$F:$I,CONCATENATE($J14,O$1,"W"))+COUNTIFS(Database!$F:$I,CONCATENATE(O$1,$J14,"W"))),"-")</f>
        <v>0</v>
      </c>
      <c r="P14" s="34">
        <f>IFERROR((COUNTIFS(Database!$F:$I,CONCATENATE($J14,P$1,"W"))+COUNTIFS(Database!$F:$I,CONCATENATE(P$1,$J14,"W")))/(COUNTIFS(Database!$F:$I,CONCATENATE($J14,P$1,"L"))+COUNTIFS(Database!$F:$I,CONCATENATE(P$1,$J14,"L"))+COUNTIFS(Database!$F:$I,CONCATENATE($J14,P$1,"W"))+COUNTIFS(Database!$F:$I,CONCATENATE(P$1,$J14,"W"))),"-")</f>
        <v>0</v>
      </c>
      <c r="Q14" s="34" t="str">
        <f>IFERROR((COUNTIFS(Database!$F:$I,CONCATENATE($J14,Q$1,"W"))+COUNTIFS(Database!$F:$I,CONCATENATE(Q$1,$J14,"W")))/(COUNTIFS(Database!$F:$I,CONCATENATE($J14,Q$1,"L"))+COUNTIFS(Database!$F:$I,CONCATENATE(Q$1,$J14,"L"))+COUNTIFS(Database!$F:$I,CONCATENATE($J14,Q$1,"W"))+COUNTIFS(Database!$F:$I,CONCATENATE(Q$1,$J14,"W"))),"-")</f>
        <v>-</v>
      </c>
      <c r="R14" s="34" t="str">
        <f>IFERROR((COUNTIFS(Database!$F:$I,CONCATENATE($J14,R$1,"W"))+COUNTIFS(Database!$F:$I,CONCATENATE(R$1,$J14,"W")))/(COUNTIFS(Database!$F:$I,CONCATENATE($J14,R$1,"L"))+COUNTIFS(Database!$F:$I,CONCATENATE(R$1,$J14,"L"))+COUNTIFS(Database!$F:$I,CONCATENATE($J14,R$1,"W"))+COUNTIFS(Database!$F:$I,CONCATENATE(R$1,$J14,"W"))),"-")</f>
        <v>-</v>
      </c>
      <c r="S14" s="34">
        <f>IFERROR((COUNTIFS(Database!$F:$I,CONCATENATE($J14,S$1,"W"))+COUNTIFS(Database!$F:$I,CONCATENATE(S$1,$J14,"W")))/(COUNTIFS(Database!$F:$I,CONCATENATE($J14,S$1,"L"))+COUNTIFS(Database!$F:$I,CONCATENATE(S$1,$J14,"L"))+COUNTIFS(Database!$F:$I,CONCATENATE($J14,S$1,"W"))+COUNTIFS(Database!$F:$I,CONCATENATE(S$1,$J14,"W"))),"-")</f>
        <v>0.33333333333333331</v>
      </c>
      <c r="T14" s="34">
        <f>IFERROR((COUNTIFS(Database!$F:$I,CONCATENATE($J14,T$1,"W"))+COUNTIFS(Database!$F:$I,CONCATENATE(T$1,$J14,"W")))/(COUNTIFS(Database!$F:$I,CONCATENATE($J14,T$1,"L"))+COUNTIFS(Database!$F:$I,CONCATENATE(T$1,$J14,"L"))+COUNTIFS(Database!$F:$I,CONCATENATE($J14,T$1,"W"))+COUNTIFS(Database!$F:$I,CONCATENATE(T$1,$J14,"W"))),"-")</f>
        <v>1</v>
      </c>
      <c r="U14" s="34">
        <f>IFERROR((COUNTIFS(Database!$F:$I,CONCATENATE($J14,U$1,"W"))+COUNTIFS(Database!$F:$I,CONCATENATE(U$1,$J14,"W")))/(COUNTIFS(Database!$F:$I,CONCATENATE($J14,U$1,"L"))+COUNTIFS(Database!$F:$I,CONCATENATE(U$1,$J14,"L"))+COUNTIFS(Database!$F:$I,CONCATENATE($J14,U$1,"W"))+COUNTIFS(Database!$F:$I,CONCATENATE(U$1,$J14,"W"))),"-")</f>
        <v>0.33333333333333331</v>
      </c>
      <c r="V14" s="34">
        <f>IFERROR((COUNTIFS(Database!$F:$I,CONCATENATE($J14,V$1,"W"))+COUNTIFS(Database!$F:$I,CONCATENATE(V$1,$J14,"W")))/(COUNTIFS(Database!$F:$I,CONCATENATE($J14,V$1,"L"))+COUNTIFS(Database!$F:$I,CONCATENATE(V$1,$J14,"L"))+COUNTIFS(Database!$F:$I,CONCATENATE($J14,V$1,"W"))+COUNTIFS(Database!$F:$I,CONCATENATE(V$1,$J14,"W"))),"-")</f>
        <v>1</v>
      </c>
      <c r="W14" s="94"/>
      <c r="X14" s="34">
        <f>IFERROR((COUNTIFS(Database!$F:$I,CONCATENATE($J14,X$1,"W"))+COUNTIFS(Database!$F:$I,CONCATENATE(X$1,$J14,"W")))/(COUNTIFS(Database!$F:$I,CONCATENATE($J14,X$1,"L"))+COUNTIFS(Database!$F:$I,CONCATENATE(X$1,$J14,"L"))+COUNTIFS(Database!$F:$I,CONCATENATE($J14,X$1,"W"))+COUNTIFS(Database!$F:$I,CONCATENATE(X$1,$J14,"W"))),"-")</f>
        <v>0</v>
      </c>
      <c r="Y14" s="34">
        <f>IFERROR((COUNTIFS(Database!$F:$I,CONCATENATE($J14,Y$1,"W"))+COUNTIFS(Database!$F:$I,CONCATENATE(Y$1,$J14,"W")))/(COUNTIFS(Database!$F:$I,CONCATENATE($J14,Y$1,"L"))+COUNTIFS(Database!$F:$I,CONCATENATE(Y$1,$J14,"L"))+COUNTIFS(Database!$F:$I,CONCATENATE($J14,Y$1,"W"))+COUNTIFS(Database!$F:$I,CONCATENATE(Y$1,$J14,"W"))),"-")</f>
        <v>0</v>
      </c>
      <c r="Z14" s="34" t="str">
        <f>IFERROR((COUNTIFS(Database!$F:$I,CONCATENATE($J14,Z$1,"W"))+COUNTIFS(Database!$F:$I,CONCATENATE(Z$1,$J14,"W")))/(COUNTIFS(Database!$F:$I,CONCATENATE($J14,Z$1,"L"))+COUNTIFS(Database!$F:$I,CONCATENATE(Z$1,$J14,"L"))+COUNTIFS(Database!$F:$I,CONCATENATE($J14,Z$1,"W"))+COUNTIFS(Database!$F:$I,CONCATENATE(Z$1,$J14,"W"))),"-")</f>
        <v>-</v>
      </c>
      <c r="AA14" s="34" t="str">
        <f>IFERROR((COUNTIFS(Database!$F:$I,CONCATENATE($J14,AA$1,"W"))+COUNTIFS(Database!$F:$I,CONCATENATE(AA$1,$J14,"W")))/(COUNTIFS(Database!$F:$I,CONCATENATE($J14,AA$1,"L"))+COUNTIFS(Database!$F:$I,CONCATENATE(AA$1,$J14,"L"))+COUNTIFS(Database!$F:$I,CONCATENATE($J14,AA$1,"W"))+COUNTIFS(Database!$F:$I,CONCATENATE(AA$1,$J14,"W"))),"-")</f>
        <v>-</v>
      </c>
      <c r="AB14" s="34" t="str">
        <f>IFERROR((COUNTIFS(Database!$F:$I,CONCATENATE($J14,AB$1,"W"))+COUNTIFS(Database!$F:$I,CONCATENATE(AB$1,$J14,"W")))/(COUNTIFS(Database!$F:$I,CONCATENATE($J14,AB$1,"L"))+COUNTIFS(Database!$F:$I,CONCATENATE(AB$1,$J14,"L"))+COUNTIFS(Database!$F:$I,CONCATENATE($J14,AB$1,"W"))+COUNTIFS(Database!$F:$I,CONCATENATE(AB$1,$J14,"W"))),"-")</f>
        <v>-</v>
      </c>
      <c r="AC14" s="34" t="str">
        <f>IFERROR((COUNTIFS(Database!$F:$I,CONCATENATE($J14,AC$1,"W"))+COUNTIFS(Database!$F:$I,CONCATENATE(AC$1,$J14,"W")))/(COUNTIFS(Database!$F:$I,CONCATENATE($J14,AC$1,"L"))+COUNTIFS(Database!$F:$I,CONCATENATE(AC$1,$J14,"L"))+COUNTIFS(Database!$F:$I,CONCATENATE($J14,AC$1,"W"))+COUNTIFS(Database!$F:$I,CONCATENATE(AC$1,$J14,"W"))),"-")</f>
        <v>-</v>
      </c>
      <c r="AD14" s="88" t="str">
        <f>IFERROR((COUNTIFS(Database!$F:$I,CONCATENATE($J14,AD$1,"W"))+COUNTIFS(Database!$F:$I,CONCATENATE(AD$1,$J14,"W")))/(COUNTIFS(Database!$F:$I,CONCATENATE($J14,AD$1,"L"))+COUNTIFS(Database!$F:$I,CONCATENATE(AD$1,$J14,"L"))+COUNTIFS(Database!$F:$I,CONCATENATE($J14,AD$1,"W"))+COUNTIFS(Database!$F:$I,CONCATENATE(AD$1,$J14,"W"))),"-")</f>
        <v>-</v>
      </c>
    </row>
    <row r="15" spans="1:30" ht="12.75" customHeight="1" x14ac:dyDescent="0.25">
      <c r="A15" s="32" t="s">
        <v>35</v>
      </c>
      <c r="B15" s="52">
        <f>IFERROR(VLOOKUP(A15,Stats!B:F,5,0),0)</f>
        <v>-1</v>
      </c>
      <c r="C15" s="52" t="s">
        <v>81</v>
      </c>
      <c r="E15" s="74" t="s">
        <v>77</v>
      </c>
      <c r="F15" s="75">
        <v>4</v>
      </c>
      <c r="H15" s="69" t="str">
        <f>VLOOKUP(A15,Stats!B:B,1,0)</f>
        <v>Dobro</v>
      </c>
      <c r="J15" s="90" t="str">
        <f t="shared" si="1"/>
        <v>Dobro</v>
      </c>
      <c r="K15" s="98">
        <f>IFERROR((COUNTIFS(Database!$F:$I,CONCATENATE($J15,K$1,"W"))+COUNTIFS(Database!$F:$I,CONCATENATE(K$1,$J15,"W")))/(COUNTIFS(Database!$F:$I,CONCATENATE($J15,K$1,"L"))+COUNTIFS(Database!$F:$I,CONCATENATE(K$1,$J15,"L"))+COUNTIFS(Database!$F:$I,CONCATENATE($J15,K$1,"W"))+COUNTIFS(Database!$F:$I,CONCATENATE(K$1,$J15,"W"))),"-")</f>
        <v>0.2</v>
      </c>
      <c r="L15" s="34">
        <f>IFERROR((COUNTIFS(Database!$F:$I,CONCATENATE($J15,L$1,"W"))+COUNTIFS(Database!$F:$I,CONCATENATE(L$1,$J15,"W")))/(COUNTIFS(Database!$F:$I,CONCATENATE($J15,L$1,"L"))+COUNTIFS(Database!$F:$I,CONCATENATE(L$1,$J15,"L"))+COUNTIFS(Database!$F:$I,CONCATENATE($J15,L$1,"W"))+COUNTIFS(Database!$F:$I,CONCATENATE(L$1,$J15,"W"))),"-")</f>
        <v>0.4</v>
      </c>
      <c r="M15" s="34">
        <f>IFERROR((COUNTIFS(Database!$F:$I,CONCATENATE($J15,M$1,"W"))+COUNTIFS(Database!$F:$I,CONCATENATE(M$1,$J15,"W")))/(COUNTIFS(Database!$F:$I,CONCATENATE($J15,M$1,"L"))+COUNTIFS(Database!$F:$I,CONCATENATE(M$1,$J15,"L"))+COUNTIFS(Database!$F:$I,CONCATENATE($J15,M$1,"W"))+COUNTIFS(Database!$F:$I,CONCATENATE(M$1,$J15,"W"))),"-")</f>
        <v>0.42857142857142855</v>
      </c>
      <c r="N15" s="34">
        <f>IFERROR((COUNTIFS(Database!$F:$I,CONCATENATE($J15,N$1,"W"))+COUNTIFS(Database!$F:$I,CONCATENATE(N$1,$J15,"W")))/(COUNTIFS(Database!$F:$I,CONCATENATE($J15,N$1,"L"))+COUNTIFS(Database!$F:$I,CONCATENATE(N$1,$J15,"L"))+COUNTIFS(Database!$F:$I,CONCATENATE($J15,N$1,"W"))+COUNTIFS(Database!$F:$I,CONCATENATE(N$1,$J15,"W"))),"-")</f>
        <v>0.375</v>
      </c>
      <c r="O15" s="34">
        <f>IFERROR((COUNTIFS(Database!$F:$I,CONCATENATE($J15,O$1,"W"))+COUNTIFS(Database!$F:$I,CONCATENATE(O$1,$J15,"W")))/(COUNTIFS(Database!$F:$I,CONCATENATE($J15,O$1,"L"))+COUNTIFS(Database!$F:$I,CONCATENATE(O$1,$J15,"L"))+COUNTIFS(Database!$F:$I,CONCATENATE($J15,O$1,"W"))+COUNTIFS(Database!$F:$I,CONCATENATE(O$1,$J15,"W"))),"-")</f>
        <v>0.5</v>
      </c>
      <c r="P15" s="34">
        <f>IFERROR((COUNTIFS(Database!$F:$I,CONCATENATE($J15,P$1,"W"))+COUNTIFS(Database!$F:$I,CONCATENATE(P$1,$J15,"W")))/(COUNTIFS(Database!$F:$I,CONCATENATE($J15,P$1,"L"))+COUNTIFS(Database!$F:$I,CONCATENATE(P$1,$J15,"L"))+COUNTIFS(Database!$F:$I,CONCATENATE($J15,P$1,"W"))+COUNTIFS(Database!$F:$I,CONCATENATE(P$1,$J15,"W"))),"-")</f>
        <v>0.375</v>
      </c>
      <c r="Q15" s="34">
        <f>IFERROR((COUNTIFS(Database!$F:$I,CONCATENATE($J15,Q$1,"W"))+COUNTIFS(Database!$F:$I,CONCATENATE(Q$1,$J15,"W")))/(COUNTIFS(Database!$F:$I,CONCATENATE($J15,Q$1,"L"))+COUNTIFS(Database!$F:$I,CONCATENATE(Q$1,$J15,"L"))+COUNTIFS(Database!$F:$I,CONCATENATE($J15,Q$1,"W"))+COUNTIFS(Database!$F:$I,CONCATENATE(Q$1,$J15,"W"))),"-")</f>
        <v>0.16666666666666666</v>
      </c>
      <c r="R15" s="34">
        <f>IFERROR((COUNTIFS(Database!$F:$I,CONCATENATE($J15,R$1,"W"))+COUNTIFS(Database!$F:$I,CONCATENATE(R$1,$J15,"W")))/(COUNTIFS(Database!$F:$I,CONCATENATE($J15,R$1,"L"))+COUNTIFS(Database!$F:$I,CONCATENATE(R$1,$J15,"L"))+COUNTIFS(Database!$F:$I,CONCATENATE($J15,R$1,"W"))+COUNTIFS(Database!$F:$I,CONCATENATE(R$1,$J15,"W"))),"-")</f>
        <v>1</v>
      </c>
      <c r="S15" s="34">
        <f>IFERROR((COUNTIFS(Database!$F:$I,CONCATENATE($J15,S$1,"W"))+COUNTIFS(Database!$F:$I,CONCATENATE(S$1,$J15,"W")))/(COUNTIFS(Database!$F:$I,CONCATENATE($J15,S$1,"L"))+COUNTIFS(Database!$F:$I,CONCATENATE(S$1,$J15,"L"))+COUNTIFS(Database!$F:$I,CONCATENATE($J15,S$1,"W"))+COUNTIFS(Database!$F:$I,CONCATENATE(S$1,$J15,"W"))),"-")</f>
        <v>0.5</v>
      </c>
      <c r="T15" s="34" t="str">
        <f>IFERROR((COUNTIFS(Database!$F:$I,CONCATENATE($J15,T$1,"W"))+COUNTIFS(Database!$F:$I,CONCATENATE(T$1,$J15,"W")))/(COUNTIFS(Database!$F:$I,CONCATENATE($J15,T$1,"L"))+COUNTIFS(Database!$F:$I,CONCATENATE(T$1,$J15,"L"))+COUNTIFS(Database!$F:$I,CONCATENATE($J15,T$1,"W"))+COUNTIFS(Database!$F:$I,CONCATENATE(T$1,$J15,"W"))),"-")</f>
        <v>-</v>
      </c>
      <c r="U15" s="34">
        <f>IFERROR((COUNTIFS(Database!$F:$I,CONCATENATE($J15,U$1,"W"))+COUNTIFS(Database!$F:$I,CONCATENATE(U$1,$J15,"W")))/(COUNTIFS(Database!$F:$I,CONCATENATE($J15,U$1,"L"))+COUNTIFS(Database!$F:$I,CONCATENATE(U$1,$J15,"L"))+COUNTIFS(Database!$F:$I,CONCATENATE($J15,U$1,"W"))+COUNTIFS(Database!$F:$I,CONCATENATE(U$1,$J15,"W"))),"-")</f>
        <v>0.5</v>
      </c>
      <c r="V15" s="34">
        <f>IFERROR((COUNTIFS(Database!$F:$I,CONCATENATE($J15,V$1,"W"))+COUNTIFS(Database!$F:$I,CONCATENATE(V$1,$J15,"W")))/(COUNTIFS(Database!$F:$I,CONCATENATE($J15,V$1,"L"))+COUNTIFS(Database!$F:$I,CONCATENATE(V$1,$J15,"L"))+COUNTIFS(Database!$F:$I,CONCATENATE($J15,V$1,"W"))+COUNTIFS(Database!$F:$I,CONCATENATE(V$1,$J15,"W"))),"-")</f>
        <v>0.55555555555555558</v>
      </c>
      <c r="W15" s="34">
        <f>IFERROR((COUNTIFS(Database!$F:$I,CONCATENATE($J15,W$1,"W"))+COUNTIFS(Database!$F:$I,CONCATENATE(W$1,$J15,"W")))/(COUNTIFS(Database!$F:$I,CONCATENATE($J15,W$1,"L"))+COUNTIFS(Database!$F:$I,CONCATENATE(W$1,$J15,"L"))+COUNTIFS(Database!$F:$I,CONCATENATE($J15,W$1,"W"))+COUNTIFS(Database!$F:$I,CONCATENATE(W$1,$J15,"W"))),"-")</f>
        <v>0</v>
      </c>
      <c r="X15" s="94"/>
      <c r="Y15" s="34" t="str">
        <f>IFERROR((COUNTIFS(Database!$F:$I,CONCATENATE($J15,Y$1,"W"))+COUNTIFS(Database!$F:$I,CONCATENATE(Y$1,$J15,"W")))/(COUNTIFS(Database!$F:$I,CONCATENATE($J15,Y$1,"L"))+COUNTIFS(Database!$F:$I,CONCATENATE(Y$1,$J15,"L"))+COUNTIFS(Database!$F:$I,CONCATENATE($J15,Y$1,"W"))+COUNTIFS(Database!$F:$I,CONCATENATE(Y$1,$J15,"W"))),"-")</f>
        <v>-</v>
      </c>
      <c r="Z15" s="34">
        <f>IFERROR((COUNTIFS(Database!$F:$I,CONCATENATE($J15,Z$1,"W"))+COUNTIFS(Database!$F:$I,CONCATENATE(Z$1,$J15,"W")))/(COUNTIFS(Database!$F:$I,CONCATENATE($J15,Z$1,"L"))+COUNTIFS(Database!$F:$I,CONCATENATE(Z$1,$J15,"L"))+COUNTIFS(Database!$F:$I,CONCATENATE($J15,Z$1,"W"))+COUNTIFS(Database!$F:$I,CONCATENATE(Z$1,$J15,"W"))),"-")</f>
        <v>0.33333333333333331</v>
      </c>
      <c r="AA15" s="34">
        <f>IFERROR((COUNTIFS(Database!$F:$I,CONCATENATE($J15,AA$1,"W"))+COUNTIFS(Database!$F:$I,CONCATENATE(AA$1,$J15,"W")))/(COUNTIFS(Database!$F:$I,CONCATENATE($J15,AA$1,"L"))+COUNTIFS(Database!$F:$I,CONCATENATE(AA$1,$J15,"L"))+COUNTIFS(Database!$F:$I,CONCATENATE($J15,AA$1,"W"))+COUNTIFS(Database!$F:$I,CONCATENATE(AA$1,$J15,"W"))),"-")</f>
        <v>0.66666666666666663</v>
      </c>
      <c r="AB15" s="34">
        <f>IFERROR((COUNTIFS(Database!$F:$I,CONCATENATE($J15,AB$1,"W"))+COUNTIFS(Database!$F:$I,CONCATENATE(AB$1,$J15,"W")))/(COUNTIFS(Database!$F:$I,CONCATENATE($J15,AB$1,"L"))+COUNTIFS(Database!$F:$I,CONCATENATE(AB$1,$J15,"L"))+COUNTIFS(Database!$F:$I,CONCATENATE($J15,AB$1,"W"))+COUNTIFS(Database!$F:$I,CONCATENATE(AB$1,$J15,"W"))),"-")</f>
        <v>0.33333333333333331</v>
      </c>
      <c r="AC15" s="34">
        <f>IFERROR((COUNTIFS(Database!$F:$I,CONCATENATE($J15,AC$1,"W"))+COUNTIFS(Database!$F:$I,CONCATENATE(AC$1,$J15,"W")))/(COUNTIFS(Database!$F:$I,CONCATENATE($J15,AC$1,"L"))+COUNTIFS(Database!$F:$I,CONCATENATE(AC$1,$J15,"L"))+COUNTIFS(Database!$F:$I,CONCATENATE($J15,AC$1,"W"))+COUNTIFS(Database!$F:$I,CONCATENATE(AC$1,$J15,"W"))),"-")</f>
        <v>0.8571428571428571</v>
      </c>
      <c r="AD15" s="88">
        <f>IFERROR((COUNTIFS(Database!$F:$I,CONCATENATE($J15,AD$1,"W"))+COUNTIFS(Database!$F:$I,CONCATENATE(AD$1,$J15,"W")))/(COUNTIFS(Database!$F:$I,CONCATENATE($J15,AD$1,"L"))+COUNTIFS(Database!$F:$I,CONCATENATE(AD$1,$J15,"L"))+COUNTIFS(Database!$F:$I,CONCATENATE($J15,AD$1,"W"))+COUNTIFS(Database!$F:$I,CONCATENATE(AD$1,$J15,"W"))),"-")</f>
        <v>0.75</v>
      </c>
    </row>
    <row r="16" spans="1:30" ht="12.75" customHeight="1" x14ac:dyDescent="0.25">
      <c r="A16" s="66" t="s">
        <v>146</v>
      </c>
      <c r="B16" s="67">
        <f>IFERROR(VLOOKUP(A16,Stats!B:F,5,0),0)</f>
        <v>0</v>
      </c>
      <c r="C16" s="67" t="s">
        <v>81</v>
      </c>
      <c r="E16" s="76" t="s">
        <v>78</v>
      </c>
      <c r="F16" s="77">
        <v>4</v>
      </c>
      <c r="H16" s="69" t="str">
        <f>VLOOKUP(A16,Stats!B:B,1,0)</f>
        <v>Lars</v>
      </c>
      <c r="J16" s="90" t="str">
        <f t="shared" si="1"/>
        <v>Lars</v>
      </c>
      <c r="K16" s="98" t="str">
        <f>IFERROR((COUNTIFS(Database!$F:$I,CONCATENATE($J16,K$1,"W"))+COUNTIFS(Database!$F:$I,CONCATENATE(K$1,$J16,"W")))/(COUNTIFS(Database!$F:$I,CONCATENATE($J16,K$1,"L"))+COUNTIFS(Database!$F:$I,CONCATENATE(K$1,$J16,"L"))+COUNTIFS(Database!$F:$I,CONCATENATE($J16,K$1,"W"))+COUNTIFS(Database!$F:$I,CONCATENATE(K$1,$J16,"W"))),"-")</f>
        <v>-</v>
      </c>
      <c r="L16" s="34">
        <f>IFERROR((COUNTIFS(Database!$F:$I,CONCATENATE($J16,L$1,"W"))+COUNTIFS(Database!$F:$I,CONCATENATE(L$1,$J16,"W")))/(COUNTIFS(Database!$F:$I,CONCATENATE($J16,L$1,"L"))+COUNTIFS(Database!$F:$I,CONCATENATE(L$1,$J16,"L"))+COUNTIFS(Database!$F:$I,CONCATENATE($J16,L$1,"W"))+COUNTIFS(Database!$F:$I,CONCATENATE(L$1,$J16,"W"))),"-")</f>
        <v>1</v>
      </c>
      <c r="M16" s="34" t="str">
        <f>IFERROR((COUNTIFS(Database!$F:$I,CONCATENATE($J16,M$1,"W"))+COUNTIFS(Database!$F:$I,CONCATENATE(M$1,$J16,"W")))/(COUNTIFS(Database!$F:$I,CONCATENATE($J16,M$1,"L"))+COUNTIFS(Database!$F:$I,CONCATENATE(M$1,$J16,"L"))+COUNTIFS(Database!$F:$I,CONCATENATE($J16,M$1,"W"))+COUNTIFS(Database!$F:$I,CONCATENATE(M$1,$J16,"W"))),"-")</f>
        <v>-</v>
      </c>
      <c r="N16" s="34" t="str">
        <f>IFERROR((COUNTIFS(Database!$F:$I,CONCATENATE($J16,N$1,"W"))+COUNTIFS(Database!$F:$I,CONCATENATE(N$1,$J16,"W")))/(COUNTIFS(Database!$F:$I,CONCATENATE($J16,N$1,"L"))+COUNTIFS(Database!$F:$I,CONCATENATE(N$1,$J16,"L"))+COUNTIFS(Database!$F:$I,CONCATENATE($J16,N$1,"W"))+COUNTIFS(Database!$F:$I,CONCATENATE(N$1,$J16,"W"))),"-")</f>
        <v>-</v>
      </c>
      <c r="O16" s="34">
        <f>IFERROR((COUNTIFS(Database!$F:$I,CONCATENATE($J16,O$1,"W"))+COUNTIFS(Database!$F:$I,CONCATENATE(O$1,$J16,"W")))/(COUNTIFS(Database!$F:$I,CONCATENATE($J16,O$1,"L"))+COUNTIFS(Database!$F:$I,CONCATENATE(O$1,$J16,"L"))+COUNTIFS(Database!$F:$I,CONCATENATE($J16,O$1,"W"))+COUNTIFS(Database!$F:$I,CONCATENATE(O$1,$J16,"W"))),"-")</f>
        <v>0</v>
      </c>
      <c r="P16" s="34" t="str">
        <f>IFERROR((COUNTIFS(Database!$F:$I,CONCATENATE($J16,P$1,"W"))+COUNTIFS(Database!$F:$I,CONCATENATE(P$1,$J16,"W")))/(COUNTIFS(Database!$F:$I,CONCATENATE($J16,P$1,"L"))+COUNTIFS(Database!$F:$I,CONCATENATE(P$1,$J16,"L"))+COUNTIFS(Database!$F:$I,CONCATENATE($J16,P$1,"W"))+COUNTIFS(Database!$F:$I,CONCATENATE(P$1,$J16,"W"))),"-")</f>
        <v>-</v>
      </c>
      <c r="Q16" s="34" t="str">
        <f>IFERROR((COUNTIFS(Database!$F:$I,CONCATENATE($J16,Q$1,"W"))+COUNTIFS(Database!$F:$I,CONCATENATE(Q$1,$J16,"W")))/(COUNTIFS(Database!$F:$I,CONCATENATE($J16,Q$1,"L"))+COUNTIFS(Database!$F:$I,CONCATENATE(Q$1,$J16,"L"))+COUNTIFS(Database!$F:$I,CONCATENATE($J16,Q$1,"W"))+COUNTIFS(Database!$F:$I,CONCATENATE(Q$1,$J16,"W"))),"-")</f>
        <v>-</v>
      </c>
      <c r="R16" s="34">
        <f>IFERROR((COUNTIFS(Database!$F:$I,CONCATENATE($J16,R$1,"W"))+COUNTIFS(Database!$F:$I,CONCATENATE(R$1,$J16,"W")))/(COUNTIFS(Database!$F:$I,CONCATENATE($J16,R$1,"L"))+COUNTIFS(Database!$F:$I,CONCATENATE(R$1,$J16,"L"))+COUNTIFS(Database!$F:$I,CONCATENATE($J16,R$1,"W"))+COUNTIFS(Database!$F:$I,CONCATENATE(R$1,$J16,"W"))),"-")</f>
        <v>0</v>
      </c>
      <c r="S16" s="34">
        <f>IFERROR((COUNTIFS(Database!$F:$I,CONCATENATE($J16,S$1,"W"))+COUNTIFS(Database!$F:$I,CONCATENATE(S$1,$J16,"W")))/(COUNTIFS(Database!$F:$I,CONCATENATE($J16,S$1,"L"))+COUNTIFS(Database!$F:$I,CONCATENATE(S$1,$J16,"L"))+COUNTIFS(Database!$F:$I,CONCATENATE($J16,S$1,"W"))+COUNTIFS(Database!$F:$I,CONCATENATE(S$1,$J16,"W"))),"-")</f>
        <v>0.33333333333333331</v>
      </c>
      <c r="T16" s="34" t="str">
        <f>IFERROR((COUNTIFS(Database!$F:$I,CONCATENATE($J16,T$1,"W"))+COUNTIFS(Database!$F:$I,CONCATENATE(T$1,$J16,"W")))/(COUNTIFS(Database!$F:$I,CONCATENATE($J16,T$1,"L"))+COUNTIFS(Database!$F:$I,CONCATENATE(T$1,$J16,"L"))+COUNTIFS(Database!$F:$I,CONCATENATE($J16,T$1,"W"))+COUNTIFS(Database!$F:$I,CONCATENATE(T$1,$J16,"W"))),"-")</f>
        <v>-</v>
      </c>
      <c r="U16" s="34">
        <f>IFERROR((COUNTIFS(Database!$F:$I,CONCATENATE($J16,U$1,"W"))+COUNTIFS(Database!$F:$I,CONCATENATE(U$1,$J16,"W")))/(COUNTIFS(Database!$F:$I,CONCATENATE($J16,U$1,"L"))+COUNTIFS(Database!$F:$I,CONCATENATE(U$1,$J16,"L"))+COUNTIFS(Database!$F:$I,CONCATENATE($J16,U$1,"W"))+COUNTIFS(Database!$F:$I,CONCATENATE(U$1,$J16,"W"))),"-")</f>
        <v>0</v>
      </c>
      <c r="V16" s="34" t="str">
        <f>IFERROR((COUNTIFS(Database!$F:$I,CONCATENATE($J16,V$1,"W"))+COUNTIFS(Database!$F:$I,CONCATENATE(V$1,$J16,"W")))/(COUNTIFS(Database!$F:$I,CONCATENATE($J16,V$1,"L"))+COUNTIFS(Database!$F:$I,CONCATENATE(V$1,$J16,"L"))+COUNTIFS(Database!$F:$I,CONCATENATE($J16,V$1,"W"))+COUNTIFS(Database!$F:$I,CONCATENATE(V$1,$J16,"W"))),"-")</f>
        <v>-</v>
      </c>
      <c r="W16" s="34">
        <f>IFERROR((COUNTIFS(Database!$F:$I,CONCATENATE($J16,W$1,"W"))+COUNTIFS(Database!$F:$I,CONCATENATE(W$1,$J16,"W")))/(COUNTIFS(Database!$F:$I,CONCATENATE($J16,W$1,"L"))+COUNTIFS(Database!$F:$I,CONCATENATE(W$1,$J16,"L"))+COUNTIFS(Database!$F:$I,CONCATENATE($J16,W$1,"W"))+COUNTIFS(Database!$F:$I,CONCATENATE(W$1,$J16,"W"))),"-")</f>
        <v>0</v>
      </c>
      <c r="X16" s="34" t="str">
        <f>IFERROR((COUNTIFS(Database!$F:$I,CONCATENATE($J16,X$1,"W"))+COUNTIFS(Database!$F:$I,CONCATENATE(X$1,$J16,"W")))/(COUNTIFS(Database!$F:$I,CONCATENATE($J16,X$1,"L"))+COUNTIFS(Database!$F:$I,CONCATENATE(X$1,$J16,"L"))+COUNTIFS(Database!$F:$I,CONCATENATE($J16,X$1,"W"))+COUNTIFS(Database!$F:$I,CONCATENATE(X$1,$J16,"W"))),"-")</f>
        <v>-</v>
      </c>
      <c r="Y16" s="94"/>
      <c r="Z16" s="34" t="str">
        <f>IFERROR((COUNTIFS(Database!$F:$I,CONCATENATE($J16,Z$1,"W"))+COUNTIFS(Database!$F:$I,CONCATENATE(Z$1,$J16,"W")))/(COUNTIFS(Database!$F:$I,CONCATENATE($J16,Z$1,"L"))+COUNTIFS(Database!$F:$I,CONCATENATE(Z$1,$J16,"L"))+COUNTIFS(Database!$F:$I,CONCATENATE($J16,Z$1,"W"))+COUNTIFS(Database!$F:$I,CONCATENATE(Z$1,$J16,"W"))),"-")</f>
        <v>-</v>
      </c>
      <c r="AA16" s="34" t="str">
        <f>IFERROR((COUNTIFS(Database!$F:$I,CONCATENATE($J16,AA$1,"W"))+COUNTIFS(Database!$F:$I,CONCATENATE(AA$1,$J16,"W")))/(COUNTIFS(Database!$F:$I,CONCATENATE($J16,AA$1,"L"))+COUNTIFS(Database!$F:$I,CONCATENATE(AA$1,$J16,"L"))+COUNTIFS(Database!$F:$I,CONCATENATE($J16,AA$1,"W"))+COUNTIFS(Database!$F:$I,CONCATENATE(AA$1,$J16,"W"))),"-")</f>
        <v>-</v>
      </c>
      <c r="AB16" s="34" t="str">
        <f>IFERROR((COUNTIFS(Database!$F:$I,CONCATENATE($J16,AB$1,"W"))+COUNTIFS(Database!$F:$I,CONCATENATE(AB$1,$J16,"W")))/(COUNTIFS(Database!$F:$I,CONCATENATE($J16,AB$1,"L"))+COUNTIFS(Database!$F:$I,CONCATENATE(AB$1,$J16,"L"))+COUNTIFS(Database!$F:$I,CONCATENATE($J16,AB$1,"W"))+COUNTIFS(Database!$F:$I,CONCATENATE(AB$1,$J16,"W"))),"-")</f>
        <v>-</v>
      </c>
      <c r="AC16" s="34" t="str">
        <f>IFERROR((COUNTIFS(Database!$F:$I,CONCATENATE($J16,AC$1,"W"))+COUNTIFS(Database!$F:$I,CONCATENATE(AC$1,$J16,"W")))/(COUNTIFS(Database!$F:$I,CONCATENATE($J16,AC$1,"L"))+COUNTIFS(Database!$F:$I,CONCATENATE(AC$1,$J16,"L"))+COUNTIFS(Database!$F:$I,CONCATENATE($J16,AC$1,"W"))+COUNTIFS(Database!$F:$I,CONCATENATE(AC$1,$J16,"W"))),"-")</f>
        <v>-</v>
      </c>
      <c r="AD16" s="88">
        <f>IFERROR((COUNTIFS(Database!$F:$I,CONCATENATE($J16,AD$1,"W"))+COUNTIFS(Database!$F:$I,CONCATENATE(AD$1,$J16,"W")))/(COUNTIFS(Database!$F:$I,CONCATENATE($J16,AD$1,"L"))+COUNTIFS(Database!$F:$I,CONCATENATE(AD$1,$J16,"L"))+COUNTIFS(Database!$F:$I,CONCATENATE($J16,AD$1,"W"))+COUNTIFS(Database!$F:$I,CONCATENATE(AD$1,$J16,"W"))),"-")</f>
        <v>0.5</v>
      </c>
    </row>
    <row r="17" spans="1:30" ht="12.75" customHeight="1" x14ac:dyDescent="0.25">
      <c r="A17" s="32" t="s">
        <v>152</v>
      </c>
      <c r="B17" s="52">
        <f>IFERROR(VLOOKUP(A17,Stats!B:F,5,0),0)</f>
        <v>-2</v>
      </c>
      <c r="C17" s="52" t="s">
        <v>81</v>
      </c>
      <c r="E17" s="76" t="s">
        <v>80</v>
      </c>
      <c r="F17" s="77">
        <v>4</v>
      </c>
      <c r="H17" s="69" t="str">
        <f>VLOOKUP(A17,Stats!B:B,1,0)</f>
        <v>Shawn</v>
      </c>
      <c r="J17" s="90" t="str">
        <f t="shared" si="1"/>
        <v>Shawn</v>
      </c>
      <c r="K17" s="98">
        <f>IFERROR((COUNTIFS(Database!$F:$I,CONCATENATE($J17,K$1,"W"))+COUNTIFS(Database!$F:$I,CONCATENATE(K$1,$J17,"W")))/(COUNTIFS(Database!$F:$I,CONCATENATE($J17,K$1,"L"))+COUNTIFS(Database!$F:$I,CONCATENATE(K$1,$J17,"L"))+COUNTIFS(Database!$F:$I,CONCATENATE($J17,K$1,"W"))+COUNTIFS(Database!$F:$I,CONCATENATE(K$1,$J17,"W"))),"-")</f>
        <v>0</v>
      </c>
      <c r="L17" s="34" t="str">
        <f>IFERROR((COUNTIFS(Database!$F:$I,CONCATENATE($J17,L$1,"W"))+COUNTIFS(Database!$F:$I,CONCATENATE(L$1,$J17,"W")))/(COUNTIFS(Database!$F:$I,CONCATENATE($J17,L$1,"L"))+COUNTIFS(Database!$F:$I,CONCATENATE(L$1,$J17,"L"))+COUNTIFS(Database!$F:$I,CONCATENATE($J17,L$1,"W"))+COUNTIFS(Database!$F:$I,CONCATENATE(L$1,$J17,"W"))),"-")</f>
        <v>-</v>
      </c>
      <c r="M17" s="34">
        <f>IFERROR((COUNTIFS(Database!$F:$I,CONCATENATE($J17,M$1,"W"))+COUNTIFS(Database!$F:$I,CONCATENATE(M$1,$J17,"W")))/(COUNTIFS(Database!$F:$I,CONCATENATE($J17,M$1,"L"))+COUNTIFS(Database!$F:$I,CONCATENATE(M$1,$J17,"L"))+COUNTIFS(Database!$F:$I,CONCATENATE($J17,M$1,"W"))+COUNTIFS(Database!$F:$I,CONCATENATE(M$1,$J17,"W"))),"-")</f>
        <v>0</v>
      </c>
      <c r="N17" s="34">
        <f>IFERROR((COUNTIFS(Database!$F:$I,CONCATENATE($J17,N$1,"W"))+COUNTIFS(Database!$F:$I,CONCATENATE(N$1,$J17,"W")))/(COUNTIFS(Database!$F:$I,CONCATENATE($J17,N$1,"L"))+COUNTIFS(Database!$F:$I,CONCATENATE(N$1,$J17,"L"))+COUNTIFS(Database!$F:$I,CONCATENATE($J17,N$1,"W"))+COUNTIFS(Database!$F:$I,CONCATENATE(N$1,$J17,"W"))),"-")</f>
        <v>0.5</v>
      </c>
      <c r="O17" s="34" t="str">
        <f>IFERROR((COUNTIFS(Database!$F:$I,CONCATENATE($J17,O$1,"W"))+COUNTIFS(Database!$F:$I,CONCATENATE(O$1,$J17,"W")))/(COUNTIFS(Database!$F:$I,CONCATENATE($J17,O$1,"L"))+COUNTIFS(Database!$F:$I,CONCATENATE(O$1,$J17,"L"))+COUNTIFS(Database!$F:$I,CONCATENATE($J17,O$1,"W"))+COUNTIFS(Database!$F:$I,CONCATENATE(O$1,$J17,"W"))),"-")</f>
        <v>-</v>
      </c>
      <c r="P17" s="34">
        <f>IFERROR((COUNTIFS(Database!$F:$I,CONCATENATE($J17,P$1,"W"))+COUNTIFS(Database!$F:$I,CONCATENATE(P$1,$J17,"W")))/(COUNTIFS(Database!$F:$I,CONCATENATE($J17,P$1,"L"))+COUNTIFS(Database!$F:$I,CONCATENATE(P$1,$J17,"L"))+COUNTIFS(Database!$F:$I,CONCATENATE($J17,P$1,"W"))+COUNTIFS(Database!$F:$I,CONCATENATE(P$1,$J17,"W"))),"-")</f>
        <v>0.5</v>
      </c>
      <c r="Q17" s="34">
        <f>IFERROR((COUNTIFS(Database!$F:$I,CONCATENATE($J17,Q$1,"W"))+COUNTIFS(Database!$F:$I,CONCATENATE(Q$1,$J17,"W")))/(COUNTIFS(Database!$F:$I,CONCATENATE($J17,Q$1,"L"))+COUNTIFS(Database!$F:$I,CONCATENATE(Q$1,$J17,"L"))+COUNTIFS(Database!$F:$I,CONCATENATE($J17,Q$1,"W"))+COUNTIFS(Database!$F:$I,CONCATENATE(Q$1,$J17,"W"))),"-")</f>
        <v>0</v>
      </c>
      <c r="R17" s="34" t="str">
        <f>IFERROR((COUNTIFS(Database!$F:$I,CONCATENATE($J17,R$1,"W"))+COUNTIFS(Database!$F:$I,CONCATENATE(R$1,$J17,"W")))/(COUNTIFS(Database!$F:$I,CONCATENATE($J17,R$1,"L"))+COUNTIFS(Database!$F:$I,CONCATENATE(R$1,$J17,"L"))+COUNTIFS(Database!$F:$I,CONCATENATE($J17,R$1,"W"))+COUNTIFS(Database!$F:$I,CONCATENATE(R$1,$J17,"W"))),"-")</f>
        <v>-</v>
      </c>
      <c r="S17" s="34" t="str">
        <f>IFERROR((COUNTIFS(Database!$F:$I,CONCATENATE($J17,S$1,"W"))+COUNTIFS(Database!$F:$I,CONCATENATE(S$1,$J17,"W")))/(COUNTIFS(Database!$F:$I,CONCATENATE($J17,S$1,"L"))+COUNTIFS(Database!$F:$I,CONCATENATE(S$1,$J17,"L"))+COUNTIFS(Database!$F:$I,CONCATENATE($J17,S$1,"W"))+COUNTIFS(Database!$F:$I,CONCATENATE(S$1,$J17,"W"))),"-")</f>
        <v>-</v>
      </c>
      <c r="T17" s="34" t="str">
        <f>IFERROR((COUNTIFS(Database!$F:$I,CONCATENATE($J17,T$1,"W"))+COUNTIFS(Database!$F:$I,CONCATENATE(T$1,$J17,"W")))/(COUNTIFS(Database!$F:$I,CONCATENATE($J17,T$1,"L"))+COUNTIFS(Database!$F:$I,CONCATENATE(T$1,$J17,"L"))+COUNTIFS(Database!$F:$I,CONCATENATE($J17,T$1,"W"))+COUNTIFS(Database!$F:$I,CONCATENATE(T$1,$J17,"W"))),"-")</f>
        <v>-</v>
      </c>
      <c r="U17" s="34" t="str">
        <f>IFERROR((COUNTIFS(Database!$F:$I,CONCATENATE($J17,U$1,"W"))+COUNTIFS(Database!$F:$I,CONCATENATE(U$1,$J17,"W")))/(COUNTIFS(Database!$F:$I,CONCATENATE($J17,U$1,"L"))+COUNTIFS(Database!$F:$I,CONCATENATE(U$1,$J17,"L"))+COUNTIFS(Database!$F:$I,CONCATENATE($J17,U$1,"W"))+COUNTIFS(Database!$F:$I,CONCATENATE(U$1,$J17,"W"))),"-")</f>
        <v>-</v>
      </c>
      <c r="V17" s="34">
        <f>IFERROR((COUNTIFS(Database!$F:$I,CONCATENATE($J17,V$1,"W"))+COUNTIFS(Database!$F:$I,CONCATENATE(V$1,$J17,"W")))/(COUNTIFS(Database!$F:$I,CONCATENATE($J17,V$1,"L"))+COUNTIFS(Database!$F:$I,CONCATENATE(V$1,$J17,"L"))+COUNTIFS(Database!$F:$I,CONCATENATE($J17,V$1,"W"))+COUNTIFS(Database!$F:$I,CONCATENATE(V$1,$J17,"W"))),"-")</f>
        <v>0.5</v>
      </c>
      <c r="W17" s="34" t="str">
        <f>IFERROR((COUNTIFS(Database!$F:$I,CONCATENATE($J17,W$1,"W"))+COUNTIFS(Database!$F:$I,CONCATENATE(W$1,$J17,"W")))/(COUNTIFS(Database!$F:$I,CONCATENATE($J17,W$1,"L"))+COUNTIFS(Database!$F:$I,CONCATENATE(W$1,$J17,"L"))+COUNTIFS(Database!$F:$I,CONCATENATE($J17,W$1,"W"))+COUNTIFS(Database!$F:$I,CONCATENATE(W$1,$J17,"W"))),"-")</f>
        <v>-</v>
      </c>
      <c r="X17" s="34">
        <f>IFERROR((COUNTIFS(Database!$F:$I,CONCATENATE($J17,X$1,"W"))+COUNTIFS(Database!$F:$I,CONCATENATE(X$1,$J17,"W")))/(COUNTIFS(Database!$F:$I,CONCATENATE($J17,X$1,"L"))+COUNTIFS(Database!$F:$I,CONCATENATE(X$1,$J17,"L"))+COUNTIFS(Database!$F:$I,CONCATENATE($J17,X$1,"W"))+COUNTIFS(Database!$F:$I,CONCATENATE(X$1,$J17,"W"))),"-")</f>
        <v>0.33333333333333331</v>
      </c>
      <c r="Y17" s="34" t="str">
        <f>IFERROR((COUNTIFS(Database!$F:$I,CONCATENATE($J17,Y$1,"W"))+COUNTIFS(Database!$F:$I,CONCATENATE(Y$1,$J17,"W")))/(COUNTIFS(Database!$F:$I,CONCATENATE($J17,Y$1,"L"))+COUNTIFS(Database!$F:$I,CONCATENATE(Y$1,$J17,"L"))+COUNTIFS(Database!$F:$I,CONCATENATE($J17,Y$1,"W"))+COUNTIFS(Database!$F:$I,CONCATENATE(Y$1,$J17,"W"))),"-")</f>
        <v>-</v>
      </c>
      <c r="Z17" s="94"/>
      <c r="AA17" s="34" t="str">
        <f>IFERROR((COUNTIFS(Database!$F:$I,CONCATENATE($J17,AA$1,"W"))+COUNTIFS(Database!$F:$I,CONCATENATE(AA$1,$J17,"W")))/(COUNTIFS(Database!$F:$I,CONCATENATE($J17,AA$1,"L"))+COUNTIFS(Database!$F:$I,CONCATENATE(AA$1,$J17,"L"))+COUNTIFS(Database!$F:$I,CONCATENATE($J17,AA$1,"W"))+COUNTIFS(Database!$F:$I,CONCATENATE(AA$1,$J17,"W"))),"-")</f>
        <v>-</v>
      </c>
      <c r="AB17" s="34">
        <f>IFERROR((COUNTIFS(Database!$F:$I,CONCATENATE($J17,AB$1,"W"))+COUNTIFS(Database!$F:$I,CONCATENATE(AB$1,$J17,"W")))/(COUNTIFS(Database!$F:$I,CONCATENATE($J17,AB$1,"L"))+COUNTIFS(Database!$F:$I,CONCATENATE(AB$1,$J17,"L"))+COUNTIFS(Database!$F:$I,CONCATENATE($J17,AB$1,"W"))+COUNTIFS(Database!$F:$I,CONCATENATE(AB$1,$J17,"W"))),"-")</f>
        <v>0</v>
      </c>
      <c r="AC17" s="34" t="str">
        <f>IFERROR((COUNTIFS(Database!$F:$I,CONCATENATE($J17,AC$1,"W"))+COUNTIFS(Database!$F:$I,CONCATENATE(AC$1,$J17,"W")))/(COUNTIFS(Database!$F:$I,CONCATENATE($J17,AC$1,"L"))+COUNTIFS(Database!$F:$I,CONCATENATE(AC$1,$J17,"L"))+COUNTIFS(Database!$F:$I,CONCATENATE($J17,AC$1,"W"))+COUNTIFS(Database!$F:$I,CONCATENATE(AC$1,$J17,"W"))),"-")</f>
        <v>-</v>
      </c>
      <c r="AD17" s="88" t="str">
        <f>IFERROR((COUNTIFS(Database!$F:$I,CONCATENATE($J17,AD$1,"W"))+COUNTIFS(Database!$F:$I,CONCATENATE(AD$1,$J17,"W")))/(COUNTIFS(Database!$F:$I,CONCATENATE($J17,AD$1,"L"))+COUNTIFS(Database!$F:$I,CONCATENATE(AD$1,$J17,"L"))+COUNTIFS(Database!$F:$I,CONCATENATE($J17,AD$1,"W"))+COUNTIFS(Database!$F:$I,CONCATENATE(AD$1,$J17,"W"))),"-")</f>
        <v>-</v>
      </c>
    </row>
    <row r="18" spans="1:30" ht="12.75" customHeight="1" x14ac:dyDescent="0.25">
      <c r="A18" s="32" t="s">
        <v>33</v>
      </c>
      <c r="B18" s="52">
        <f>IFERROR(VLOOKUP(A18,Stats!B:F,5,0),0)</f>
        <v>0</v>
      </c>
      <c r="C18" s="52" t="s">
        <v>81</v>
      </c>
      <c r="E18" s="78" t="s">
        <v>81</v>
      </c>
      <c r="F18" s="79">
        <v>5</v>
      </c>
      <c r="H18" s="69" t="str">
        <f>VLOOKUP(A18,Stats!B:B,1,0)</f>
        <v>Firat</v>
      </c>
      <c r="J18" s="90" t="str">
        <f t="shared" si="1"/>
        <v>Firat</v>
      </c>
      <c r="K18" s="98">
        <f>IFERROR((COUNTIFS(Database!$F:$I,CONCATENATE($J18,K$1,"W"))+COUNTIFS(Database!$F:$I,CONCATENATE(K$1,$J18,"W")))/(COUNTIFS(Database!$F:$I,CONCATENATE($J18,K$1,"L"))+COUNTIFS(Database!$F:$I,CONCATENATE(K$1,$J18,"L"))+COUNTIFS(Database!$F:$I,CONCATENATE($J18,K$1,"W"))+COUNTIFS(Database!$F:$I,CONCATENATE(K$1,$J18,"W"))),"-")</f>
        <v>0.33333333333333331</v>
      </c>
      <c r="L18" s="34">
        <f>IFERROR((COUNTIFS(Database!$F:$I,CONCATENATE($J18,L$1,"W"))+COUNTIFS(Database!$F:$I,CONCATENATE(L$1,$J18,"W")))/(COUNTIFS(Database!$F:$I,CONCATENATE($J18,L$1,"L"))+COUNTIFS(Database!$F:$I,CONCATENATE(L$1,$J18,"L"))+COUNTIFS(Database!$F:$I,CONCATENATE($J18,L$1,"W"))+COUNTIFS(Database!$F:$I,CONCATENATE(L$1,$J18,"W"))),"-")</f>
        <v>0.2857142857142857</v>
      </c>
      <c r="M18" s="34">
        <f>IFERROR((COUNTIFS(Database!$F:$I,CONCATENATE($J18,M$1,"W"))+COUNTIFS(Database!$F:$I,CONCATENATE(M$1,$J18,"W")))/(COUNTIFS(Database!$F:$I,CONCATENATE($J18,M$1,"L"))+COUNTIFS(Database!$F:$I,CONCATENATE(M$1,$J18,"L"))+COUNTIFS(Database!$F:$I,CONCATENATE($J18,M$1,"W"))+COUNTIFS(Database!$F:$I,CONCATENATE(M$1,$J18,"W"))),"-")</f>
        <v>1</v>
      </c>
      <c r="N18" s="34">
        <f>IFERROR((COUNTIFS(Database!$F:$I,CONCATENATE($J18,N$1,"W"))+COUNTIFS(Database!$F:$I,CONCATENATE(N$1,$J18,"W")))/(COUNTIFS(Database!$F:$I,CONCATENATE($J18,N$1,"L"))+COUNTIFS(Database!$F:$I,CONCATENATE(N$1,$J18,"L"))+COUNTIFS(Database!$F:$I,CONCATENATE($J18,N$1,"W"))+COUNTIFS(Database!$F:$I,CONCATENATE(N$1,$J18,"W"))),"-")</f>
        <v>0</v>
      </c>
      <c r="O18" s="34">
        <f>IFERROR((COUNTIFS(Database!$F:$I,CONCATENATE($J18,O$1,"W"))+COUNTIFS(Database!$F:$I,CONCATENATE(O$1,$J18,"W")))/(COUNTIFS(Database!$F:$I,CONCATENATE($J18,O$1,"L"))+COUNTIFS(Database!$F:$I,CONCATENATE(O$1,$J18,"L"))+COUNTIFS(Database!$F:$I,CONCATENATE($J18,O$1,"W"))+COUNTIFS(Database!$F:$I,CONCATENATE(O$1,$J18,"W"))),"-")</f>
        <v>1</v>
      </c>
      <c r="P18" s="34">
        <f>IFERROR((COUNTIFS(Database!$F:$I,CONCATENATE($J18,P$1,"W"))+COUNTIFS(Database!$F:$I,CONCATENATE(P$1,$J18,"W")))/(COUNTIFS(Database!$F:$I,CONCATENATE($J18,P$1,"L"))+COUNTIFS(Database!$F:$I,CONCATENATE(P$1,$J18,"L"))+COUNTIFS(Database!$F:$I,CONCATENATE($J18,P$1,"W"))+COUNTIFS(Database!$F:$I,CONCATENATE(P$1,$J18,"W"))),"-")</f>
        <v>0.5</v>
      </c>
      <c r="Q18" s="34">
        <f>IFERROR((COUNTIFS(Database!$F:$I,CONCATENATE($J18,Q$1,"W"))+COUNTIFS(Database!$F:$I,CONCATENATE(Q$1,$J18,"W")))/(COUNTIFS(Database!$F:$I,CONCATENATE($J18,Q$1,"L"))+COUNTIFS(Database!$F:$I,CONCATENATE(Q$1,$J18,"L"))+COUNTIFS(Database!$F:$I,CONCATENATE($J18,Q$1,"W"))+COUNTIFS(Database!$F:$I,CONCATENATE(Q$1,$J18,"W"))),"-")</f>
        <v>0.25</v>
      </c>
      <c r="R18" s="34">
        <f>IFERROR((COUNTIFS(Database!$F:$I,CONCATENATE($J18,R$1,"W"))+COUNTIFS(Database!$F:$I,CONCATENATE(R$1,$J18,"W")))/(COUNTIFS(Database!$F:$I,CONCATENATE($J18,R$1,"L"))+COUNTIFS(Database!$F:$I,CONCATENATE(R$1,$J18,"L"))+COUNTIFS(Database!$F:$I,CONCATENATE($J18,R$1,"W"))+COUNTIFS(Database!$F:$I,CONCATENATE(R$1,$J18,"W"))),"-")</f>
        <v>0.5</v>
      </c>
      <c r="S18" s="34">
        <f>IFERROR((COUNTIFS(Database!$F:$I,CONCATENATE($J18,S$1,"W"))+COUNTIFS(Database!$F:$I,CONCATENATE(S$1,$J18,"W")))/(COUNTIFS(Database!$F:$I,CONCATENATE($J18,S$1,"L"))+COUNTIFS(Database!$F:$I,CONCATENATE(S$1,$J18,"L"))+COUNTIFS(Database!$F:$I,CONCATENATE($J18,S$1,"W"))+COUNTIFS(Database!$F:$I,CONCATENATE(S$1,$J18,"W"))),"-")</f>
        <v>0</v>
      </c>
      <c r="T18" s="34">
        <f>IFERROR((COUNTIFS(Database!$F:$I,CONCATENATE($J18,T$1,"W"))+COUNTIFS(Database!$F:$I,CONCATENATE(T$1,$J18,"W")))/(COUNTIFS(Database!$F:$I,CONCATENATE($J18,T$1,"L"))+COUNTIFS(Database!$F:$I,CONCATENATE(T$1,$J18,"L"))+COUNTIFS(Database!$F:$I,CONCATENATE($J18,T$1,"W"))+COUNTIFS(Database!$F:$I,CONCATENATE(T$1,$J18,"W"))),"-")</f>
        <v>0.5</v>
      </c>
      <c r="U18" s="34" t="str">
        <f>IFERROR((COUNTIFS(Database!$F:$I,CONCATENATE($J18,U$1,"W"))+COUNTIFS(Database!$F:$I,CONCATENATE(U$1,$J18,"W")))/(COUNTIFS(Database!$F:$I,CONCATENATE($J18,U$1,"L"))+COUNTIFS(Database!$F:$I,CONCATENATE(U$1,$J18,"L"))+COUNTIFS(Database!$F:$I,CONCATENATE($J18,U$1,"W"))+COUNTIFS(Database!$F:$I,CONCATENATE(U$1,$J18,"W"))),"-")</f>
        <v>-</v>
      </c>
      <c r="V18" s="34">
        <f>IFERROR((COUNTIFS(Database!$F:$I,CONCATENATE($J18,V$1,"W"))+COUNTIFS(Database!$F:$I,CONCATENATE(V$1,$J18,"W")))/(COUNTIFS(Database!$F:$I,CONCATENATE($J18,V$1,"L"))+COUNTIFS(Database!$F:$I,CONCATENATE(V$1,$J18,"L"))+COUNTIFS(Database!$F:$I,CONCATENATE($J18,V$1,"W"))+COUNTIFS(Database!$F:$I,CONCATENATE(V$1,$J18,"W"))),"-")</f>
        <v>1</v>
      </c>
      <c r="W18" s="34" t="str">
        <f>IFERROR((COUNTIFS(Database!$F:$I,CONCATENATE($J18,W$1,"W"))+COUNTIFS(Database!$F:$I,CONCATENATE(W$1,$J18,"W")))/(COUNTIFS(Database!$F:$I,CONCATENATE($J18,W$1,"L"))+COUNTIFS(Database!$F:$I,CONCATENATE(W$1,$J18,"L"))+COUNTIFS(Database!$F:$I,CONCATENATE($J18,W$1,"W"))+COUNTIFS(Database!$F:$I,CONCATENATE(W$1,$J18,"W"))),"-")</f>
        <v>-</v>
      </c>
      <c r="X18" s="34">
        <f>IFERROR((COUNTIFS(Database!$F:$I,CONCATENATE($J18,X$1,"W"))+COUNTIFS(Database!$F:$I,CONCATENATE(X$1,$J18,"W")))/(COUNTIFS(Database!$F:$I,CONCATENATE($J18,X$1,"L"))+COUNTIFS(Database!$F:$I,CONCATENATE(X$1,$J18,"L"))+COUNTIFS(Database!$F:$I,CONCATENATE($J18,X$1,"W"))+COUNTIFS(Database!$F:$I,CONCATENATE(X$1,$J18,"W"))),"-")</f>
        <v>0.66666666666666663</v>
      </c>
      <c r="Y18" s="34" t="str">
        <f>IFERROR((COUNTIFS(Database!$F:$I,CONCATENATE($J18,Y$1,"W"))+COUNTIFS(Database!$F:$I,CONCATENATE(Y$1,$J18,"W")))/(COUNTIFS(Database!$F:$I,CONCATENATE($J18,Y$1,"L"))+COUNTIFS(Database!$F:$I,CONCATENATE(Y$1,$J18,"L"))+COUNTIFS(Database!$F:$I,CONCATENATE($J18,Y$1,"W"))+COUNTIFS(Database!$F:$I,CONCATENATE(Y$1,$J18,"W"))),"-")</f>
        <v>-</v>
      </c>
      <c r="Z18" s="34" t="str">
        <f>IFERROR((COUNTIFS(Database!$F:$I,CONCATENATE($J18,Z$1,"W"))+COUNTIFS(Database!$F:$I,CONCATENATE(Z$1,$J18,"W")))/(COUNTIFS(Database!$F:$I,CONCATENATE($J18,Z$1,"L"))+COUNTIFS(Database!$F:$I,CONCATENATE(Z$1,$J18,"L"))+COUNTIFS(Database!$F:$I,CONCATENATE($J18,Z$1,"W"))+COUNTIFS(Database!$F:$I,CONCATENATE(Z$1,$J18,"W"))),"-")</f>
        <v>-</v>
      </c>
      <c r="AA18" s="94"/>
      <c r="AB18" s="34" t="str">
        <f>IFERROR((COUNTIFS(Database!$F:$I,CONCATENATE($J18,AB$1,"W"))+COUNTIFS(Database!$F:$I,CONCATENATE(AB$1,$J18,"W")))/(COUNTIFS(Database!$F:$I,CONCATENATE($J18,AB$1,"L"))+COUNTIFS(Database!$F:$I,CONCATENATE(AB$1,$J18,"L"))+COUNTIFS(Database!$F:$I,CONCATENATE($J18,AB$1,"W"))+COUNTIFS(Database!$F:$I,CONCATENATE(AB$1,$J18,"W"))),"-")</f>
        <v>-</v>
      </c>
      <c r="AC18" s="34" t="str">
        <f>IFERROR((COUNTIFS(Database!$F:$I,CONCATENATE($J18,AC$1,"W"))+COUNTIFS(Database!$F:$I,CONCATENATE(AC$1,$J18,"W")))/(COUNTIFS(Database!$F:$I,CONCATENATE($J18,AC$1,"L"))+COUNTIFS(Database!$F:$I,CONCATENATE(AC$1,$J18,"L"))+COUNTIFS(Database!$F:$I,CONCATENATE($J18,AC$1,"W"))+COUNTIFS(Database!$F:$I,CONCATENATE(AC$1,$J18,"W"))),"-")</f>
        <v>-</v>
      </c>
      <c r="AD18" s="88">
        <f>IFERROR((COUNTIFS(Database!$F:$I,CONCATENATE($J18,AD$1,"W"))+COUNTIFS(Database!$F:$I,CONCATENATE(AD$1,$J18,"W")))/(COUNTIFS(Database!$F:$I,CONCATENATE($J18,AD$1,"L"))+COUNTIFS(Database!$F:$I,CONCATENATE(AD$1,$J18,"L"))+COUNTIFS(Database!$F:$I,CONCATENATE($J18,AD$1,"W"))+COUNTIFS(Database!$F:$I,CONCATENATE(AD$1,$J18,"W"))),"-")</f>
        <v>1</v>
      </c>
    </row>
    <row r="19" spans="1:30" ht="12.75" customHeight="1" x14ac:dyDescent="0.25">
      <c r="A19" s="32" t="s">
        <v>52</v>
      </c>
      <c r="B19" s="52">
        <f>IFERROR(VLOOKUP(A19,Stats!B:F,5,0),0)</f>
        <v>-1</v>
      </c>
      <c r="C19" s="52" t="s">
        <v>81</v>
      </c>
      <c r="H19" s="69" t="str">
        <f>VLOOKUP(A19,Stats!B:B,1,0)</f>
        <v>Bram</v>
      </c>
      <c r="J19" s="90" t="str">
        <f t="shared" ref="J19:J21" si="2">A19</f>
        <v>Bram</v>
      </c>
      <c r="K19" s="98">
        <f>IFERROR((COUNTIFS(Database!$F:$I,CONCATENATE($J19,K$1,"W"))+COUNTIFS(Database!$F:$I,CONCATENATE(K$1,$J19,"W")))/(COUNTIFS(Database!$F:$I,CONCATENATE($J19,K$1,"L"))+COUNTIFS(Database!$F:$I,CONCATENATE(K$1,$J19,"L"))+COUNTIFS(Database!$F:$I,CONCATENATE($J19,K$1,"W"))+COUNTIFS(Database!$F:$I,CONCATENATE(K$1,$J19,"W"))),"-")</f>
        <v>1</v>
      </c>
      <c r="L19" s="34">
        <f>IFERROR((COUNTIFS(Database!$F:$I,CONCATENATE($J19,L$1,"W"))+COUNTIFS(Database!$F:$I,CONCATENATE(L$1,$J19,"W")))/(COUNTIFS(Database!$F:$I,CONCATENATE($J19,L$1,"L"))+COUNTIFS(Database!$F:$I,CONCATENATE(L$1,$J19,"L"))+COUNTIFS(Database!$F:$I,CONCATENATE($J19,L$1,"W"))+COUNTIFS(Database!$F:$I,CONCATENATE(L$1,$J19,"W"))),"-")</f>
        <v>0</v>
      </c>
      <c r="M19" s="34">
        <f>IFERROR((COUNTIFS(Database!$F:$I,CONCATENATE($J19,M$1,"W"))+COUNTIFS(Database!$F:$I,CONCATENATE(M$1,$J19,"W")))/(COUNTIFS(Database!$F:$I,CONCATENATE($J19,M$1,"L"))+COUNTIFS(Database!$F:$I,CONCATENATE(M$1,$J19,"L"))+COUNTIFS(Database!$F:$I,CONCATENATE($J19,M$1,"W"))+COUNTIFS(Database!$F:$I,CONCATENATE(M$1,$J19,"W"))),"-")</f>
        <v>1</v>
      </c>
      <c r="N19" s="34">
        <f>IFERROR((COUNTIFS(Database!$F:$I,CONCATENATE($J19,N$1,"W"))+COUNTIFS(Database!$F:$I,CONCATENATE(N$1,$J19,"W")))/(COUNTIFS(Database!$F:$I,CONCATENATE($J19,N$1,"L"))+COUNTIFS(Database!$F:$I,CONCATENATE(N$1,$J19,"L"))+COUNTIFS(Database!$F:$I,CONCATENATE($J19,N$1,"W"))+COUNTIFS(Database!$F:$I,CONCATENATE(N$1,$J19,"W"))),"-")</f>
        <v>0.5</v>
      </c>
      <c r="O19" s="34">
        <f>IFERROR((COUNTIFS(Database!$F:$I,CONCATENATE($J19,O$1,"W"))+COUNTIFS(Database!$F:$I,CONCATENATE(O$1,$J19,"W")))/(COUNTIFS(Database!$F:$I,CONCATENATE($J19,O$1,"L"))+COUNTIFS(Database!$F:$I,CONCATENATE(O$1,$J19,"L"))+COUNTIFS(Database!$F:$I,CONCATENATE($J19,O$1,"W"))+COUNTIFS(Database!$F:$I,CONCATENATE(O$1,$J19,"W"))),"-")</f>
        <v>1</v>
      </c>
      <c r="P19" s="34">
        <f>IFERROR((COUNTIFS(Database!$F:$I,CONCATENATE($J19,P$1,"W"))+COUNTIFS(Database!$F:$I,CONCATENATE(P$1,$J19,"W")))/(COUNTIFS(Database!$F:$I,CONCATENATE($J19,P$1,"L"))+COUNTIFS(Database!$F:$I,CONCATENATE(P$1,$J19,"L"))+COUNTIFS(Database!$F:$I,CONCATENATE($J19,P$1,"W"))+COUNTIFS(Database!$F:$I,CONCATENATE(P$1,$J19,"W"))),"-")</f>
        <v>0.66666666666666663</v>
      </c>
      <c r="Q19" s="34">
        <f>IFERROR((COUNTIFS(Database!$F:$I,CONCATENATE($J19,Q$1,"W"))+COUNTIFS(Database!$F:$I,CONCATENATE(Q$1,$J19,"W")))/(COUNTIFS(Database!$F:$I,CONCATENATE($J19,Q$1,"L"))+COUNTIFS(Database!$F:$I,CONCATENATE(Q$1,$J19,"L"))+COUNTIFS(Database!$F:$I,CONCATENATE($J19,Q$1,"W"))+COUNTIFS(Database!$F:$I,CONCATENATE(Q$1,$J19,"W"))),"-")</f>
        <v>0.75</v>
      </c>
      <c r="R19" s="34" t="str">
        <f>IFERROR((COUNTIFS(Database!$F:$I,CONCATENATE($J19,R$1,"W"))+COUNTIFS(Database!$F:$I,CONCATENATE(R$1,$J19,"W")))/(COUNTIFS(Database!$F:$I,CONCATENATE($J19,R$1,"L"))+COUNTIFS(Database!$F:$I,CONCATENATE(R$1,$J19,"L"))+COUNTIFS(Database!$F:$I,CONCATENATE($J19,R$1,"W"))+COUNTIFS(Database!$F:$I,CONCATENATE(R$1,$J19,"W"))),"-")</f>
        <v>-</v>
      </c>
      <c r="S19" s="34">
        <f>IFERROR((COUNTIFS(Database!$F:$I,CONCATENATE($J19,S$1,"W"))+COUNTIFS(Database!$F:$I,CONCATENATE(S$1,$J19,"W")))/(COUNTIFS(Database!$F:$I,CONCATENATE($J19,S$1,"L"))+COUNTIFS(Database!$F:$I,CONCATENATE(S$1,$J19,"L"))+COUNTIFS(Database!$F:$I,CONCATENATE($J19,S$1,"W"))+COUNTIFS(Database!$F:$I,CONCATENATE(S$1,$J19,"W"))),"-")</f>
        <v>0.66666666666666663</v>
      </c>
      <c r="T19" s="34" t="str">
        <f>IFERROR((COUNTIFS(Database!$F:$I,CONCATENATE($J19,T$1,"W"))+COUNTIFS(Database!$F:$I,CONCATENATE(T$1,$J19,"W")))/(COUNTIFS(Database!$F:$I,CONCATENATE($J19,T$1,"L"))+COUNTIFS(Database!$F:$I,CONCATENATE(T$1,$J19,"L"))+COUNTIFS(Database!$F:$I,CONCATENATE($J19,T$1,"W"))+COUNTIFS(Database!$F:$I,CONCATENATE(T$1,$J19,"W"))),"-")</f>
        <v>-</v>
      </c>
      <c r="U19" s="34">
        <f>IFERROR((COUNTIFS(Database!$F:$I,CONCATENATE($J19,U$1,"W"))+COUNTIFS(Database!$F:$I,CONCATENATE(U$1,$J19,"W")))/(COUNTIFS(Database!$F:$I,CONCATENATE($J19,U$1,"L"))+COUNTIFS(Database!$F:$I,CONCATENATE(U$1,$J19,"L"))+COUNTIFS(Database!$F:$I,CONCATENATE($J19,U$1,"W"))+COUNTIFS(Database!$F:$I,CONCATENATE(U$1,$J19,"W"))),"-")</f>
        <v>0</v>
      </c>
      <c r="V19" s="34">
        <f>IFERROR((COUNTIFS(Database!$F:$I,CONCATENATE($J19,V$1,"W"))+COUNTIFS(Database!$F:$I,CONCATENATE(V$1,$J19,"W")))/(COUNTIFS(Database!$F:$I,CONCATENATE($J19,V$1,"L"))+COUNTIFS(Database!$F:$I,CONCATENATE(V$1,$J19,"L"))+COUNTIFS(Database!$F:$I,CONCATENATE($J19,V$1,"W"))+COUNTIFS(Database!$F:$I,CONCATENATE(V$1,$J19,"W"))),"-")</f>
        <v>1</v>
      </c>
      <c r="W19" s="34" t="str">
        <f>IFERROR((COUNTIFS(Database!$F:$I,CONCATENATE($J19,W$1,"W"))+COUNTIFS(Database!$F:$I,CONCATENATE(W$1,$J19,"W")))/(COUNTIFS(Database!$F:$I,CONCATENATE($J19,W$1,"L"))+COUNTIFS(Database!$F:$I,CONCATENATE(W$1,$J19,"L"))+COUNTIFS(Database!$F:$I,CONCATENATE($J19,W$1,"W"))+COUNTIFS(Database!$F:$I,CONCATENATE(W$1,$J19,"W"))),"-")</f>
        <v>-</v>
      </c>
      <c r="X19" s="34">
        <f>IFERROR((COUNTIFS(Database!$F:$I,CONCATENATE($J19,X$1,"W"))+COUNTIFS(Database!$F:$I,CONCATENATE(X$1,$J19,"W")))/(COUNTIFS(Database!$F:$I,CONCATENATE($J19,X$1,"L"))+COUNTIFS(Database!$F:$I,CONCATENATE(X$1,$J19,"L"))+COUNTIFS(Database!$F:$I,CONCATENATE($J19,X$1,"W"))+COUNTIFS(Database!$F:$I,CONCATENATE(X$1,$J19,"W"))),"-")</f>
        <v>0.33333333333333331</v>
      </c>
      <c r="Y19" s="34" t="str">
        <f>IFERROR((COUNTIFS(Database!$F:$I,CONCATENATE($J19,Y$1,"W"))+COUNTIFS(Database!$F:$I,CONCATENATE(Y$1,$J19,"W")))/(COUNTIFS(Database!$F:$I,CONCATENATE($J19,Y$1,"L"))+COUNTIFS(Database!$F:$I,CONCATENATE(Y$1,$J19,"L"))+COUNTIFS(Database!$F:$I,CONCATENATE($J19,Y$1,"W"))+COUNTIFS(Database!$F:$I,CONCATENATE(Y$1,$J19,"W"))),"-")</f>
        <v>-</v>
      </c>
      <c r="Z19" s="34">
        <f>IFERROR((COUNTIFS(Database!$F:$I,CONCATENATE($J19,Z$1,"W"))+COUNTIFS(Database!$F:$I,CONCATENATE(Z$1,$J19,"W")))/(COUNTIFS(Database!$F:$I,CONCATENATE($J19,Z$1,"L"))+COUNTIFS(Database!$F:$I,CONCATENATE(Z$1,$J19,"L"))+COUNTIFS(Database!$F:$I,CONCATENATE($J19,Z$1,"W"))+COUNTIFS(Database!$F:$I,CONCATENATE(Z$1,$J19,"W"))),"-")</f>
        <v>0</v>
      </c>
      <c r="AA19" s="34" t="str">
        <f>IFERROR((COUNTIFS(Database!$F:$I,CONCATENATE($J19,AA$1,"W"))+COUNTIFS(Database!$F:$I,CONCATENATE(AA$1,$J19,"W")))/(COUNTIFS(Database!$F:$I,CONCATENATE($J19,AA$1,"L"))+COUNTIFS(Database!$F:$I,CONCATENATE(AA$1,$J19,"L"))+COUNTIFS(Database!$F:$I,CONCATENATE($J19,AA$1,"W"))+COUNTIFS(Database!$F:$I,CONCATENATE(AA$1,$J19,"W"))),"-")</f>
        <v>-</v>
      </c>
      <c r="AB19" s="94"/>
      <c r="AC19" s="34" t="str">
        <f>IFERROR((COUNTIFS(Database!$F:$I,CONCATENATE($J19,AC$1,"W"))+COUNTIFS(Database!$F:$I,CONCATENATE(AC$1,$J19,"W")))/(COUNTIFS(Database!$F:$I,CONCATENATE($J19,AC$1,"L"))+COUNTIFS(Database!$F:$I,CONCATENATE(AC$1,$J19,"L"))+COUNTIFS(Database!$F:$I,CONCATENATE($J19,AC$1,"W"))+COUNTIFS(Database!$F:$I,CONCATENATE(AC$1,$J19,"W"))),"-")</f>
        <v>-</v>
      </c>
      <c r="AD19" s="88">
        <f>IFERROR((COUNTIFS(Database!$F:$I,CONCATENATE($J19,AD$1,"W"))+COUNTIFS(Database!$F:$I,CONCATENATE(AD$1,$J19,"W")))/(COUNTIFS(Database!$F:$I,CONCATENATE($J19,AD$1,"L"))+COUNTIFS(Database!$F:$I,CONCATENATE(AD$1,$J19,"L"))+COUNTIFS(Database!$F:$I,CONCATENATE($J19,AD$1,"W"))+COUNTIFS(Database!$F:$I,CONCATENATE(AD$1,$J19,"W"))),"-")</f>
        <v>1</v>
      </c>
    </row>
    <row r="20" spans="1:30" ht="12.75" customHeight="1" x14ac:dyDescent="0.25">
      <c r="A20" s="32" t="s">
        <v>37</v>
      </c>
      <c r="B20" s="52">
        <f>IFERROR(VLOOKUP(A20,Stats!B:F,5,0),0)</f>
        <v>1</v>
      </c>
      <c r="C20" s="52" t="s">
        <v>81</v>
      </c>
      <c r="E20" s="80" t="s">
        <v>83</v>
      </c>
      <c r="F20" s="75">
        <f>SUM(B2:B21)</f>
        <v>2</v>
      </c>
      <c r="H20" s="69" t="str">
        <f>VLOOKUP(A20,Stats!B:B,1,0)</f>
        <v>Tchi</v>
      </c>
      <c r="J20" s="90" t="str">
        <f t="shared" si="2"/>
        <v>Tchi</v>
      </c>
      <c r="K20" s="98">
        <f>IFERROR((COUNTIFS(Database!$F:$I,CONCATENATE($J20,K$1,"W"))+COUNTIFS(Database!$F:$I,CONCATENATE(K$1,$J20,"W")))/(COUNTIFS(Database!$F:$I,CONCATENATE($J20,K$1,"L"))+COUNTIFS(Database!$F:$I,CONCATENATE(K$1,$J20,"L"))+COUNTIFS(Database!$F:$I,CONCATENATE($J20,K$1,"W"))+COUNTIFS(Database!$F:$I,CONCATENATE(K$1,$J20,"W"))),"-")</f>
        <v>0.33333333333333331</v>
      </c>
      <c r="L20" s="34">
        <f>IFERROR((COUNTIFS(Database!$F:$I,CONCATENATE($J20,L$1,"W"))+COUNTIFS(Database!$F:$I,CONCATENATE(L$1,$J20,"W")))/(COUNTIFS(Database!$F:$I,CONCATENATE($J20,L$1,"L"))+COUNTIFS(Database!$F:$I,CONCATENATE(L$1,$J20,"L"))+COUNTIFS(Database!$F:$I,CONCATENATE($J20,L$1,"W"))+COUNTIFS(Database!$F:$I,CONCATENATE(L$1,$J20,"W"))),"-")</f>
        <v>0.5</v>
      </c>
      <c r="M20" s="34">
        <f>IFERROR((COUNTIFS(Database!$F:$I,CONCATENATE($J20,M$1,"W"))+COUNTIFS(Database!$F:$I,CONCATENATE(M$1,$J20,"W")))/(COUNTIFS(Database!$F:$I,CONCATENATE($J20,M$1,"L"))+COUNTIFS(Database!$F:$I,CONCATENATE(M$1,$J20,"L"))+COUNTIFS(Database!$F:$I,CONCATENATE($J20,M$1,"W"))+COUNTIFS(Database!$F:$I,CONCATENATE(M$1,$J20,"W"))),"-")</f>
        <v>0.5714285714285714</v>
      </c>
      <c r="N20" s="34" t="str">
        <f>IFERROR((COUNTIFS(Database!$F:$I,CONCATENATE($J20,N$1,"W"))+COUNTIFS(Database!$F:$I,CONCATENATE(N$1,$J20,"W")))/(COUNTIFS(Database!$F:$I,CONCATENATE($J20,N$1,"L"))+COUNTIFS(Database!$F:$I,CONCATENATE(N$1,$J20,"L"))+COUNTIFS(Database!$F:$I,CONCATENATE($J20,N$1,"W"))+COUNTIFS(Database!$F:$I,CONCATENATE(N$1,$J20,"W"))),"-")</f>
        <v>-</v>
      </c>
      <c r="O20" s="34">
        <f>IFERROR((COUNTIFS(Database!$F:$I,CONCATENATE($J20,O$1,"W"))+COUNTIFS(Database!$F:$I,CONCATENATE(O$1,$J20,"W")))/(COUNTIFS(Database!$F:$I,CONCATENATE($J20,O$1,"L"))+COUNTIFS(Database!$F:$I,CONCATENATE(O$1,$J20,"L"))+COUNTIFS(Database!$F:$I,CONCATENATE($J20,O$1,"W"))+COUNTIFS(Database!$F:$I,CONCATENATE(O$1,$J20,"W"))),"-")</f>
        <v>0.5</v>
      </c>
      <c r="P20" s="34">
        <f>IFERROR((COUNTIFS(Database!$F:$I,CONCATENATE($J20,P$1,"W"))+COUNTIFS(Database!$F:$I,CONCATENATE(P$1,$J20,"W")))/(COUNTIFS(Database!$F:$I,CONCATENATE($J20,P$1,"L"))+COUNTIFS(Database!$F:$I,CONCATENATE(P$1,$J20,"L"))+COUNTIFS(Database!$F:$I,CONCATENATE($J20,P$1,"W"))+COUNTIFS(Database!$F:$I,CONCATENATE(P$1,$J20,"W"))),"-")</f>
        <v>0.25</v>
      </c>
      <c r="Q20" s="34">
        <f>IFERROR((COUNTIFS(Database!$F:$I,CONCATENATE($J20,Q$1,"W"))+COUNTIFS(Database!$F:$I,CONCATENATE(Q$1,$J20,"W")))/(COUNTIFS(Database!$F:$I,CONCATENATE($J20,Q$1,"L"))+COUNTIFS(Database!$F:$I,CONCATENATE(Q$1,$J20,"L"))+COUNTIFS(Database!$F:$I,CONCATENATE($J20,Q$1,"W"))+COUNTIFS(Database!$F:$I,CONCATENATE(Q$1,$J20,"W"))),"-")</f>
        <v>0.4</v>
      </c>
      <c r="R20" s="34">
        <f>IFERROR((COUNTIFS(Database!$F:$I,CONCATENATE($J20,R$1,"W"))+COUNTIFS(Database!$F:$I,CONCATENATE(R$1,$J20,"W")))/(COUNTIFS(Database!$F:$I,CONCATENATE($J20,R$1,"L"))+COUNTIFS(Database!$F:$I,CONCATENATE(R$1,$J20,"L"))+COUNTIFS(Database!$F:$I,CONCATENATE($J20,R$1,"W"))+COUNTIFS(Database!$F:$I,CONCATENATE(R$1,$J20,"W"))),"-")</f>
        <v>1</v>
      </c>
      <c r="S20" s="34">
        <f>IFERROR((COUNTIFS(Database!$F:$I,CONCATENATE($J20,S$1,"W"))+COUNTIFS(Database!$F:$I,CONCATENATE(S$1,$J20,"W")))/(COUNTIFS(Database!$F:$I,CONCATENATE($J20,S$1,"L"))+COUNTIFS(Database!$F:$I,CONCATENATE(S$1,$J20,"L"))+COUNTIFS(Database!$F:$I,CONCATENATE($J20,S$1,"W"))+COUNTIFS(Database!$F:$I,CONCATENATE(S$1,$J20,"W"))),"-")</f>
        <v>0.5</v>
      </c>
      <c r="T20" s="34" t="str">
        <f>IFERROR((COUNTIFS(Database!$F:$I,CONCATENATE($J20,T$1,"W"))+COUNTIFS(Database!$F:$I,CONCATENATE(T$1,$J20,"W")))/(COUNTIFS(Database!$F:$I,CONCATENATE($J20,T$1,"L"))+COUNTIFS(Database!$F:$I,CONCATENATE(T$1,$J20,"L"))+COUNTIFS(Database!$F:$I,CONCATENATE($J20,T$1,"W"))+COUNTIFS(Database!$F:$I,CONCATENATE(T$1,$J20,"W"))),"-")</f>
        <v>-</v>
      </c>
      <c r="U20" s="34">
        <f>IFERROR((COUNTIFS(Database!$F:$I,CONCATENATE($J20,U$1,"W"))+COUNTIFS(Database!$F:$I,CONCATENATE(U$1,$J20,"W")))/(COUNTIFS(Database!$F:$I,CONCATENATE($J20,U$1,"L"))+COUNTIFS(Database!$F:$I,CONCATENATE(U$1,$J20,"L"))+COUNTIFS(Database!$F:$I,CONCATENATE($J20,U$1,"W"))+COUNTIFS(Database!$F:$I,CONCATENATE(U$1,$J20,"W"))),"-")</f>
        <v>1</v>
      </c>
      <c r="V20" s="34">
        <f>IFERROR((COUNTIFS(Database!$F:$I,CONCATENATE($J20,V$1,"W"))+COUNTIFS(Database!$F:$I,CONCATENATE(V$1,$J20,"W")))/(COUNTIFS(Database!$F:$I,CONCATENATE($J20,V$1,"L"))+COUNTIFS(Database!$F:$I,CONCATENATE(V$1,$J20,"L"))+COUNTIFS(Database!$F:$I,CONCATENATE($J20,V$1,"W"))+COUNTIFS(Database!$F:$I,CONCATENATE(V$1,$J20,"W"))),"-")</f>
        <v>0.66666666666666663</v>
      </c>
      <c r="W20" s="34" t="str">
        <f>IFERROR((COUNTIFS(Database!$F:$I,CONCATENATE($J20,W$1,"W"))+COUNTIFS(Database!$F:$I,CONCATENATE(W$1,$J20,"W")))/(COUNTIFS(Database!$F:$I,CONCATENATE($J20,W$1,"L"))+COUNTIFS(Database!$F:$I,CONCATENATE(W$1,$J20,"L"))+COUNTIFS(Database!$F:$I,CONCATENATE($J20,W$1,"W"))+COUNTIFS(Database!$F:$I,CONCATENATE(W$1,$J20,"W"))),"-")</f>
        <v>-</v>
      </c>
      <c r="X20" s="34">
        <f>IFERROR((COUNTIFS(Database!$F:$I,CONCATENATE($J20,X$1,"W"))+COUNTIFS(Database!$F:$I,CONCATENATE(X$1,$J20,"W")))/(COUNTIFS(Database!$F:$I,CONCATENATE($J20,X$1,"L"))+COUNTIFS(Database!$F:$I,CONCATENATE(X$1,$J20,"L"))+COUNTIFS(Database!$F:$I,CONCATENATE($J20,X$1,"W"))+COUNTIFS(Database!$F:$I,CONCATENATE(X$1,$J20,"W"))),"-")</f>
        <v>0.8571428571428571</v>
      </c>
      <c r="Y20" s="34" t="str">
        <f>IFERROR((COUNTIFS(Database!$F:$I,CONCATENATE($J20,Y$1,"W"))+COUNTIFS(Database!$F:$I,CONCATENATE(Y$1,$J20,"W")))/(COUNTIFS(Database!$F:$I,CONCATENATE($J20,Y$1,"L"))+COUNTIFS(Database!$F:$I,CONCATENATE(Y$1,$J20,"L"))+COUNTIFS(Database!$F:$I,CONCATENATE($J20,Y$1,"W"))+COUNTIFS(Database!$F:$I,CONCATENATE(Y$1,$J20,"W"))),"-")</f>
        <v>-</v>
      </c>
      <c r="Z20" s="34" t="str">
        <f>IFERROR((COUNTIFS(Database!$F:$I,CONCATENATE($J20,Z$1,"W"))+COUNTIFS(Database!$F:$I,CONCATENATE(Z$1,$J20,"W")))/(COUNTIFS(Database!$F:$I,CONCATENATE($J20,Z$1,"L"))+COUNTIFS(Database!$F:$I,CONCATENATE(Z$1,$J20,"L"))+COUNTIFS(Database!$F:$I,CONCATENATE($J20,Z$1,"W"))+COUNTIFS(Database!$F:$I,CONCATENATE(Z$1,$J20,"W"))),"-")</f>
        <v>-</v>
      </c>
      <c r="AA20" s="34" t="str">
        <f>IFERROR((COUNTIFS(Database!$F:$I,CONCATENATE($J20,AA$1,"W"))+COUNTIFS(Database!$F:$I,CONCATENATE(AA$1,$J20,"W")))/(COUNTIFS(Database!$F:$I,CONCATENATE($J20,AA$1,"L"))+COUNTIFS(Database!$F:$I,CONCATENATE(AA$1,$J20,"L"))+COUNTIFS(Database!$F:$I,CONCATENATE($J20,AA$1,"W"))+COUNTIFS(Database!$F:$I,CONCATENATE(AA$1,$J20,"W"))),"-")</f>
        <v>-</v>
      </c>
      <c r="AB20" s="34" t="str">
        <f>IFERROR((COUNTIFS(Database!$F:$I,CONCATENATE($J20,AB$1,"W"))+COUNTIFS(Database!$F:$I,CONCATENATE(AB$1,$J20,"W")))/(COUNTIFS(Database!$F:$I,CONCATENATE($J20,AB$1,"L"))+COUNTIFS(Database!$F:$I,CONCATENATE(AB$1,$J20,"L"))+COUNTIFS(Database!$F:$I,CONCATENATE($J20,AB$1,"W"))+COUNTIFS(Database!$F:$I,CONCATENATE(AB$1,$J20,"W"))),"-")</f>
        <v>-</v>
      </c>
      <c r="AC20" s="94"/>
      <c r="AD20" s="88">
        <f>IFERROR((COUNTIFS(Database!$F:$I,CONCATENATE($J20,AD$1,"W"))+COUNTIFS(Database!$F:$I,CONCATENATE(AD$1,$J20,"W")))/(COUNTIFS(Database!$F:$I,CONCATENATE($J20,AD$1,"L"))+COUNTIFS(Database!$F:$I,CONCATENATE(AD$1,$J20,"L"))+COUNTIFS(Database!$F:$I,CONCATENATE($J20,AD$1,"W"))+COUNTIFS(Database!$F:$I,CONCATENATE(AD$1,$J20,"W"))),"-")</f>
        <v>0.8571428571428571</v>
      </c>
    </row>
    <row r="21" spans="1:30" ht="12.75" customHeight="1" x14ac:dyDescent="0.25">
      <c r="A21" s="13" t="s">
        <v>42</v>
      </c>
      <c r="B21" s="47">
        <f>IFERROR(VLOOKUP(A21,Stats!B:F,5,0),0)</f>
        <v>2</v>
      </c>
      <c r="C21" s="47" t="s">
        <v>81</v>
      </c>
      <c r="E21" s="81" t="s">
        <v>84</v>
      </c>
      <c r="F21" s="79">
        <f>+F20/4</f>
        <v>0.5</v>
      </c>
      <c r="H21" s="70" t="str">
        <f>VLOOKUP(A21,Stats!B:B,1,0)</f>
        <v>Pablo OG</v>
      </c>
      <c r="J21" s="49" t="str">
        <f t="shared" si="2"/>
        <v>Pablo OG</v>
      </c>
      <c r="K21" s="99">
        <f>IFERROR((COUNTIFS(Database!$F:$I,CONCATENATE($J21,K$1,"W"))+COUNTIFS(Database!$F:$I,CONCATENATE(K$1,$J21,"W")))/(COUNTIFS(Database!$F:$I,CONCATENATE($J21,K$1,"L"))+COUNTIFS(Database!$F:$I,CONCATENATE(K$1,$J21,"L"))+COUNTIFS(Database!$F:$I,CONCATENATE($J21,K$1,"W"))+COUNTIFS(Database!$F:$I,CONCATENATE(K$1,$J21,"W"))),"-")</f>
        <v>0.625</v>
      </c>
      <c r="L21" s="100">
        <f>IFERROR((COUNTIFS(Database!$F:$I,CONCATENATE($J21,L$1,"W"))+COUNTIFS(Database!$F:$I,CONCATENATE(L$1,$J21,"W")))/(COUNTIFS(Database!$F:$I,CONCATENATE($J21,L$1,"L"))+COUNTIFS(Database!$F:$I,CONCATENATE(L$1,$J21,"L"))+COUNTIFS(Database!$F:$I,CONCATENATE($J21,L$1,"W"))+COUNTIFS(Database!$F:$I,CONCATENATE(L$1,$J21,"W"))),"-")</f>
        <v>0.5</v>
      </c>
      <c r="M21" s="100">
        <f>IFERROR((COUNTIFS(Database!$F:$I,CONCATENATE($J21,M$1,"W"))+COUNTIFS(Database!$F:$I,CONCATENATE(M$1,$J21,"W")))/(COUNTIFS(Database!$F:$I,CONCATENATE($J21,M$1,"L"))+COUNTIFS(Database!$F:$I,CONCATENATE(M$1,$J21,"L"))+COUNTIFS(Database!$F:$I,CONCATENATE($J21,M$1,"W"))+COUNTIFS(Database!$F:$I,CONCATENATE(M$1,$J21,"W"))),"-")</f>
        <v>0.8</v>
      </c>
      <c r="N21" s="100">
        <f>IFERROR((COUNTIFS(Database!$F:$I,CONCATENATE($J21,N$1,"W"))+COUNTIFS(Database!$F:$I,CONCATENATE(N$1,$J21,"W")))/(COUNTIFS(Database!$F:$I,CONCATENATE($J21,N$1,"L"))+COUNTIFS(Database!$F:$I,CONCATENATE(N$1,$J21,"L"))+COUNTIFS(Database!$F:$I,CONCATENATE($J21,N$1,"W"))+COUNTIFS(Database!$F:$I,CONCATENATE(N$1,$J21,"W"))),"-")</f>
        <v>1</v>
      </c>
      <c r="O21" s="100">
        <f>IFERROR((COUNTIFS(Database!$F:$I,CONCATENATE($J21,O$1,"W"))+COUNTIFS(Database!$F:$I,CONCATENATE(O$1,$J21,"W")))/(COUNTIFS(Database!$F:$I,CONCATENATE($J21,O$1,"L"))+COUNTIFS(Database!$F:$I,CONCATENATE(O$1,$J21,"L"))+COUNTIFS(Database!$F:$I,CONCATENATE($J21,O$1,"W"))+COUNTIFS(Database!$F:$I,CONCATENATE(O$1,$J21,"W"))),"-")</f>
        <v>0.42857142857142855</v>
      </c>
      <c r="P21" s="100">
        <f>IFERROR((COUNTIFS(Database!$F:$I,CONCATENATE($J21,P$1,"W"))+COUNTIFS(Database!$F:$I,CONCATENATE(P$1,$J21,"W")))/(COUNTIFS(Database!$F:$I,CONCATENATE($J21,P$1,"L"))+COUNTIFS(Database!$F:$I,CONCATENATE(P$1,$J21,"L"))+COUNTIFS(Database!$F:$I,CONCATENATE($J21,P$1,"W"))+COUNTIFS(Database!$F:$I,CONCATENATE(P$1,$J21,"W"))),"-")</f>
        <v>0.66666666666666663</v>
      </c>
      <c r="Q21" s="100">
        <f>IFERROR((COUNTIFS(Database!$F:$I,CONCATENATE($J21,Q$1,"W"))+COUNTIFS(Database!$F:$I,CONCATENATE(Q$1,$J21,"W")))/(COUNTIFS(Database!$F:$I,CONCATENATE($J21,Q$1,"L"))+COUNTIFS(Database!$F:$I,CONCATENATE(Q$1,$J21,"L"))+COUNTIFS(Database!$F:$I,CONCATENATE($J21,Q$1,"W"))+COUNTIFS(Database!$F:$I,CONCATENATE(Q$1,$J21,"W"))),"-")</f>
        <v>0.75</v>
      </c>
      <c r="R21" s="100">
        <f>IFERROR((COUNTIFS(Database!$F:$I,CONCATENATE($J21,R$1,"W"))+COUNTIFS(Database!$F:$I,CONCATENATE(R$1,$J21,"W")))/(COUNTIFS(Database!$F:$I,CONCATENATE($J21,R$1,"L"))+COUNTIFS(Database!$F:$I,CONCATENATE(R$1,$J21,"L"))+COUNTIFS(Database!$F:$I,CONCATENATE($J21,R$1,"W"))+COUNTIFS(Database!$F:$I,CONCATENATE(R$1,$J21,"W"))),"-")</f>
        <v>0</v>
      </c>
      <c r="S21" s="100">
        <f>IFERROR((COUNTIFS(Database!$F:$I,CONCATENATE($J21,S$1,"W"))+COUNTIFS(Database!$F:$I,CONCATENATE(S$1,$J21,"W")))/(COUNTIFS(Database!$F:$I,CONCATENATE($J21,S$1,"L"))+COUNTIFS(Database!$F:$I,CONCATENATE(S$1,$J21,"L"))+COUNTIFS(Database!$F:$I,CONCATENATE($J21,S$1,"W"))+COUNTIFS(Database!$F:$I,CONCATENATE(S$1,$J21,"W"))),"-")</f>
        <v>0.55555555555555558</v>
      </c>
      <c r="T21" s="100" t="str">
        <f>IFERROR((COUNTIFS(Database!$F:$I,CONCATENATE($J21,T$1,"W"))+COUNTIFS(Database!$F:$I,CONCATENATE(T$1,$J21,"W")))/(COUNTIFS(Database!$F:$I,CONCATENATE($J21,T$1,"L"))+COUNTIFS(Database!$F:$I,CONCATENATE(T$1,$J21,"L"))+COUNTIFS(Database!$F:$I,CONCATENATE($J21,T$1,"W"))+COUNTIFS(Database!$F:$I,CONCATENATE(T$1,$J21,"W"))),"-")</f>
        <v>-</v>
      </c>
      <c r="U21" s="100">
        <f>IFERROR((COUNTIFS(Database!$F:$I,CONCATENATE($J21,U$1,"W"))+COUNTIFS(Database!$F:$I,CONCATENATE(U$1,$J21,"W")))/(COUNTIFS(Database!$F:$I,CONCATENATE($J21,U$1,"L"))+COUNTIFS(Database!$F:$I,CONCATENATE(U$1,$J21,"L"))+COUNTIFS(Database!$F:$I,CONCATENATE($J21,U$1,"W"))+COUNTIFS(Database!$F:$I,CONCATENATE(U$1,$J21,"W"))),"-")</f>
        <v>1</v>
      </c>
      <c r="V21" s="100">
        <f>IFERROR((COUNTIFS(Database!$F:$I,CONCATENATE($J21,V$1,"W"))+COUNTIFS(Database!$F:$I,CONCATENATE(V$1,$J21,"W")))/(COUNTIFS(Database!$F:$I,CONCATENATE($J21,V$1,"L"))+COUNTIFS(Database!$F:$I,CONCATENATE(V$1,$J21,"L"))+COUNTIFS(Database!$F:$I,CONCATENATE($J21,V$1,"W"))+COUNTIFS(Database!$F:$I,CONCATENATE(V$1,$J21,"W"))),"-")</f>
        <v>0.5714285714285714</v>
      </c>
      <c r="W21" s="100" t="str">
        <f>IFERROR((COUNTIFS(Database!$F:$I,CONCATENATE($J21,W$1,"W"))+COUNTIFS(Database!$F:$I,CONCATENATE(W$1,$J21,"W")))/(COUNTIFS(Database!$F:$I,CONCATENATE($J21,W$1,"L"))+COUNTIFS(Database!$F:$I,CONCATENATE(W$1,$J21,"L"))+COUNTIFS(Database!$F:$I,CONCATENATE($J21,W$1,"W"))+COUNTIFS(Database!$F:$I,CONCATENATE(W$1,$J21,"W"))),"-")</f>
        <v>-</v>
      </c>
      <c r="X21" s="100">
        <f>IFERROR((COUNTIFS(Database!$F:$I,CONCATENATE($J21,X$1,"W"))+COUNTIFS(Database!$F:$I,CONCATENATE(X$1,$J21,"W")))/(COUNTIFS(Database!$F:$I,CONCATENATE($J21,X$1,"L"))+COUNTIFS(Database!$F:$I,CONCATENATE(X$1,$J21,"L"))+COUNTIFS(Database!$F:$I,CONCATENATE($J21,X$1,"W"))+COUNTIFS(Database!$F:$I,CONCATENATE(X$1,$J21,"W"))),"-")</f>
        <v>0.75</v>
      </c>
      <c r="Y21" s="100">
        <f>IFERROR((COUNTIFS(Database!$F:$I,CONCATENATE($J21,Y$1,"W"))+COUNTIFS(Database!$F:$I,CONCATENATE(Y$1,$J21,"W")))/(COUNTIFS(Database!$F:$I,CONCATENATE($J21,Y$1,"L"))+COUNTIFS(Database!$F:$I,CONCATENATE(Y$1,$J21,"L"))+COUNTIFS(Database!$F:$I,CONCATENATE($J21,Y$1,"W"))+COUNTIFS(Database!$F:$I,CONCATENATE(Y$1,$J21,"W"))),"-")</f>
        <v>0.5</v>
      </c>
      <c r="Z21" s="100" t="str">
        <f>IFERROR((COUNTIFS(Database!$F:$I,CONCATENATE($J21,Z$1,"W"))+COUNTIFS(Database!$F:$I,CONCATENATE(Z$1,$J21,"W")))/(COUNTIFS(Database!$F:$I,CONCATENATE($J21,Z$1,"L"))+COUNTIFS(Database!$F:$I,CONCATENATE(Z$1,$J21,"L"))+COUNTIFS(Database!$F:$I,CONCATENATE($J21,Z$1,"W"))+COUNTIFS(Database!$F:$I,CONCATENATE(Z$1,$J21,"W"))),"-")</f>
        <v>-</v>
      </c>
      <c r="AA21" s="100">
        <f>IFERROR((COUNTIFS(Database!$F:$I,CONCATENATE($J21,AA$1,"W"))+COUNTIFS(Database!$F:$I,CONCATENATE(AA$1,$J21,"W")))/(COUNTIFS(Database!$F:$I,CONCATENATE($J21,AA$1,"L"))+COUNTIFS(Database!$F:$I,CONCATENATE(AA$1,$J21,"L"))+COUNTIFS(Database!$F:$I,CONCATENATE($J21,AA$1,"W"))+COUNTIFS(Database!$F:$I,CONCATENATE(AA$1,$J21,"W"))),"-")</f>
        <v>1</v>
      </c>
      <c r="AB21" s="100">
        <f>IFERROR((COUNTIFS(Database!$F:$I,CONCATENATE($J21,AB$1,"W"))+COUNTIFS(Database!$F:$I,CONCATENATE(AB$1,$J21,"W")))/(COUNTIFS(Database!$F:$I,CONCATENATE($J21,AB$1,"L"))+COUNTIFS(Database!$F:$I,CONCATENATE(AB$1,$J21,"L"))+COUNTIFS(Database!$F:$I,CONCATENATE($J21,AB$1,"W"))+COUNTIFS(Database!$F:$I,CONCATENATE(AB$1,$J21,"W"))),"-")</f>
        <v>1</v>
      </c>
      <c r="AC21" s="100">
        <f>IFERROR((COUNTIFS(Database!$F:$I,CONCATENATE($J21,AC$1,"W"))+COUNTIFS(Database!$F:$I,CONCATENATE(AC$1,$J21,"W")))/(COUNTIFS(Database!$F:$I,CONCATENATE($J21,AC$1,"L"))+COUNTIFS(Database!$F:$I,CONCATENATE(AC$1,$J21,"L"))+COUNTIFS(Database!$F:$I,CONCATENATE($J21,AC$1,"W"))+COUNTIFS(Database!$F:$I,CONCATENATE(AC$1,$J21,"W"))),"-")</f>
        <v>0.8571428571428571</v>
      </c>
      <c r="AD21" s="101"/>
    </row>
  </sheetData>
  <autoFilter ref="A1:C11" xr:uid="{00000000-0001-0000-0300-000000000000}">
    <sortState xmlns:xlrd2="http://schemas.microsoft.com/office/spreadsheetml/2017/richdata2" ref="A2:C21">
      <sortCondition ref="C1:C21"/>
    </sortState>
  </autoFilter>
  <sortState xmlns:xlrd2="http://schemas.microsoft.com/office/spreadsheetml/2017/richdata2" ref="A2:B21">
    <sortCondition ref="B2:B21"/>
  </sortState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FindMostBalancedTeamsTournament">
                <anchor moveWithCells="1" sizeWithCells="1">
                  <from>
                    <xdr:col>4</xdr:col>
                    <xdr:colOff>25879</xdr:colOff>
                    <xdr:row>8</xdr:row>
                    <xdr:rowOff>69011</xdr:rowOff>
                  </from>
                  <to>
                    <xdr:col>5</xdr:col>
                    <xdr:colOff>603849</xdr:colOff>
                    <xdr:row>10</xdr:row>
                    <xdr:rowOff>103517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A8EEB-14D8-4C14-AF2E-85675A5634BA}">
  <sheetPr codeName="Sheet3">
    <pageSetUpPr autoPageBreaks="0"/>
  </sheetPr>
  <dimension ref="B4:AY117"/>
  <sheetViews>
    <sheetView showGridLines="0" zoomScale="55" zoomScaleNormal="55" workbookViewId="0">
      <selection activeCell="T43" sqref="T43"/>
    </sheetView>
  </sheetViews>
  <sheetFormatPr defaultColWidth="9" defaultRowHeight="13.6" x14ac:dyDescent="0.25"/>
  <cols>
    <col min="1" max="1" width="1.140625" customWidth="1"/>
    <col min="2" max="2" width="10.5703125" customWidth="1"/>
    <col min="3" max="31" width="10.140625" customWidth="1"/>
    <col min="33" max="33" width="8.7109375" customWidth="1"/>
    <col min="34" max="34" width="9.5703125" customWidth="1"/>
  </cols>
  <sheetData>
    <row r="4" spans="2:51" x14ac:dyDescent="0.25">
      <c r="C4" s="117" t="s">
        <v>86</v>
      </c>
    </row>
    <row r="5" spans="2:51" x14ac:dyDescent="0.25">
      <c r="C5" s="112" t="s">
        <v>92</v>
      </c>
    </row>
    <row r="6" spans="2:51" x14ac:dyDescent="0.25">
      <c r="C6" s="115" t="s">
        <v>91</v>
      </c>
    </row>
    <row r="7" spans="2:51" x14ac:dyDescent="0.25">
      <c r="C7" s="114" t="s">
        <v>90</v>
      </c>
    </row>
    <row r="8" spans="2:51" x14ac:dyDescent="0.25">
      <c r="C8" s="118" t="s">
        <v>89</v>
      </c>
    </row>
    <row r="9" spans="2:51" x14ac:dyDescent="0.25">
      <c r="C9" s="116" t="s">
        <v>88</v>
      </c>
    </row>
    <row r="10" spans="2:51" x14ac:dyDescent="0.25">
      <c r="C10" s="113" t="s">
        <v>87</v>
      </c>
    </row>
    <row r="15" spans="2:51" ht="16.3" x14ac:dyDescent="0.3">
      <c r="B15" s="119"/>
      <c r="C15" s="146" t="s">
        <v>85</v>
      </c>
      <c r="D15" s="147"/>
      <c r="E15" s="147"/>
      <c r="F15" s="147"/>
      <c r="G15" s="147"/>
      <c r="H15" s="147"/>
      <c r="I15" s="147"/>
      <c r="J15" s="147"/>
      <c r="K15" s="147"/>
      <c r="L15" s="147"/>
      <c r="M15" s="147"/>
      <c r="N15" s="147"/>
      <c r="O15" s="147"/>
      <c r="P15" s="147"/>
      <c r="Q15" s="147"/>
      <c r="R15" s="147"/>
      <c r="S15" s="147"/>
      <c r="T15" s="147"/>
      <c r="U15" s="147"/>
      <c r="V15" s="147"/>
      <c r="W15" s="147"/>
      <c r="X15" s="147"/>
      <c r="Y15" s="147"/>
      <c r="Z15" s="147"/>
      <c r="AA15" s="147"/>
      <c r="AB15" s="147"/>
      <c r="AC15" s="147"/>
      <c r="AD15" s="147"/>
      <c r="AE15" s="147"/>
      <c r="AF15" s="147"/>
      <c r="AG15" s="147"/>
      <c r="AH15" s="147"/>
      <c r="AI15" s="147"/>
      <c r="AJ15" s="147"/>
      <c r="AK15" s="147"/>
      <c r="AL15" s="147"/>
      <c r="AM15" s="147"/>
      <c r="AN15" s="147"/>
      <c r="AO15" s="147"/>
      <c r="AP15" s="147"/>
      <c r="AQ15" s="147"/>
      <c r="AR15" s="147"/>
      <c r="AS15" s="147"/>
      <c r="AT15" s="147"/>
      <c r="AU15" s="147"/>
      <c r="AV15" s="147"/>
      <c r="AW15" s="147"/>
      <c r="AX15" s="147"/>
      <c r="AY15" s="148"/>
    </row>
    <row r="16" spans="2:51" x14ac:dyDescent="0.25">
      <c r="B16" s="119"/>
      <c r="C16" s="128" t="s">
        <v>53</v>
      </c>
      <c r="D16" s="128" t="s">
        <v>17</v>
      </c>
      <c r="E16" s="128" t="s">
        <v>47</v>
      </c>
      <c r="F16" s="128" t="s">
        <v>54</v>
      </c>
      <c r="G16" s="128" t="s">
        <v>18</v>
      </c>
      <c r="H16" s="128" t="s">
        <v>19</v>
      </c>
      <c r="I16" s="128" t="s">
        <v>49</v>
      </c>
      <c r="J16" s="128" t="s">
        <v>55</v>
      </c>
      <c r="K16" s="128" t="s">
        <v>61</v>
      </c>
      <c r="L16" s="128" t="s">
        <v>52</v>
      </c>
      <c r="M16" s="128" t="s">
        <v>15</v>
      </c>
      <c r="N16" s="128" t="s">
        <v>28</v>
      </c>
      <c r="O16" s="128" t="s">
        <v>35</v>
      </c>
      <c r="P16" s="128" t="s">
        <v>16</v>
      </c>
      <c r="Q16" s="128" t="s">
        <v>23</v>
      </c>
      <c r="R16" s="128" t="s">
        <v>41</v>
      </c>
      <c r="S16" s="128" t="s">
        <v>59</v>
      </c>
      <c r="T16" s="128" t="s">
        <v>33</v>
      </c>
      <c r="U16" s="128" t="s">
        <v>30</v>
      </c>
      <c r="V16" s="128" t="s">
        <v>56</v>
      </c>
      <c r="W16" s="128" t="s">
        <v>45</v>
      </c>
      <c r="X16" s="128" t="s">
        <v>50</v>
      </c>
      <c r="Y16" s="128" t="s">
        <v>60</v>
      </c>
      <c r="Z16" s="128" t="s">
        <v>21</v>
      </c>
      <c r="AA16" s="128" t="s">
        <v>34</v>
      </c>
      <c r="AB16" s="128" t="s">
        <v>46</v>
      </c>
      <c r="AC16" s="128" t="s">
        <v>58</v>
      </c>
      <c r="AD16" s="128" t="s">
        <v>38</v>
      </c>
      <c r="AE16" s="128" t="s">
        <v>20</v>
      </c>
      <c r="AF16" s="128" t="s">
        <v>51</v>
      </c>
      <c r="AG16" s="128" t="s">
        <v>22</v>
      </c>
      <c r="AH16" s="128" t="s">
        <v>140</v>
      </c>
      <c r="AI16" s="128" t="s">
        <v>43</v>
      </c>
      <c r="AJ16" s="128" t="s">
        <v>39</v>
      </c>
      <c r="AK16" s="128" t="s">
        <v>42</v>
      </c>
      <c r="AL16" s="128" t="s">
        <v>48</v>
      </c>
      <c r="AM16" s="128" t="s">
        <v>29</v>
      </c>
      <c r="AN16" s="128" t="s">
        <v>25</v>
      </c>
      <c r="AO16" s="128" t="s">
        <v>32</v>
      </c>
      <c r="AP16" s="128" t="s">
        <v>40</v>
      </c>
      <c r="AQ16" s="128" t="s">
        <v>57</v>
      </c>
      <c r="AR16" s="128" t="s">
        <v>44</v>
      </c>
      <c r="AS16" s="128" t="s">
        <v>26</v>
      </c>
      <c r="AT16" s="128" t="s">
        <v>13</v>
      </c>
      <c r="AU16" s="128" t="s">
        <v>37</v>
      </c>
      <c r="AV16" s="128" t="s">
        <v>24</v>
      </c>
      <c r="AW16" s="128" t="s">
        <v>31</v>
      </c>
      <c r="AX16" s="128" t="s">
        <v>27</v>
      </c>
      <c r="AY16" s="128" t="s">
        <v>36</v>
      </c>
    </row>
    <row r="17" spans="2:51" x14ac:dyDescent="0.25">
      <c r="B17" s="120" t="s">
        <v>53</v>
      </c>
      <c r="C17" s="123">
        <f>COUNTIFS(Database!$F:$I,CONCATENATE($B17,C$16,"L"))+COUNTIFS(Database!$F:$I,CONCATENATE(C$16,$B17,"L"))+COUNTIFS(Database!$F:$I,CONCATENATE($B17,C$16,"W"))+COUNTIFS(Database!$F:$I,CONCATENATE(C$16,$B17,"W"))</f>
        <v>0</v>
      </c>
      <c r="D17" s="123">
        <f>COUNTIFS(Database!$F:$I,CONCATENATE($B17,D$16,"L"))+COUNTIFS(Database!$F:$I,CONCATENATE(D$16,$B17,"L"))+COUNTIFS(Database!$F:$I,CONCATENATE($B17,D$16,"W"))+COUNTIFS(Database!$F:$I,CONCATENATE(D$16,$B17,"W"))</f>
        <v>0</v>
      </c>
      <c r="E17" s="123">
        <f>COUNTIFS(Database!$F:$I,CONCATENATE($B17,E$16,"L"))+COUNTIFS(Database!$F:$I,CONCATENATE(E$16,$B17,"L"))+COUNTIFS(Database!$F:$I,CONCATENATE($B17,E$16,"W"))+COUNTIFS(Database!$F:$I,CONCATENATE(E$16,$B17,"W"))</f>
        <v>11</v>
      </c>
      <c r="F17" s="123">
        <f>COUNTIFS(Database!$F:$I,CONCATENATE($B17,F$16,"L"))+COUNTIFS(Database!$F:$I,CONCATENATE(F$16,$B17,"L"))+COUNTIFS(Database!$F:$I,CONCATENATE($B17,F$16,"W"))+COUNTIFS(Database!$F:$I,CONCATENATE(F$16,$B17,"W"))</f>
        <v>5</v>
      </c>
      <c r="G17" s="123">
        <f>COUNTIFS(Database!$F:$I,CONCATENATE($B17,G$16,"L"))+COUNTIFS(Database!$F:$I,CONCATENATE(G$16,$B17,"L"))+COUNTIFS(Database!$F:$I,CONCATENATE($B17,G$16,"W"))+COUNTIFS(Database!$F:$I,CONCATENATE(G$16,$B17,"W"))</f>
        <v>3</v>
      </c>
      <c r="H17" s="123">
        <f>COUNTIFS(Database!$F:$I,CONCATENATE($B17,H$16,"L"))+COUNTIFS(Database!$F:$I,CONCATENATE(H$16,$B17,"L"))+COUNTIFS(Database!$F:$I,CONCATENATE($B17,H$16,"W"))+COUNTIFS(Database!$F:$I,CONCATENATE(H$16,$B17,"W"))</f>
        <v>0</v>
      </c>
      <c r="I17" s="123">
        <f>COUNTIFS(Database!$F:$I,CONCATENATE($B17,I$16,"L"))+COUNTIFS(Database!$F:$I,CONCATENATE(I$16,$B17,"L"))+COUNTIFS(Database!$F:$I,CONCATENATE($B17,I$16,"W"))+COUNTIFS(Database!$F:$I,CONCATENATE(I$16,$B17,"W"))</f>
        <v>2</v>
      </c>
      <c r="J17" s="123">
        <f>COUNTIFS(Database!$F:$I,CONCATENATE($B17,J$16,"L"))+COUNTIFS(Database!$F:$I,CONCATENATE(J$16,$B17,"L"))+COUNTIFS(Database!$F:$I,CONCATENATE($B17,J$16,"W"))+COUNTIFS(Database!$F:$I,CONCATENATE(J$16,$B17,"W"))</f>
        <v>8</v>
      </c>
      <c r="K17" s="123">
        <f>COUNTIFS(Database!$F:$I,CONCATENATE($B17,K$16,"L"))+COUNTIFS(Database!$F:$I,CONCATENATE(K$16,$B17,"L"))+COUNTIFS(Database!$F:$I,CONCATENATE($B17,K$16,"W"))+COUNTIFS(Database!$F:$I,CONCATENATE(K$16,$B17,"W"))</f>
        <v>6</v>
      </c>
      <c r="L17" s="123">
        <f>COUNTIFS(Database!$F:$I,CONCATENATE($B17,L$16,"L"))+COUNTIFS(Database!$F:$I,CONCATENATE(L$16,$B17,"L"))+COUNTIFS(Database!$F:$I,CONCATENATE($B17,L$16,"W"))+COUNTIFS(Database!$F:$I,CONCATENATE(L$16,$B17,"W"))</f>
        <v>3</v>
      </c>
      <c r="M17" s="123">
        <f>COUNTIFS(Database!$F:$I,CONCATENATE($B17,M$16,"L"))+COUNTIFS(Database!$F:$I,CONCATENATE(M$16,$B17,"L"))+COUNTIFS(Database!$F:$I,CONCATENATE($B17,M$16,"W"))+COUNTIFS(Database!$F:$I,CONCATENATE(M$16,$B17,"W"))</f>
        <v>1</v>
      </c>
      <c r="N17" s="123">
        <f>COUNTIFS(Database!$F:$I,CONCATENATE($B17,N$16,"L"))+COUNTIFS(Database!$F:$I,CONCATENATE(N$16,$B17,"L"))+COUNTIFS(Database!$F:$I,CONCATENATE($B17,N$16,"W"))+COUNTIFS(Database!$F:$I,CONCATENATE(N$16,$B17,"W"))</f>
        <v>1</v>
      </c>
      <c r="O17" s="123">
        <f>COUNTIFS(Database!$F:$I,CONCATENATE($B17,O$16,"L"))+COUNTIFS(Database!$F:$I,CONCATENATE(O$16,$B17,"L"))+COUNTIFS(Database!$F:$I,CONCATENATE($B17,O$16,"W"))+COUNTIFS(Database!$F:$I,CONCATENATE(O$16,$B17,"W"))</f>
        <v>12</v>
      </c>
      <c r="P17" s="123">
        <f>COUNTIFS(Database!$F:$I,CONCATENATE($B17,P$16,"L"))+COUNTIFS(Database!$F:$I,CONCATENATE(P$16,$B17,"L"))+COUNTIFS(Database!$F:$I,CONCATENATE($B17,P$16,"W"))+COUNTIFS(Database!$F:$I,CONCATENATE(P$16,$B17,"W"))</f>
        <v>0</v>
      </c>
      <c r="Q17" s="123">
        <f>COUNTIFS(Database!$F:$I,CONCATENATE($B17,Q$16,"L"))+COUNTIFS(Database!$F:$I,CONCATENATE(Q$16,$B17,"L"))+COUNTIFS(Database!$F:$I,CONCATENATE($B17,Q$16,"W"))+COUNTIFS(Database!$F:$I,CONCATENATE(Q$16,$B17,"W"))</f>
        <v>0</v>
      </c>
      <c r="R17" s="123">
        <f>COUNTIFS(Database!$F:$I,CONCATENATE($B17,R$16,"L"))+COUNTIFS(Database!$F:$I,CONCATENATE(R$16,$B17,"L"))+COUNTIFS(Database!$F:$I,CONCATENATE($B17,R$16,"W"))+COUNTIFS(Database!$F:$I,CONCATENATE(R$16,$B17,"W"))</f>
        <v>2</v>
      </c>
      <c r="S17" s="123">
        <f>COUNTIFS(Database!$F:$I,CONCATENATE($B17,S$16,"L"))+COUNTIFS(Database!$F:$I,CONCATENATE(S$16,$B17,"L"))+COUNTIFS(Database!$F:$I,CONCATENATE($B17,S$16,"W"))+COUNTIFS(Database!$F:$I,CONCATENATE(S$16,$B17,"W"))</f>
        <v>5</v>
      </c>
      <c r="T17" s="123">
        <f>COUNTIFS(Database!$F:$I,CONCATENATE($B17,T$16,"L"))+COUNTIFS(Database!$F:$I,CONCATENATE(T$16,$B17,"L"))+COUNTIFS(Database!$F:$I,CONCATENATE($B17,T$16,"W"))+COUNTIFS(Database!$F:$I,CONCATENATE(T$16,$B17,"W"))</f>
        <v>2</v>
      </c>
      <c r="U17" s="123">
        <f>COUNTIFS(Database!$F:$I,CONCATENATE($B17,U$16,"L"))+COUNTIFS(Database!$F:$I,CONCATENATE(U$16,$B17,"L"))+COUNTIFS(Database!$F:$I,CONCATENATE($B17,U$16,"W"))+COUNTIFS(Database!$F:$I,CONCATENATE(U$16,$B17,"W"))</f>
        <v>1</v>
      </c>
      <c r="V17" s="123">
        <f>COUNTIFS(Database!$F:$I,CONCATENATE($B17,V$16,"L"))+COUNTIFS(Database!$F:$I,CONCATENATE(V$16,$B17,"L"))+COUNTIFS(Database!$F:$I,CONCATENATE($B17,V$16,"W"))+COUNTIFS(Database!$F:$I,CONCATENATE(V$16,$B17,"W"))</f>
        <v>1</v>
      </c>
      <c r="W17" s="123">
        <f>COUNTIFS(Database!$F:$I,CONCATENATE($B17,W$16,"L"))+COUNTIFS(Database!$F:$I,CONCATENATE(W$16,$B17,"L"))+COUNTIFS(Database!$F:$I,CONCATENATE($B17,W$16,"W"))+COUNTIFS(Database!$F:$I,CONCATENATE(W$16,$B17,"W"))</f>
        <v>17</v>
      </c>
      <c r="X17" s="123">
        <f>COUNTIFS(Database!$F:$I,CONCATENATE($B17,X$16,"L"))+COUNTIFS(Database!$F:$I,CONCATENATE(X$16,$B17,"L"))+COUNTIFS(Database!$F:$I,CONCATENATE($B17,X$16,"W"))+COUNTIFS(Database!$F:$I,CONCATENATE(X$16,$B17,"W"))</f>
        <v>2</v>
      </c>
      <c r="Y17" s="123">
        <f>COUNTIFS(Database!$F:$I,CONCATENATE($B17,Y$16,"L"))+COUNTIFS(Database!$F:$I,CONCATENATE(Y$16,$B17,"L"))+COUNTIFS(Database!$F:$I,CONCATENATE($B17,Y$16,"W"))+COUNTIFS(Database!$F:$I,CONCATENATE(Y$16,$B17,"W"))</f>
        <v>3</v>
      </c>
      <c r="Z17" s="123">
        <f>COUNTIFS(Database!$F:$I,CONCATENATE($B17,Z$16,"L"))+COUNTIFS(Database!$F:$I,CONCATENATE(Z$16,$B17,"L"))+COUNTIFS(Database!$F:$I,CONCATENATE($B17,Z$16,"W"))+COUNTIFS(Database!$F:$I,CONCATENATE(Z$16,$B17,"W"))</f>
        <v>1</v>
      </c>
      <c r="AA17" s="123">
        <f>COUNTIFS(Database!$F:$I,CONCATENATE($B17,AA$16,"L"))+COUNTIFS(Database!$F:$I,CONCATENATE(AA$16,$B17,"L"))+COUNTIFS(Database!$F:$I,CONCATENATE($B17,AA$16,"W"))+COUNTIFS(Database!$F:$I,CONCATENATE(AA$16,$B17,"W"))</f>
        <v>2</v>
      </c>
      <c r="AB17" s="123">
        <f>COUNTIFS(Database!$F:$I,CONCATENATE($B17,AB$16,"L"))+COUNTIFS(Database!$F:$I,CONCATENATE(AB$16,$B17,"L"))+COUNTIFS(Database!$F:$I,CONCATENATE($B17,AB$16,"W"))+COUNTIFS(Database!$F:$I,CONCATENATE(AB$16,$B17,"W"))</f>
        <v>16</v>
      </c>
      <c r="AC17" s="123">
        <f>COUNTIFS(Database!$F:$I,CONCATENATE($B17,AC$16,"L"))+COUNTIFS(Database!$F:$I,CONCATENATE(AC$16,$B17,"L"))+COUNTIFS(Database!$F:$I,CONCATENATE($B17,AC$16,"W"))+COUNTIFS(Database!$F:$I,CONCATENATE(AC$16,$B17,"W"))</f>
        <v>11</v>
      </c>
      <c r="AD17" s="123">
        <f>COUNTIFS(Database!$F:$I,CONCATENATE($B17,AD$16,"L"))+COUNTIFS(Database!$F:$I,CONCATENATE(AD$16,$B17,"L"))+COUNTIFS(Database!$F:$I,CONCATENATE($B17,AD$16,"W"))+COUNTIFS(Database!$F:$I,CONCATENATE(AD$16,$B17,"W"))</f>
        <v>1</v>
      </c>
      <c r="AE17" s="123">
        <f>COUNTIFS(Database!$F:$I,CONCATENATE($B17,AE$16,"L"))+COUNTIFS(Database!$F:$I,CONCATENATE(AE$16,$B17,"L"))+COUNTIFS(Database!$F:$I,CONCATENATE($B17,AE$16,"W"))+COUNTIFS(Database!$F:$I,CONCATENATE(AE$16,$B17,"W"))</f>
        <v>0</v>
      </c>
      <c r="AF17" s="123">
        <f>COUNTIFS(Database!$F:$I,CONCATENATE($B17,AF$16,"L"))+COUNTIFS(Database!$F:$I,CONCATENATE(AF$16,$B17,"L"))+COUNTIFS(Database!$F:$I,CONCATENATE($B17,AF$16,"W"))+COUNTIFS(Database!$F:$I,CONCATENATE(AF$16,$B17,"W"))</f>
        <v>0</v>
      </c>
      <c r="AG17" s="123">
        <f>COUNTIFS(Database!$F:$I,CONCATENATE($B17,AG$16,"L"))+COUNTIFS(Database!$F:$I,CONCATENATE(AG$16,$B17,"L"))+COUNTIFS(Database!$F:$I,CONCATENATE($B17,AG$16,"W"))+COUNTIFS(Database!$F:$I,CONCATENATE(AG$16,$B17,"W"))</f>
        <v>1</v>
      </c>
      <c r="AH17" s="123">
        <f>COUNTIFS(Database!$F:$I,CONCATENATE($B17,AH$16,"L"))+COUNTIFS(Database!$F:$I,CONCATENATE(AH$16,$B17,"L"))+COUNTIFS(Database!$F:$I,CONCATENATE($B17,AH$16,"W"))+COUNTIFS(Database!$F:$I,CONCATENATE(AH$16,$B17,"W"))</f>
        <v>0</v>
      </c>
      <c r="AI17" s="123">
        <f>COUNTIFS(Database!$F:$I,CONCATENATE($B17,AI$16,"L"))+COUNTIFS(Database!$F:$I,CONCATENATE(AI$16,$B17,"L"))+COUNTIFS(Database!$F:$I,CONCATENATE($B17,AI$16,"W"))+COUNTIFS(Database!$F:$I,CONCATENATE(AI$16,$B17,"W"))</f>
        <v>3</v>
      </c>
      <c r="AJ17" s="123">
        <f>COUNTIFS(Database!$F:$I,CONCATENATE($B17,AJ$16,"L"))+COUNTIFS(Database!$F:$I,CONCATENATE(AJ$16,$B17,"L"))+COUNTIFS(Database!$F:$I,CONCATENATE($B17,AJ$16,"W"))+COUNTIFS(Database!$F:$I,CONCATENATE(AJ$16,$B17,"W"))</f>
        <v>0</v>
      </c>
      <c r="AK17" s="123">
        <f>COUNTIFS(Database!$F:$I,CONCATENATE($B17,AK$16,"L"))+COUNTIFS(Database!$F:$I,CONCATENATE(AK$16,$B17,"L"))+COUNTIFS(Database!$F:$I,CONCATENATE($B17,AK$16,"W"))+COUNTIFS(Database!$F:$I,CONCATENATE(AK$16,$B17,"W"))</f>
        <v>9</v>
      </c>
      <c r="AL17" s="123">
        <f>COUNTIFS(Database!$F:$I,CONCATENATE($B17,AL$16,"L"))+COUNTIFS(Database!$F:$I,CONCATENATE(AL$16,$B17,"L"))+COUNTIFS(Database!$F:$I,CONCATENATE($B17,AL$16,"W"))+COUNTIFS(Database!$F:$I,CONCATENATE(AL$16,$B17,"W"))</f>
        <v>5</v>
      </c>
      <c r="AM17" s="123">
        <f>COUNTIFS(Database!$F:$I,CONCATENATE($B17,AM$16,"L"))+COUNTIFS(Database!$F:$I,CONCATENATE(AM$16,$B17,"L"))+COUNTIFS(Database!$F:$I,CONCATENATE($B17,AM$16,"W"))+COUNTIFS(Database!$F:$I,CONCATENATE(AM$16,$B17,"W"))</f>
        <v>2</v>
      </c>
      <c r="AN17" s="123">
        <f>COUNTIFS(Database!$F:$I,CONCATENATE($B17,AN$16,"L"))+COUNTIFS(Database!$F:$I,CONCATENATE(AN$16,$B17,"L"))+COUNTIFS(Database!$F:$I,CONCATENATE($B17,AN$16,"W"))+COUNTIFS(Database!$F:$I,CONCATENATE(AN$16,$B17,"W"))</f>
        <v>0</v>
      </c>
      <c r="AO17" s="123">
        <f>COUNTIFS(Database!$F:$I,CONCATENATE($B17,AO$16,"L"))+COUNTIFS(Database!$F:$I,CONCATENATE(AO$16,$B17,"L"))+COUNTIFS(Database!$F:$I,CONCATENATE($B17,AO$16,"W"))+COUNTIFS(Database!$F:$I,CONCATENATE(AO$16,$B17,"W"))</f>
        <v>9</v>
      </c>
      <c r="AP17" s="123">
        <f>COUNTIFS(Database!$F:$I,CONCATENATE($B17,AP$16,"L"))+COUNTIFS(Database!$F:$I,CONCATENATE(AP$16,$B17,"L"))+COUNTIFS(Database!$F:$I,CONCATENATE($B17,AP$16,"W"))+COUNTIFS(Database!$F:$I,CONCATENATE(AP$16,$B17,"W"))</f>
        <v>1</v>
      </c>
      <c r="AQ17" s="123">
        <f>COUNTIFS(Database!$F:$I,CONCATENATE($B17,AQ$16,"L"))+COUNTIFS(Database!$F:$I,CONCATENATE(AQ$16,$B17,"L"))+COUNTIFS(Database!$F:$I,CONCATENATE($B17,AQ$16,"W"))+COUNTIFS(Database!$F:$I,CONCATENATE(AQ$16,$B17,"W"))</f>
        <v>4</v>
      </c>
      <c r="AR17" s="123">
        <f>COUNTIFS(Database!$F:$I,CONCATENATE($B17,AR$16,"L"))+COUNTIFS(Database!$F:$I,CONCATENATE(AR$16,$B17,"L"))+COUNTIFS(Database!$F:$I,CONCATENATE($B17,AR$16,"W"))+COUNTIFS(Database!$F:$I,CONCATENATE(AR$16,$B17,"W"))</f>
        <v>11</v>
      </c>
      <c r="AS17" s="123">
        <f>COUNTIFS(Database!$F:$I,CONCATENATE($B17,AS$16,"L"))+COUNTIFS(Database!$F:$I,CONCATENATE(AS$16,$B17,"L"))+COUNTIFS(Database!$F:$I,CONCATENATE($B17,AS$16,"W"))+COUNTIFS(Database!$F:$I,CONCATENATE(AS$16,$B17,"W"))</f>
        <v>0</v>
      </c>
      <c r="AT17" s="123">
        <f>COUNTIFS(Database!$F:$I,CONCATENATE($B17,AT$16,"L"))+COUNTIFS(Database!$F:$I,CONCATENATE(AT$16,$B17,"L"))+COUNTIFS(Database!$F:$I,CONCATENATE($B17,AT$16,"W"))+COUNTIFS(Database!$F:$I,CONCATENATE(AT$16,$B17,"W"))</f>
        <v>0</v>
      </c>
      <c r="AU17" s="123">
        <f>COUNTIFS(Database!$F:$I,CONCATENATE($B17,AU$16,"L"))+COUNTIFS(Database!$F:$I,CONCATENATE(AU$16,$B17,"L"))+COUNTIFS(Database!$F:$I,CONCATENATE($B17,AU$16,"W"))+COUNTIFS(Database!$F:$I,CONCATENATE(AU$16,$B17,"W"))</f>
        <v>10</v>
      </c>
      <c r="AV17" s="123">
        <f>COUNTIFS(Database!$F:$I,CONCATENATE($B17,AV$16,"L"))+COUNTIFS(Database!$F:$I,CONCATENATE(AV$16,$B17,"L"))+COUNTIFS(Database!$F:$I,CONCATENATE($B17,AV$16,"W"))+COUNTIFS(Database!$F:$I,CONCATENATE(AV$16,$B17,"W"))</f>
        <v>1</v>
      </c>
      <c r="AW17" s="123">
        <f>COUNTIFS(Database!$F:$I,CONCATENATE($B17,AW$16,"L"))+COUNTIFS(Database!$F:$I,CONCATENATE(AW$16,$B17,"L"))+COUNTIFS(Database!$F:$I,CONCATENATE($B17,AW$16,"W"))+COUNTIFS(Database!$F:$I,CONCATENATE(AW$16,$B17,"W"))</f>
        <v>12</v>
      </c>
      <c r="AX17" s="123">
        <f>COUNTIFS(Database!$F:$I,CONCATENATE($B17,AX$16,"L"))+COUNTIFS(Database!$F:$I,CONCATENATE(AX$16,$B17,"L"))+COUNTIFS(Database!$F:$I,CONCATENATE($B17,AX$16,"W"))+COUNTIFS(Database!$F:$I,CONCATENATE(AX$16,$B17,"W"))</f>
        <v>1</v>
      </c>
      <c r="AY17" s="123">
        <f>COUNTIFS(Database!$F:$I,CONCATENATE($B17,AY$16,"L"))+COUNTIFS(Database!$F:$I,CONCATENATE(AY$16,$B17,"L"))+COUNTIFS(Database!$F:$I,CONCATENATE($B17,AY$16,"W"))+COUNTIFS(Database!$F:$I,CONCATENATE(AY$16,$B17,"W"))</f>
        <v>10</v>
      </c>
    </row>
    <row r="18" spans="2:51" x14ac:dyDescent="0.25">
      <c r="B18" s="120" t="s">
        <v>17</v>
      </c>
      <c r="C18" s="123">
        <f>COUNTIFS(Database!$F:$I,CONCATENATE($B18,C$16,"L"))+COUNTIFS(Database!$F:$I,CONCATENATE(C$16,$B18,"L"))+COUNTIFS(Database!$F:$I,CONCATENATE($B18,C$16,"W"))+COUNTIFS(Database!$F:$I,CONCATENATE(C$16,$B18,"W"))</f>
        <v>0</v>
      </c>
      <c r="D18" s="123">
        <f>COUNTIFS(Database!$F:$I,CONCATENATE($B18,D$16,"L"))+COUNTIFS(Database!$F:$I,CONCATENATE(D$16,$B18,"L"))+COUNTIFS(Database!$F:$I,CONCATENATE($B18,D$16,"W"))+COUNTIFS(Database!$F:$I,CONCATENATE(D$16,$B18,"W"))</f>
        <v>0</v>
      </c>
      <c r="E18" s="123">
        <f>COUNTIFS(Database!$F:$I,CONCATENATE($B18,E$16,"L"))+COUNTIFS(Database!$F:$I,CONCATENATE(E$16,$B18,"L"))+COUNTIFS(Database!$F:$I,CONCATENATE($B18,E$16,"W"))+COUNTIFS(Database!$F:$I,CONCATENATE(E$16,$B18,"W"))</f>
        <v>1</v>
      </c>
      <c r="F18" s="123">
        <f>COUNTIFS(Database!$F:$I,CONCATENATE($B18,F$16,"L"))+COUNTIFS(Database!$F:$I,CONCATENATE(F$16,$B18,"L"))+COUNTIFS(Database!$F:$I,CONCATENATE($B18,F$16,"W"))+COUNTIFS(Database!$F:$I,CONCATENATE(F$16,$B18,"W"))</f>
        <v>0</v>
      </c>
      <c r="G18" s="123">
        <f>COUNTIFS(Database!$F:$I,CONCATENATE($B18,G$16,"L"))+COUNTIFS(Database!$F:$I,CONCATENATE(G$16,$B18,"L"))+COUNTIFS(Database!$F:$I,CONCATENATE($B18,G$16,"W"))+COUNTIFS(Database!$F:$I,CONCATENATE(G$16,$B18,"W"))</f>
        <v>0</v>
      </c>
      <c r="H18" s="123">
        <f>COUNTIFS(Database!$F:$I,CONCATENATE($B18,H$16,"L"))+COUNTIFS(Database!$F:$I,CONCATENATE(H$16,$B18,"L"))+COUNTIFS(Database!$F:$I,CONCATENATE($B18,H$16,"W"))+COUNTIFS(Database!$F:$I,CONCATENATE(H$16,$B18,"W"))</f>
        <v>0</v>
      </c>
      <c r="I18" s="123">
        <f>COUNTIFS(Database!$F:$I,CONCATENATE($B18,I$16,"L"))+COUNTIFS(Database!$F:$I,CONCATENATE(I$16,$B18,"L"))+COUNTIFS(Database!$F:$I,CONCATENATE($B18,I$16,"W"))+COUNTIFS(Database!$F:$I,CONCATENATE(I$16,$B18,"W"))</f>
        <v>0</v>
      </c>
      <c r="J18" s="123">
        <f>COUNTIFS(Database!$F:$I,CONCATENATE($B18,J$16,"L"))+COUNTIFS(Database!$F:$I,CONCATENATE(J$16,$B18,"L"))+COUNTIFS(Database!$F:$I,CONCATENATE($B18,J$16,"W"))+COUNTIFS(Database!$F:$I,CONCATENATE(J$16,$B18,"W"))</f>
        <v>0</v>
      </c>
      <c r="K18" s="123">
        <f>COUNTIFS(Database!$F:$I,CONCATENATE($B18,K$16,"L"))+COUNTIFS(Database!$F:$I,CONCATENATE(K$16,$B18,"L"))+COUNTIFS(Database!$F:$I,CONCATENATE($B18,K$16,"W"))+COUNTIFS(Database!$F:$I,CONCATENATE(K$16,$B18,"W"))</f>
        <v>1</v>
      </c>
      <c r="L18" s="123">
        <f>COUNTIFS(Database!$F:$I,CONCATENATE($B18,L$16,"L"))+COUNTIFS(Database!$F:$I,CONCATENATE(L$16,$B18,"L"))+COUNTIFS(Database!$F:$I,CONCATENATE($B18,L$16,"W"))+COUNTIFS(Database!$F:$I,CONCATENATE(L$16,$B18,"W"))</f>
        <v>0</v>
      </c>
      <c r="M18" s="123">
        <f>COUNTIFS(Database!$F:$I,CONCATENATE($B18,M$16,"L"))+COUNTIFS(Database!$F:$I,CONCATENATE(M$16,$B18,"L"))+COUNTIFS(Database!$F:$I,CONCATENATE($B18,M$16,"W"))+COUNTIFS(Database!$F:$I,CONCATENATE(M$16,$B18,"W"))</f>
        <v>0</v>
      </c>
      <c r="N18" s="123">
        <f>COUNTIFS(Database!$F:$I,CONCATENATE($B18,N$16,"L"))+COUNTIFS(Database!$F:$I,CONCATENATE(N$16,$B18,"L"))+COUNTIFS(Database!$F:$I,CONCATENATE($B18,N$16,"W"))+COUNTIFS(Database!$F:$I,CONCATENATE(N$16,$B18,"W"))</f>
        <v>0</v>
      </c>
      <c r="O18" s="123">
        <f>COUNTIFS(Database!$F:$I,CONCATENATE($B18,O$16,"L"))+COUNTIFS(Database!$F:$I,CONCATENATE(O$16,$B18,"L"))+COUNTIFS(Database!$F:$I,CONCATENATE($B18,O$16,"W"))+COUNTIFS(Database!$F:$I,CONCATENATE(O$16,$B18,"W"))</f>
        <v>0</v>
      </c>
      <c r="P18" s="123">
        <f>COUNTIFS(Database!$F:$I,CONCATENATE($B18,P$16,"L"))+COUNTIFS(Database!$F:$I,CONCATENATE(P$16,$B18,"L"))+COUNTIFS(Database!$F:$I,CONCATENATE($B18,P$16,"W"))+COUNTIFS(Database!$F:$I,CONCATENATE(P$16,$B18,"W"))</f>
        <v>0</v>
      </c>
      <c r="Q18" s="123">
        <f>COUNTIFS(Database!$F:$I,CONCATENATE($B18,Q$16,"L"))+COUNTIFS(Database!$F:$I,CONCATENATE(Q$16,$B18,"L"))+COUNTIFS(Database!$F:$I,CONCATENATE($B18,Q$16,"W"))+COUNTIFS(Database!$F:$I,CONCATENATE(Q$16,$B18,"W"))</f>
        <v>0</v>
      </c>
      <c r="R18" s="123">
        <f>COUNTIFS(Database!$F:$I,CONCATENATE($B18,R$16,"L"))+COUNTIFS(Database!$F:$I,CONCATENATE(R$16,$B18,"L"))+COUNTIFS(Database!$F:$I,CONCATENATE($B18,R$16,"W"))+COUNTIFS(Database!$F:$I,CONCATENATE(R$16,$B18,"W"))</f>
        <v>0</v>
      </c>
      <c r="S18" s="123">
        <f>COUNTIFS(Database!$F:$I,CONCATENATE($B18,S$16,"L"))+COUNTIFS(Database!$F:$I,CONCATENATE(S$16,$B18,"L"))+COUNTIFS(Database!$F:$I,CONCATENATE($B18,S$16,"W"))+COUNTIFS(Database!$F:$I,CONCATENATE(S$16,$B18,"W"))</f>
        <v>0</v>
      </c>
      <c r="T18" s="123">
        <f>COUNTIFS(Database!$F:$I,CONCATENATE($B18,T$16,"L"))+COUNTIFS(Database!$F:$I,CONCATENATE(T$16,$B18,"L"))+COUNTIFS(Database!$F:$I,CONCATENATE($B18,T$16,"W"))+COUNTIFS(Database!$F:$I,CONCATENATE(T$16,$B18,"W"))</f>
        <v>0</v>
      </c>
      <c r="U18" s="123">
        <f>COUNTIFS(Database!$F:$I,CONCATENATE($B18,U$16,"L"))+COUNTIFS(Database!$F:$I,CONCATENATE(U$16,$B18,"L"))+COUNTIFS(Database!$F:$I,CONCATENATE($B18,U$16,"W"))+COUNTIFS(Database!$F:$I,CONCATENATE(U$16,$B18,"W"))</f>
        <v>0</v>
      </c>
      <c r="V18" s="123">
        <f>COUNTIFS(Database!$F:$I,CONCATENATE($B18,V$16,"L"))+COUNTIFS(Database!$F:$I,CONCATENATE(V$16,$B18,"L"))+COUNTIFS(Database!$F:$I,CONCATENATE($B18,V$16,"W"))+COUNTIFS(Database!$F:$I,CONCATENATE(V$16,$B18,"W"))</f>
        <v>0</v>
      </c>
      <c r="W18" s="123">
        <f>COUNTIFS(Database!$F:$I,CONCATENATE($B18,W$16,"L"))+COUNTIFS(Database!$F:$I,CONCATENATE(W$16,$B18,"L"))+COUNTIFS(Database!$F:$I,CONCATENATE($B18,W$16,"W"))+COUNTIFS(Database!$F:$I,CONCATENATE(W$16,$B18,"W"))</f>
        <v>1</v>
      </c>
      <c r="X18" s="123">
        <f>COUNTIFS(Database!$F:$I,CONCATENATE($B18,X$16,"L"))+COUNTIFS(Database!$F:$I,CONCATENATE(X$16,$B18,"L"))+COUNTIFS(Database!$F:$I,CONCATENATE($B18,X$16,"W"))+COUNTIFS(Database!$F:$I,CONCATENATE(X$16,$B18,"W"))</f>
        <v>0</v>
      </c>
      <c r="Y18" s="123">
        <f>COUNTIFS(Database!$F:$I,CONCATENATE($B18,Y$16,"L"))+COUNTIFS(Database!$F:$I,CONCATENATE(Y$16,$B18,"L"))+COUNTIFS(Database!$F:$I,CONCATENATE($B18,Y$16,"W"))+COUNTIFS(Database!$F:$I,CONCATENATE(Y$16,$B18,"W"))</f>
        <v>0</v>
      </c>
      <c r="Z18" s="123">
        <f>COUNTIFS(Database!$F:$I,CONCATENATE($B18,Z$16,"L"))+COUNTIFS(Database!$F:$I,CONCATENATE(Z$16,$B18,"L"))+COUNTIFS(Database!$F:$I,CONCATENATE($B18,Z$16,"W"))+COUNTIFS(Database!$F:$I,CONCATENATE(Z$16,$B18,"W"))</f>
        <v>0</v>
      </c>
      <c r="AA18" s="123">
        <f>COUNTIFS(Database!$F:$I,CONCATENATE($B18,AA$16,"L"))+COUNTIFS(Database!$F:$I,CONCATENATE(AA$16,$B18,"L"))+COUNTIFS(Database!$F:$I,CONCATENATE($B18,AA$16,"W"))+COUNTIFS(Database!$F:$I,CONCATENATE(AA$16,$B18,"W"))</f>
        <v>0</v>
      </c>
      <c r="AB18" s="123">
        <f>COUNTIFS(Database!$F:$I,CONCATENATE($B18,AB$16,"L"))+COUNTIFS(Database!$F:$I,CONCATENATE(AB$16,$B18,"L"))+COUNTIFS(Database!$F:$I,CONCATENATE($B18,AB$16,"W"))+COUNTIFS(Database!$F:$I,CONCATENATE(AB$16,$B18,"W"))</f>
        <v>0</v>
      </c>
      <c r="AC18" s="123">
        <f>COUNTIFS(Database!$F:$I,CONCATENATE($B18,AC$16,"L"))+COUNTIFS(Database!$F:$I,CONCATENATE(AC$16,$B18,"L"))+COUNTIFS(Database!$F:$I,CONCATENATE($B18,AC$16,"W"))+COUNTIFS(Database!$F:$I,CONCATENATE(AC$16,$B18,"W"))</f>
        <v>1</v>
      </c>
      <c r="AD18" s="123">
        <f>COUNTIFS(Database!$F:$I,CONCATENATE($B18,AD$16,"L"))+COUNTIFS(Database!$F:$I,CONCATENATE(AD$16,$B18,"L"))+COUNTIFS(Database!$F:$I,CONCATENATE($B18,AD$16,"W"))+COUNTIFS(Database!$F:$I,CONCATENATE(AD$16,$B18,"W"))</f>
        <v>0</v>
      </c>
      <c r="AE18" s="123">
        <f>COUNTIFS(Database!$F:$I,CONCATENATE($B18,AE$16,"L"))+COUNTIFS(Database!$F:$I,CONCATENATE(AE$16,$B18,"L"))+COUNTIFS(Database!$F:$I,CONCATENATE($B18,AE$16,"W"))+COUNTIFS(Database!$F:$I,CONCATENATE(AE$16,$B18,"W"))</f>
        <v>0</v>
      </c>
      <c r="AF18" s="123">
        <f>COUNTIFS(Database!$F:$I,CONCATENATE($B18,AF$16,"L"))+COUNTIFS(Database!$F:$I,CONCATENATE(AF$16,$B18,"L"))+COUNTIFS(Database!$F:$I,CONCATENATE($B18,AF$16,"W"))+COUNTIFS(Database!$F:$I,CONCATENATE(AF$16,$B18,"W"))</f>
        <v>0</v>
      </c>
      <c r="AG18" s="123">
        <f>COUNTIFS(Database!$F:$I,CONCATENATE($B18,AG$16,"L"))+COUNTIFS(Database!$F:$I,CONCATENATE(AG$16,$B18,"L"))+COUNTIFS(Database!$F:$I,CONCATENATE($B18,AG$16,"W"))+COUNTIFS(Database!$F:$I,CONCATENATE(AG$16,$B18,"W"))</f>
        <v>1</v>
      </c>
      <c r="AH18" s="123">
        <f>COUNTIFS(Database!$F:$I,CONCATENATE($B18,AH$16,"L"))+COUNTIFS(Database!$F:$I,CONCATENATE(AH$16,$B18,"L"))+COUNTIFS(Database!$F:$I,CONCATENATE($B18,AH$16,"W"))+COUNTIFS(Database!$F:$I,CONCATENATE(AH$16,$B18,"W"))</f>
        <v>0</v>
      </c>
      <c r="AI18" s="123">
        <f>COUNTIFS(Database!$F:$I,CONCATENATE($B18,AI$16,"L"))+COUNTIFS(Database!$F:$I,CONCATENATE(AI$16,$B18,"L"))+COUNTIFS(Database!$F:$I,CONCATENATE($B18,AI$16,"W"))+COUNTIFS(Database!$F:$I,CONCATENATE(AI$16,$B18,"W"))</f>
        <v>2</v>
      </c>
      <c r="AJ18" s="123">
        <f>COUNTIFS(Database!$F:$I,CONCATENATE($B18,AJ$16,"L"))+COUNTIFS(Database!$F:$I,CONCATENATE(AJ$16,$B18,"L"))+COUNTIFS(Database!$F:$I,CONCATENATE($B18,AJ$16,"W"))+COUNTIFS(Database!$F:$I,CONCATENATE(AJ$16,$B18,"W"))</f>
        <v>1</v>
      </c>
      <c r="AK18" s="123">
        <f>COUNTIFS(Database!$F:$I,CONCATENATE($B18,AK$16,"L"))+COUNTIFS(Database!$F:$I,CONCATENATE(AK$16,$B18,"L"))+COUNTIFS(Database!$F:$I,CONCATENATE($B18,AK$16,"W"))+COUNTIFS(Database!$F:$I,CONCATENATE(AK$16,$B18,"W"))</f>
        <v>0</v>
      </c>
      <c r="AL18" s="123">
        <f>COUNTIFS(Database!$F:$I,CONCATENATE($B18,AL$16,"L"))+COUNTIFS(Database!$F:$I,CONCATENATE(AL$16,$B18,"L"))+COUNTIFS(Database!$F:$I,CONCATENATE($B18,AL$16,"W"))+COUNTIFS(Database!$F:$I,CONCATENATE(AL$16,$B18,"W"))</f>
        <v>1</v>
      </c>
      <c r="AM18" s="123">
        <f>COUNTIFS(Database!$F:$I,CONCATENATE($B18,AM$16,"L"))+COUNTIFS(Database!$F:$I,CONCATENATE(AM$16,$B18,"L"))+COUNTIFS(Database!$F:$I,CONCATENATE($B18,AM$16,"W"))+COUNTIFS(Database!$F:$I,CONCATENATE(AM$16,$B18,"W"))</f>
        <v>0</v>
      </c>
      <c r="AN18" s="123">
        <f>COUNTIFS(Database!$F:$I,CONCATENATE($B18,AN$16,"L"))+COUNTIFS(Database!$F:$I,CONCATENATE(AN$16,$B18,"L"))+COUNTIFS(Database!$F:$I,CONCATENATE($B18,AN$16,"W"))+COUNTIFS(Database!$F:$I,CONCATENATE(AN$16,$B18,"W"))</f>
        <v>0</v>
      </c>
      <c r="AO18" s="123">
        <f>COUNTIFS(Database!$F:$I,CONCATENATE($B18,AO$16,"L"))+COUNTIFS(Database!$F:$I,CONCATENATE(AO$16,$B18,"L"))+COUNTIFS(Database!$F:$I,CONCATENATE($B18,AO$16,"W"))+COUNTIFS(Database!$F:$I,CONCATENATE(AO$16,$B18,"W"))</f>
        <v>2</v>
      </c>
      <c r="AP18" s="123">
        <f>COUNTIFS(Database!$F:$I,CONCATENATE($B18,AP$16,"L"))+COUNTIFS(Database!$F:$I,CONCATENATE(AP$16,$B18,"L"))+COUNTIFS(Database!$F:$I,CONCATENATE($B18,AP$16,"W"))+COUNTIFS(Database!$F:$I,CONCATENATE(AP$16,$B18,"W"))</f>
        <v>0</v>
      </c>
      <c r="AQ18" s="123">
        <f>COUNTIFS(Database!$F:$I,CONCATENATE($B18,AQ$16,"L"))+COUNTIFS(Database!$F:$I,CONCATENATE(AQ$16,$B18,"L"))+COUNTIFS(Database!$F:$I,CONCATENATE($B18,AQ$16,"W"))+COUNTIFS(Database!$F:$I,CONCATENATE(AQ$16,$B18,"W"))</f>
        <v>0</v>
      </c>
      <c r="AR18" s="123">
        <f>COUNTIFS(Database!$F:$I,CONCATENATE($B18,AR$16,"L"))+COUNTIFS(Database!$F:$I,CONCATENATE(AR$16,$B18,"L"))+COUNTIFS(Database!$F:$I,CONCATENATE($B18,AR$16,"W"))+COUNTIFS(Database!$F:$I,CONCATENATE(AR$16,$B18,"W"))</f>
        <v>3</v>
      </c>
      <c r="AS18" s="123">
        <f>COUNTIFS(Database!$F:$I,CONCATENATE($B18,AS$16,"L"))+COUNTIFS(Database!$F:$I,CONCATENATE(AS$16,$B18,"L"))+COUNTIFS(Database!$F:$I,CONCATENATE($B18,AS$16,"W"))+COUNTIFS(Database!$F:$I,CONCATENATE(AS$16,$B18,"W"))</f>
        <v>0</v>
      </c>
      <c r="AT18" s="123">
        <f>COUNTIFS(Database!$F:$I,CONCATENATE($B18,AT$16,"L"))+COUNTIFS(Database!$F:$I,CONCATENATE(AT$16,$B18,"L"))+COUNTIFS(Database!$F:$I,CONCATENATE($B18,AT$16,"W"))+COUNTIFS(Database!$F:$I,CONCATENATE(AT$16,$B18,"W"))</f>
        <v>0</v>
      </c>
      <c r="AU18" s="123">
        <f>COUNTIFS(Database!$F:$I,CONCATENATE($B18,AU$16,"L"))+COUNTIFS(Database!$F:$I,CONCATENATE(AU$16,$B18,"L"))+COUNTIFS(Database!$F:$I,CONCATENATE($B18,AU$16,"W"))+COUNTIFS(Database!$F:$I,CONCATENATE(AU$16,$B18,"W"))</f>
        <v>1</v>
      </c>
      <c r="AV18" s="123">
        <f>COUNTIFS(Database!$F:$I,CONCATENATE($B18,AV$16,"L"))+COUNTIFS(Database!$F:$I,CONCATENATE(AV$16,$B18,"L"))+COUNTIFS(Database!$F:$I,CONCATENATE($B18,AV$16,"W"))+COUNTIFS(Database!$F:$I,CONCATENATE(AV$16,$B18,"W"))</f>
        <v>0</v>
      </c>
      <c r="AW18" s="123">
        <f>COUNTIFS(Database!$F:$I,CONCATENATE($B18,AW$16,"L"))+COUNTIFS(Database!$F:$I,CONCATENATE(AW$16,$B18,"L"))+COUNTIFS(Database!$F:$I,CONCATENATE($B18,AW$16,"W"))+COUNTIFS(Database!$F:$I,CONCATENATE(AW$16,$B18,"W"))</f>
        <v>0</v>
      </c>
      <c r="AX18" s="123">
        <f>COUNTIFS(Database!$F:$I,CONCATENATE($B18,AX$16,"L"))+COUNTIFS(Database!$F:$I,CONCATENATE(AX$16,$B18,"L"))+COUNTIFS(Database!$F:$I,CONCATENATE($B18,AX$16,"W"))+COUNTIFS(Database!$F:$I,CONCATENATE(AX$16,$B18,"W"))</f>
        <v>1</v>
      </c>
      <c r="AY18" s="123">
        <f>COUNTIFS(Database!$F:$I,CONCATENATE($B18,AY$16,"L"))+COUNTIFS(Database!$F:$I,CONCATENATE(AY$16,$B18,"L"))+COUNTIFS(Database!$F:$I,CONCATENATE($B18,AY$16,"W"))+COUNTIFS(Database!$F:$I,CONCATENATE(AY$16,$B18,"W"))</f>
        <v>0</v>
      </c>
    </row>
    <row r="19" spans="2:51" x14ac:dyDescent="0.25">
      <c r="B19" s="120" t="s">
        <v>47</v>
      </c>
      <c r="C19" s="123">
        <f>COUNTIFS(Database!$F:$I,CONCATENATE($B19,C$16,"L"))+COUNTIFS(Database!$F:$I,CONCATENATE(C$16,$B19,"L"))+COUNTIFS(Database!$F:$I,CONCATENATE($B19,C$16,"W"))+COUNTIFS(Database!$F:$I,CONCATENATE(C$16,$B19,"W"))</f>
        <v>11</v>
      </c>
      <c r="D19" s="123">
        <f>COUNTIFS(Database!$F:$I,CONCATENATE($B19,D$16,"L"))+COUNTIFS(Database!$F:$I,CONCATENATE(D$16,$B19,"L"))+COUNTIFS(Database!$F:$I,CONCATENATE($B19,D$16,"W"))+COUNTIFS(Database!$F:$I,CONCATENATE(D$16,$B19,"W"))</f>
        <v>1</v>
      </c>
      <c r="E19" s="123">
        <f>COUNTIFS(Database!$F:$I,CONCATENATE($B19,E$16,"L"))+COUNTIFS(Database!$F:$I,CONCATENATE(E$16,$B19,"L"))+COUNTIFS(Database!$F:$I,CONCATENATE($B19,E$16,"W"))+COUNTIFS(Database!$F:$I,CONCATENATE(E$16,$B19,"W"))</f>
        <v>0</v>
      </c>
      <c r="F19" s="123">
        <f>COUNTIFS(Database!$F:$I,CONCATENATE($B19,F$16,"L"))+COUNTIFS(Database!$F:$I,CONCATENATE(F$16,$B19,"L"))+COUNTIFS(Database!$F:$I,CONCATENATE($B19,F$16,"W"))+COUNTIFS(Database!$F:$I,CONCATENATE(F$16,$B19,"W"))</f>
        <v>7</v>
      </c>
      <c r="G19" s="123">
        <f>COUNTIFS(Database!$F:$I,CONCATENATE($B19,G$16,"L"))+COUNTIFS(Database!$F:$I,CONCATENATE(G$16,$B19,"L"))+COUNTIFS(Database!$F:$I,CONCATENATE($B19,G$16,"W"))+COUNTIFS(Database!$F:$I,CONCATENATE(G$16,$B19,"W"))</f>
        <v>0</v>
      </c>
      <c r="H19" s="123">
        <f>COUNTIFS(Database!$F:$I,CONCATENATE($B19,H$16,"L"))+COUNTIFS(Database!$F:$I,CONCATENATE(H$16,$B19,"L"))+COUNTIFS(Database!$F:$I,CONCATENATE($B19,H$16,"W"))+COUNTIFS(Database!$F:$I,CONCATENATE(H$16,$B19,"W"))</f>
        <v>0</v>
      </c>
      <c r="I19" s="123">
        <f>COUNTIFS(Database!$F:$I,CONCATENATE($B19,I$16,"L"))+COUNTIFS(Database!$F:$I,CONCATENATE(I$16,$B19,"L"))+COUNTIFS(Database!$F:$I,CONCATENATE($B19,I$16,"W"))+COUNTIFS(Database!$F:$I,CONCATENATE(I$16,$B19,"W"))</f>
        <v>0</v>
      </c>
      <c r="J19" s="123">
        <f>COUNTIFS(Database!$F:$I,CONCATENATE($B19,J$16,"L"))+COUNTIFS(Database!$F:$I,CONCATENATE(J$16,$B19,"L"))+COUNTIFS(Database!$F:$I,CONCATENATE($B19,J$16,"W"))+COUNTIFS(Database!$F:$I,CONCATENATE(J$16,$B19,"W"))</f>
        <v>0</v>
      </c>
      <c r="K19" s="123">
        <f>COUNTIFS(Database!$F:$I,CONCATENATE($B19,K$16,"L"))+COUNTIFS(Database!$F:$I,CONCATENATE(K$16,$B19,"L"))+COUNTIFS(Database!$F:$I,CONCATENATE($B19,K$16,"W"))+COUNTIFS(Database!$F:$I,CONCATENATE(K$16,$B19,"W"))</f>
        <v>8</v>
      </c>
      <c r="L19" s="123">
        <f>COUNTIFS(Database!$F:$I,CONCATENATE($B19,L$16,"L"))+COUNTIFS(Database!$F:$I,CONCATENATE(L$16,$B19,"L"))+COUNTIFS(Database!$F:$I,CONCATENATE($B19,L$16,"W"))+COUNTIFS(Database!$F:$I,CONCATENATE(L$16,$B19,"W"))</f>
        <v>2</v>
      </c>
      <c r="M19" s="123">
        <f>COUNTIFS(Database!$F:$I,CONCATENATE($B19,M$16,"L"))+COUNTIFS(Database!$F:$I,CONCATENATE(M$16,$B19,"L"))+COUNTIFS(Database!$F:$I,CONCATENATE($B19,M$16,"W"))+COUNTIFS(Database!$F:$I,CONCATENATE(M$16,$B19,"W"))</f>
        <v>1</v>
      </c>
      <c r="N19" s="123">
        <f>COUNTIFS(Database!$F:$I,CONCATENATE($B19,N$16,"L"))+COUNTIFS(Database!$F:$I,CONCATENATE(N$16,$B19,"L"))+COUNTIFS(Database!$F:$I,CONCATENATE($B19,N$16,"W"))+COUNTIFS(Database!$F:$I,CONCATENATE(N$16,$B19,"W"))</f>
        <v>2</v>
      </c>
      <c r="O19" s="123">
        <f>COUNTIFS(Database!$F:$I,CONCATENATE($B19,O$16,"L"))+COUNTIFS(Database!$F:$I,CONCATENATE(O$16,$B19,"L"))+COUNTIFS(Database!$F:$I,CONCATENATE($B19,O$16,"W"))+COUNTIFS(Database!$F:$I,CONCATENATE(O$16,$B19,"W"))</f>
        <v>7</v>
      </c>
      <c r="P19" s="123">
        <f>COUNTIFS(Database!$F:$I,CONCATENATE($B19,P$16,"L"))+COUNTIFS(Database!$F:$I,CONCATENATE(P$16,$B19,"L"))+COUNTIFS(Database!$F:$I,CONCATENATE($B19,P$16,"W"))+COUNTIFS(Database!$F:$I,CONCATENATE(P$16,$B19,"W"))</f>
        <v>1</v>
      </c>
      <c r="Q19" s="123">
        <f>COUNTIFS(Database!$F:$I,CONCATENATE($B19,Q$16,"L"))+COUNTIFS(Database!$F:$I,CONCATENATE(Q$16,$B19,"L"))+COUNTIFS(Database!$F:$I,CONCATENATE($B19,Q$16,"W"))+COUNTIFS(Database!$F:$I,CONCATENATE(Q$16,$B19,"W"))</f>
        <v>1</v>
      </c>
      <c r="R19" s="123">
        <f>COUNTIFS(Database!$F:$I,CONCATENATE($B19,R$16,"L"))+COUNTIFS(Database!$F:$I,CONCATENATE(R$16,$B19,"L"))+COUNTIFS(Database!$F:$I,CONCATENATE($B19,R$16,"W"))+COUNTIFS(Database!$F:$I,CONCATENATE(R$16,$B19,"W"))</f>
        <v>1</v>
      </c>
      <c r="S19" s="123">
        <f>COUNTIFS(Database!$F:$I,CONCATENATE($B19,S$16,"L"))+COUNTIFS(Database!$F:$I,CONCATENATE(S$16,$B19,"L"))+COUNTIFS(Database!$F:$I,CONCATENATE($B19,S$16,"W"))+COUNTIFS(Database!$F:$I,CONCATENATE(S$16,$B19,"W"))</f>
        <v>6</v>
      </c>
      <c r="T19" s="123">
        <f>COUNTIFS(Database!$F:$I,CONCATENATE($B19,T$16,"L"))+COUNTIFS(Database!$F:$I,CONCATENATE(T$16,$B19,"L"))+COUNTIFS(Database!$F:$I,CONCATENATE($B19,T$16,"W"))+COUNTIFS(Database!$F:$I,CONCATENATE(T$16,$B19,"W"))</f>
        <v>1</v>
      </c>
      <c r="U19" s="123">
        <f>COUNTIFS(Database!$F:$I,CONCATENATE($B19,U$16,"L"))+COUNTIFS(Database!$F:$I,CONCATENATE(U$16,$B19,"L"))+COUNTIFS(Database!$F:$I,CONCATENATE($B19,U$16,"W"))+COUNTIFS(Database!$F:$I,CONCATENATE(U$16,$B19,"W"))</f>
        <v>0</v>
      </c>
      <c r="V19" s="123">
        <f>COUNTIFS(Database!$F:$I,CONCATENATE($B19,V$16,"L"))+COUNTIFS(Database!$F:$I,CONCATENATE(V$16,$B19,"L"))+COUNTIFS(Database!$F:$I,CONCATENATE($B19,V$16,"W"))+COUNTIFS(Database!$F:$I,CONCATENATE(V$16,$B19,"W"))</f>
        <v>2</v>
      </c>
      <c r="W19" s="123">
        <f>COUNTIFS(Database!$F:$I,CONCATENATE($B19,W$16,"L"))+COUNTIFS(Database!$F:$I,CONCATENATE(W$16,$B19,"L"))+COUNTIFS(Database!$F:$I,CONCATENATE($B19,W$16,"W"))+COUNTIFS(Database!$F:$I,CONCATENATE(W$16,$B19,"W"))</f>
        <v>7</v>
      </c>
      <c r="X19" s="123">
        <f>COUNTIFS(Database!$F:$I,CONCATENATE($B19,X$16,"L"))+COUNTIFS(Database!$F:$I,CONCATENATE(X$16,$B19,"L"))+COUNTIFS(Database!$F:$I,CONCATENATE($B19,X$16,"W"))+COUNTIFS(Database!$F:$I,CONCATENATE(X$16,$B19,"W"))</f>
        <v>0</v>
      </c>
      <c r="Y19" s="123">
        <f>COUNTIFS(Database!$F:$I,CONCATENATE($B19,Y$16,"L"))+COUNTIFS(Database!$F:$I,CONCATENATE(Y$16,$B19,"L"))+COUNTIFS(Database!$F:$I,CONCATENATE($B19,Y$16,"W"))+COUNTIFS(Database!$F:$I,CONCATENATE(Y$16,$B19,"W"))</f>
        <v>2</v>
      </c>
      <c r="Z19" s="123">
        <f>COUNTIFS(Database!$F:$I,CONCATENATE($B19,Z$16,"L"))+COUNTIFS(Database!$F:$I,CONCATENATE(Z$16,$B19,"L"))+COUNTIFS(Database!$F:$I,CONCATENATE($B19,Z$16,"W"))+COUNTIFS(Database!$F:$I,CONCATENATE(Z$16,$B19,"W"))</f>
        <v>1</v>
      </c>
      <c r="AA19" s="123">
        <f>COUNTIFS(Database!$F:$I,CONCATENATE($B19,AA$16,"L"))+COUNTIFS(Database!$F:$I,CONCATENATE(AA$16,$B19,"L"))+COUNTIFS(Database!$F:$I,CONCATENATE($B19,AA$16,"W"))+COUNTIFS(Database!$F:$I,CONCATENATE(AA$16,$B19,"W"))</f>
        <v>1</v>
      </c>
      <c r="AB19" s="123">
        <f>COUNTIFS(Database!$F:$I,CONCATENATE($B19,AB$16,"L"))+COUNTIFS(Database!$F:$I,CONCATENATE(AB$16,$B19,"L"))+COUNTIFS(Database!$F:$I,CONCATENATE($B19,AB$16,"W"))+COUNTIFS(Database!$F:$I,CONCATENATE(AB$16,$B19,"W"))</f>
        <v>5</v>
      </c>
      <c r="AC19" s="123">
        <f>COUNTIFS(Database!$F:$I,CONCATENATE($B19,AC$16,"L"))+COUNTIFS(Database!$F:$I,CONCATENATE(AC$16,$B19,"L"))+COUNTIFS(Database!$F:$I,CONCATENATE($B19,AC$16,"W"))+COUNTIFS(Database!$F:$I,CONCATENATE(AC$16,$B19,"W"))</f>
        <v>10</v>
      </c>
      <c r="AD19" s="123">
        <f>COUNTIFS(Database!$F:$I,CONCATENATE($B19,AD$16,"L"))+COUNTIFS(Database!$F:$I,CONCATENATE(AD$16,$B19,"L"))+COUNTIFS(Database!$F:$I,CONCATENATE($B19,AD$16,"W"))+COUNTIFS(Database!$F:$I,CONCATENATE(AD$16,$B19,"W"))</f>
        <v>0</v>
      </c>
      <c r="AE19" s="123">
        <f>COUNTIFS(Database!$F:$I,CONCATENATE($B19,AE$16,"L"))+COUNTIFS(Database!$F:$I,CONCATENATE(AE$16,$B19,"L"))+COUNTIFS(Database!$F:$I,CONCATENATE($B19,AE$16,"W"))+COUNTIFS(Database!$F:$I,CONCATENATE(AE$16,$B19,"W"))</f>
        <v>0</v>
      </c>
      <c r="AF19" s="123">
        <f>COUNTIFS(Database!$F:$I,CONCATENATE($B19,AF$16,"L"))+COUNTIFS(Database!$F:$I,CONCATENATE(AF$16,$B19,"L"))+COUNTIFS(Database!$F:$I,CONCATENATE($B19,AF$16,"W"))+COUNTIFS(Database!$F:$I,CONCATENATE(AF$16,$B19,"W"))</f>
        <v>0</v>
      </c>
      <c r="AG19" s="123">
        <f>COUNTIFS(Database!$F:$I,CONCATENATE($B19,AG$16,"L"))+COUNTIFS(Database!$F:$I,CONCATENATE(AG$16,$B19,"L"))+COUNTIFS(Database!$F:$I,CONCATENATE($B19,AG$16,"W"))+COUNTIFS(Database!$F:$I,CONCATENATE(AG$16,$B19,"W"))</f>
        <v>1</v>
      </c>
      <c r="AH19" s="123">
        <f>COUNTIFS(Database!$F:$I,CONCATENATE($B19,AH$16,"L"))+COUNTIFS(Database!$F:$I,CONCATENATE(AH$16,$B19,"L"))+COUNTIFS(Database!$F:$I,CONCATENATE($B19,AH$16,"W"))+COUNTIFS(Database!$F:$I,CONCATENATE(AH$16,$B19,"W"))</f>
        <v>0</v>
      </c>
      <c r="AI19" s="123">
        <f>COUNTIFS(Database!$F:$I,CONCATENATE($B19,AI$16,"L"))+COUNTIFS(Database!$F:$I,CONCATENATE(AI$16,$B19,"L"))+COUNTIFS(Database!$F:$I,CONCATENATE($B19,AI$16,"W"))+COUNTIFS(Database!$F:$I,CONCATENATE(AI$16,$B19,"W"))</f>
        <v>2</v>
      </c>
      <c r="AJ19" s="123">
        <f>COUNTIFS(Database!$F:$I,CONCATENATE($B19,AJ$16,"L"))+COUNTIFS(Database!$F:$I,CONCATENATE(AJ$16,$B19,"L"))+COUNTIFS(Database!$F:$I,CONCATENATE($B19,AJ$16,"W"))+COUNTIFS(Database!$F:$I,CONCATENATE(AJ$16,$B19,"W"))</f>
        <v>4</v>
      </c>
      <c r="AK19" s="123">
        <f>COUNTIFS(Database!$F:$I,CONCATENATE($B19,AK$16,"L"))+COUNTIFS(Database!$F:$I,CONCATENATE(AK$16,$B19,"L"))+COUNTIFS(Database!$F:$I,CONCATENATE($B19,AK$16,"W"))+COUNTIFS(Database!$F:$I,CONCATENATE(AK$16,$B19,"W"))</f>
        <v>4</v>
      </c>
      <c r="AL19" s="123">
        <f>COUNTIFS(Database!$F:$I,CONCATENATE($B19,AL$16,"L"))+COUNTIFS(Database!$F:$I,CONCATENATE(AL$16,$B19,"L"))+COUNTIFS(Database!$F:$I,CONCATENATE($B19,AL$16,"W"))+COUNTIFS(Database!$F:$I,CONCATENATE(AL$16,$B19,"W"))</f>
        <v>2</v>
      </c>
      <c r="AM19" s="123">
        <f>COUNTIFS(Database!$F:$I,CONCATENATE($B19,AM$16,"L"))+COUNTIFS(Database!$F:$I,CONCATENATE(AM$16,$B19,"L"))+COUNTIFS(Database!$F:$I,CONCATENATE($B19,AM$16,"W"))+COUNTIFS(Database!$F:$I,CONCATENATE(AM$16,$B19,"W"))</f>
        <v>0</v>
      </c>
      <c r="AN19" s="123">
        <f>COUNTIFS(Database!$F:$I,CONCATENATE($B19,AN$16,"L"))+COUNTIFS(Database!$F:$I,CONCATENATE(AN$16,$B19,"L"))+COUNTIFS(Database!$F:$I,CONCATENATE($B19,AN$16,"W"))+COUNTIFS(Database!$F:$I,CONCATENATE(AN$16,$B19,"W"))</f>
        <v>0</v>
      </c>
      <c r="AO19" s="123">
        <f>COUNTIFS(Database!$F:$I,CONCATENATE($B19,AO$16,"L"))+COUNTIFS(Database!$F:$I,CONCATENATE(AO$16,$B19,"L"))+COUNTIFS(Database!$F:$I,CONCATENATE($B19,AO$16,"W"))+COUNTIFS(Database!$F:$I,CONCATENATE(AO$16,$B19,"W"))</f>
        <v>3</v>
      </c>
      <c r="AP19" s="123">
        <f>COUNTIFS(Database!$F:$I,CONCATENATE($B19,AP$16,"L"))+COUNTIFS(Database!$F:$I,CONCATENATE(AP$16,$B19,"L"))+COUNTIFS(Database!$F:$I,CONCATENATE($B19,AP$16,"W"))+COUNTIFS(Database!$F:$I,CONCATENATE(AP$16,$B19,"W"))</f>
        <v>0</v>
      </c>
      <c r="AQ19" s="123">
        <f>COUNTIFS(Database!$F:$I,CONCATENATE($B19,AQ$16,"L"))+COUNTIFS(Database!$F:$I,CONCATENATE(AQ$16,$B19,"L"))+COUNTIFS(Database!$F:$I,CONCATENATE($B19,AQ$16,"W"))+COUNTIFS(Database!$F:$I,CONCATENATE(AQ$16,$B19,"W"))</f>
        <v>2</v>
      </c>
      <c r="AR19" s="123">
        <f>COUNTIFS(Database!$F:$I,CONCATENATE($B19,AR$16,"L"))+COUNTIFS(Database!$F:$I,CONCATENATE(AR$16,$B19,"L"))+COUNTIFS(Database!$F:$I,CONCATENATE($B19,AR$16,"W"))+COUNTIFS(Database!$F:$I,CONCATENATE(AR$16,$B19,"W"))</f>
        <v>7</v>
      </c>
      <c r="AS19" s="123">
        <f>COUNTIFS(Database!$F:$I,CONCATENATE($B19,AS$16,"L"))+COUNTIFS(Database!$F:$I,CONCATENATE(AS$16,$B19,"L"))+COUNTIFS(Database!$F:$I,CONCATENATE($B19,AS$16,"W"))+COUNTIFS(Database!$F:$I,CONCATENATE(AS$16,$B19,"W"))</f>
        <v>0</v>
      </c>
      <c r="AT19" s="123">
        <f>COUNTIFS(Database!$F:$I,CONCATENATE($B19,AT$16,"L"))+COUNTIFS(Database!$F:$I,CONCATENATE(AT$16,$B19,"L"))+COUNTIFS(Database!$F:$I,CONCATENATE($B19,AT$16,"W"))+COUNTIFS(Database!$F:$I,CONCATENATE(AT$16,$B19,"W"))</f>
        <v>0</v>
      </c>
      <c r="AU19" s="123">
        <f>COUNTIFS(Database!$F:$I,CONCATENATE($B19,AU$16,"L"))+COUNTIFS(Database!$F:$I,CONCATENATE(AU$16,$B19,"L"))+COUNTIFS(Database!$F:$I,CONCATENATE($B19,AU$16,"W"))+COUNTIFS(Database!$F:$I,CONCATENATE(AU$16,$B19,"W"))</f>
        <v>3</v>
      </c>
      <c r="AV19" s="123">
        <f>COUNTIFS(Database!$F:$I,CONCATENATE($B19,AV$16,"L"))+COUNTIFS(Database!$F:$I,CONCATENATE(AV$16,$B19,"L"))+COUNTIFS(Database!$F:$I,CONCATENATE($B19,AV$16,"W"))+COUNTIFS(Database!$F:$I,CONCATENATE(AV$16,$B19,"W"))</f>
        <v>2</v>
      </c>
      <c r="AW19" s="123">
        <f>COUNTIFS(Database!$F:$I,CONCATENATE($B19,AW$16,"L"))+COUNTIFS(Database!$F:$I,CONCATENATE(AW$16,$B19,"L"))+COUNTIFS(Database!$F:$I,CONCATENATE($B19,AW$16,"W"))+COUNTIFS(Database!$F:$I,CONCATENATE(AW$16,$B19,"W"))</f>
        <v>6</v>
      </c>
      <c r="AX19" s="123">
        <f>COUNTIFS(Database!$F:$I,CONCATENATE($B19,AX$16,"L"))+COUNTIFS(Database!$F:$I,CONCATENATE(AX$16,$B19,"L"))+COUNTIFS(Database!$F:$I,CONCATENATE($B19,AX$16,"W"))+COUNTIFS(Database!$F:$I,CONCATENATE(AX$16,$B19,"W"))</f>
        <v>3</v>
      </c>
      <c r="AY19" s="123">
        <f>COUNTIFS(Database!$F:$I,CONCATENATE($B19,AY$16,"L"))+COUNTIFS(Database!$F:$I,CONCATENATE(AY$16,$B19,"L"))+COUNTIFS(Database!$F:$I,CONCATENATE($B19,AY$16,"W"))+COUNTIFS(Database!$F:$I,CONCATENATE(AY$16,$B19,"W"))</f>
        <v>6</v>
      </c>
    </row>
    <row r="20" spans="2:51" x14ac:dyDescent="0.25">
      <c r="B20" s="120" t="s">
        <v>54</v>
      </c>
      <c r="C20" s="123">
        <f>COUNTIFS(Database!$F:$I,CONCATENATE($B20,C$16,"L"))+COUNTIFS(Database!$F:$I,CONCATENATE(C$16,$B20,"L"))+COUNTIFS(Database!$F:$I,CONCATENATE($B20,C$16,"W"))+COUNTIFS(Database!$F:$I,CONCATENATE(C$16,$B20,"W"))</f>
        <v>5</v>
      </c>
      <c r="D20" s="123">
        <f>COUNTIFS(Database!$F:$I,CONCATENATE($B20,D$16,"L"))+COUNTIFS(Database!$F:$I,CONCATENATE(D$16,$B20,"L"))+COUNTIFS(Database!$F:$I,CONCATENATE($B20,D$16,"W"))+COUNTIFS(Database!$F:$I,CONCATENATE(D$16,$B20,"W"))</f>
        <v>0</v>
      </c>
      <c r="E20" s="123">
        <f>COUNTIFS(Database!$F:$I,CONCATENATE($B20,E$16,"L"))+COUNTIFS(Database!$F:$I,CONCATENATE(E$16,$B20,"L"))+COUNTIFS(Database!$F:$I,CONCATENATE($B20,E$16,"W"))+COUNTIFS(Database!$F:$I,CONCATENATE(E$16,$B20,"W"))</f>
        <v>7</v>
      </c>
      <c r="F20" s="123">
        <f>COUNTIFS(Database!$F:$I,CONCATENATE($B20,F$16,"L"))+COUNTIFS(Database!$F:$I,CONCATENATE(F$16,$B20,"L"))+COUNTIFS(Database!$F:$I,CONCATENATE($B20,F$16,"W"))+COUNTIFS(Database!$F:$I,CONCATENATE(F$16,$B20,"W"))</f>
        <v>0</v>
      </c>
      <c r="G20" s="123">
        <f>COUNTIFS(Database!$F:$I,CONCATENATE($B20,G$16,"L"))+COUNTIFS(Database!$F:$I,CONCATENATE(G$16,$B20,"L"))+COUNTIFS(Database!$F:$I,CONCATENATE($B20,G$16,"W"))+COUNTIFS(Database!$F:$I,CONCATENATE(G$16,$B20,"W"))</f>
        <v>0</v>
      </c>
      <c r="H20" s="123">
        <f>COUNTIFS(Database!$F:$I,CONCATENATE($B20,H$16,"L"))+COUNTIFS(Database!$F:$I,CONCATENATE(H$16,$B20,"L"))+COUNTIFS(Database!$F:$I,CONCATENATE($B20,H$16,"W"))+COUNTIFS(Database!$F:$I,CONCATENATE(H$16,$B20,"W"))</f>
        <v>0</v>
      </c>
      <c r="I20" s="123">
        <f>COUNTIFS(Database!$F:$I,CONCATENATE($B20,I$16,"L"))+COUNTIFS(Database!$F:$I,CONCATENATE(I$16,$B20,"L"))+COUNTIFS(Database!$F:$I,CONCATENATE($B20,I$16,"W"))+COUNTIFS(Database!$F:$I,CONCATENATE(I$16,$B20,"W"))</f>
        <v>1</v>
      </c>
      <c r="J20" s="123">
        <f>COUNTIFS(Database!$F:$I,CONCATENATE($B20,J$16,"L"))+COUNTIFS(Database!$F:$I,CONCATENATE(J$16,$B20,"L"))+COUNTIFS(Database!$F:$I,CONCATENATE($B20,J$16,"W"))+COUNTIFS(Database!$F:$I,CONCATENATE(J$16,$B20,"W"))</f>
        <v>3</v>
      </c>
      <c r="K20" s="123">
        <f>COUNTIFS(Database!$F:$I,CONCATENATE($B20,K$16,"L"))+COUNTIFS(Database!$F:$I,CONCATENATE(K$16,$B20,"L"))+COUNTIFS(Database!$F:$I,CONCATENATE($B20,K$16,"W"))+COUNTIFS(Database!$F:$I,CONCATENATE(K$16,$B20,"W"))</f>
        <v>6</v>
      </c>
      <c r="L20" s="123">
        <f>COUNTIFS(Database!$F:$I,CONCATENATE($B20,L$16,"L"))+COUNTIFS(Database!$F:$I,CONCATENATE(L$16,$B20,"L"))+COUNTIFS(Database!$F:$I,CONCATENATE($B20,L$16,"W"))+COUNTIFS(Database!$F:$I,CONCATENATE(L$16,$B20,"W"))</f>
        <v>1</v>
      </c>
      <c r="M20" s="123">
        <f>COUNTIFS(Database!$F:$I,CONCATENATE($B20,M$16,"L"))+COUNTIFS(Database!$F:$I,CONCATENATE(M$16,$B20,"L"))+COUNTIFS(Database!$F:$I,CONCATENATE($B20,M$16,"W"))+COUNTIFS(Database!$F:$I,CONCATENATE(M$16,$B20,"W"))</f>
        <v>0</v>
      </c>
      <c r="N20" s="123">
        <f>COUNTIFS(Database!$F:$I,CONCATENATE($B20,N$16,"L"))+COUNTIFS(Database!$F:$I,CONCATENATE(N$16,$B20,"L"))+COUNTIFS(Database!$F:$I,CONCATENATE($B20,N$16,"W"))+COUNTIFS(Database!$F:$I,CONCATENATE(N$16,$B20,"W"))</f>
        <v>1</v>
      </c>
      <c r="O20" s="123">
        <f>COUNTIFS(Database!$F:$I,CONCATENATE($B20,O$16,"L"))+COUNTIFS(Database!$F:$I,CONCATENATE(O$16,$B20,"L"))+COUNTIFS(Database!$F:$I,CONCATENATE($B20,O$16,"W"))+COUNTIFS(Database!$F:$I,CONCATENATE(O$16,$B20,"W"))</f>
        <v>5</v>
      </c>
      <c r="P20" s="123">
        <f>COUNTIFS(Database!$F:$I,CONCATENATE($B20,P$16,"L"))+COUNTIFS(Database!$F:$I,CONCATENATE(P$16,$B20,"L"))+COUNTIFS(Database!$F:$I,CONCATENATE($B20,P$16,"W"))+COUNTIFS(Database!$F:$I,CONCATENATE(P$16,$B20,"W"))</f>
        <v>1</v>
      </c>
      <c r="Q20" s="123">
        <f>COUNTIFS(Database!$F:$I,CONCATENATE($B20,Q$16,"L"))+COUNTIFS(Database!$F:$I,CONCATENATE(Q$16,$B20,"L"))+COUNTIFS(Database!$F:$I,CONCATENATE($B20,Q$16,"W"))+COUNTIFS(Database!$F:$I,CONCATENATE(Q$16,$B20,"W"))</f>
        <v>1</v>
      </c>
      <c r="R20" s="123">
        <f>COUNTIFS(Database!$F:$I,CONCATENATE($B20,R$16,"L"))+COUNTIFS(Database!$F:$I,CONCATENATE(R$16,$B20,"L"))+COUNTIFS(Database!$F:$I,CONCATENATE($B20,R$16,"W"))+COUNTIFS(Database!$F:$I,CONCATENATE(R$16,$B20,"W"))</f>
        <v>3</v>
      </c>
      <c r="S20" s="123">
        <f>COUNTIFS(Database!$F:$I,CONCATENATE($B20,S$16,"L"))+COUNTIFS(Database!$F:$I,CONCATENATE(S$16,$B20,"L"))+COUNTIFS(Database!$F:$I,CONCATENATE($B20,S$16,"W"))+COUNTIFS(Database!$F:$I,CONCATENATE(S$16,$B20,"W"))</f>
        <v>2</v>
      </c>
      <c r="T20" s="123">
        <f>COUNTIFS(Database!$F:$I,CONCATENATE($B20,T$16,"L"))+COUNTIFS(Database!$F:$I,CONCATENATE(T$16,$B20,"L"))+COUNTIFS(Database!$F:$I,CONCATENATE($B20,T$16,"W"))+COUNTIFS(Database!$F:$I,CONCATENATE(T$16,$B20,"W"))</f>
        <v>7</v>
      </c>
      <c r="U20" s="123">
        <f>COUNTIFS(Database!$F:$I,CONCATENATE($B20,U$16,"L"))+COUNTIFS(Database!$F:$I,CONCATENATE(U$16,$B20,"L"))+COUNTIFS(Database!$F:$I,CONCATENATE($B20,U$16,"W"))+COUNTIFS(Database!$F:$I,CONCATENATE(U$16,$B20,"W"))</f>
        <v>0</v>
      </c>
      <c r="V20" s="123">
        <f>COUNTIFS(Database!$F:$I,CONCATENATE($B20,V$16,"L"))+COUNTIFS(Database!$F:$I,CONCATENATE(V$16,$B20,"L"))+COUNTIFS(Database!$F:$I,CONCATENATE($B20,V$16,"W"))+COUNTIFS(Database!$F:$I,CONCATENATE(V$16,$B20,"W"))</f>
        <v>0</v>
      </c>
      <c r="W20" s="123">
        <f>COUNTIFS(Database!$F:$I,CONCATENATE($B20,W$16,"L"))+COUNTIFS(Database!$F:$I,CONCATENATE(W$16,$B20,"L"))+COUNTIFS(Database!$F:$I,CONCATENATE($B20,W$16,"W"))+COUNTIFS(Database!$F:$I,CONCATENATE(W$16,$B20,"W"))</f>
        <v>4</v>
      </c>
      <c r="X20" s="123">
        <f>COUNTIFS(Database!$F:$I,CONCATENATE($B20,X$16,"L"))+COUNTIFS(Database!$F:$I,CONCATENATE(X$16,$B20,"L"))+COUNTIFS(Database!$F:$I,CONCATENATE($B20,X$16,"W"))+COUNTIFS(Database!$F:$I,CONCATENATE(X$16,$B20,"W"))</f>
        <v>0</v>
      </c>
      <c r="Y20" s="123">
        <f>COUNTIFS(Database!$F:$I,CONCATENATE($B20,Y$16,"L"))+COUNTIFS(Database!$F:$I,CONCATENATE(Y$16,$B20,"L"))+COUNTIFS(Database!$F:$I,CONCATENATE($B20,Y$16,"W"))+COUNTIFS(Database!$F:$I,CONCATENATE(Y$16,$B20,"W"))</f>
        <v>3</v>
      </c>
      <c r="Z20" s="123">
        <f>COUNTIFS(Database!$F:$I,CONCATENATE($B20,Z$16,"L"))+COUNTIFS(Database!$F:$I,CONCATENATE(Z$16,$B20,"L"))+COUNTIFS(Database!$F:$I,CONCATENATE($B20,Z$16,"W"))+COUNTIFS(Database!$F:$I,CONCATENATE(Z$16,$B20,"W"))</f>
        <v>0</v>
      </c>
      <c r="AA20" s="123">
        <f>COUNTIFS(Database!$F:$I,CONCATENATE($B20,AA$16,"L"))+COUNTIFS(Database!$F:$I,CONCATENATE(AA$16,$B20,"L"))+COUNTIFS(Database!$F:$I,CONCATENATE($B20,AA$16,"W"))+COUNTIFS(Database!$F:$I,CONCATENATE(AA$16,$B20,"W"))</f>
        <v>2</v>
      </c>
      <c r="AB20" s="123">
        <f>COUNTIFS(Database!$F:$I,CONCATENATE($B20,AB$16,"L"))+COUNTIFS(Database!$F:$I,CONCATENATE(AB$16,$B20,"L"))+COUNTIFS(Database!$F:$I,CONCATENATE($B20,AB$16,"W"))+COUNTIFS(Database!$F:$I,CONCATENATE(AB$16,$B20,"W"))</f>
        <v>7</v>
      </c>
      <c r="AC20" s="123">
        <f>COUNTIFS(Database!$F:$I,CONCATENATE($B20,AC$16,"L"))+COUNTIFS(Database!$F:$I,CONCATENATE(AC$16,$B20,"L"))+COUNTIFS(Database!$F:$I,CONCATENATE($B20,AC$16,"W"))+COUNTIFS(Database!$F:$I,CONCATENATE(AC$16,$B20,"W"))</f>
        <v>5</v>
      </c>
      <c r="AD20" s="123">
        <f>COUNTIFS(Database!$F:$I,CONCATENATE($B20,AD$16,"L"))+COUNTIFS(Database!$F:$I,CONCATENATE(AD$16,$B20,"L"))+COUNTIFS(Database!$F:$I,CONCATENATE($B20,AD$16,"W"))+COUNTIFS(Database!$F:$I,CONCATENATE(AD$16,$B20,"W"))</f>
        <v>2</v>
      </c>
      <c r="AE20" s="123">
        <f>COUNTIFS(Database!$F:$I,CONCATENATE($B20,AE$16,"L"))+COUNTIFS(Database!$F:$I,CONCATENATE(AE$16,$B20,"L"))+COUNTIFS(Database!$F:$I,CONCATENATE($B20,AE$16,"W"))+COUNTIFS(Database!$F:$I,CONCATENATE(AE$16,$B20,"W"))</f>
        <v>0</v>
      </c>
      <c r="AF20" s="123">
        <f>COUNTIFS(Database!$F:$I,CONCATENATE($B20,AF$16,"L"))+COUNTIFS(Database!$F:$I,CONCATENATE(AF$16,$B20,"L"))+COUNTIFS(Database!$F:$I,CONCATENATE($B20,AF$16,"W"))+COUNTIFS(Database!$F:$I,CONCATENATE(AF$16,$B20,"W"))</f>
        <v>0</v>
      </c>
      <c r="AG20" s="123">
        <f>COUNTIFS(Database!$F:$I,CONCATENATE($B20,AG$16,"L"))+COUNTIFS(Database!$F:$I,CONCATENATE(AG$16,$B20,"L"))+COUNTIFS(Database!$F:$I,CONCATENATE($B20,AG$16,"W"))+COUNTIFS(Database!$F:$I,CONCATENATE(AG$16,$B20,"W"))</f>
        <v>0</v>
      </c>
      <c r="AH20" s="123">
        <f>COUNTIFS(Database!$F:$I,CONCATENATE($B20,AH$16,"L"))+COUNTIFS(Database!$F:$I,CONCATENATE(AH$16,$B20,"L"))+COUNTIFS(Database!$F:$I,CONCATENATE($B20,AH$16,"W"))+COUNTIFS(Database!$F:$I,CONCATENATE(AH$16,$B20,"W"))</f>
        <v>0</v>
      </c>
      <c r="AI20" s="123">
        <f>COUNTIFS(Database!$F:$I,CONCATENATE($B20,AI$16,"L"))+COUNTIFS(Database!$F:$I,CONCATENATE(AI$16,$B20,"L"))+COUNTIFS(Database!$F:$I,CONCATENATE($B20,AI$16,"W"))+COUNTIFS(Database!$F:$I,CONCATENATE(AI$16,$B20,"W"))</f>
        <v>0</v>
      </c>
      <c r="AJ20" s="123">
        <f>COUNTIFS(Database!$F:$I,CONCATENATE($B20,AJ$16,"L"))+COUNTIFS(Database!$F:$I,CONCATENATE(AJ$16,$B20,"L"))+COUNTIFS(Database!$F:$I,CONCATENATE($B20,AJ$16,"W"))+COUNTIFS(Database!$F:$I,CONCATENATE(AJ$16,$B20,"W"))</f>
        <v>4</v>
      </c>
      <c r="AK20" s="123">
        <f>COUNTIFS(Database!$F:$I,CONCATENATE($B20,AK$16,"L"))+COUNTIFS(Database!$F:$I,CONCATENATE(AK$16,$B20,"L"))+COUNTIFS(Database!$F:$I,CONCATENATE($B20,AK$16,"W"))+COUNTIFS(Database!$F:$I,CONCATENATE(AK$16,$B20,"W"))</f>
        <v>2</v>
      </c>
      <c r="AL20" s="123">
        <f>COUNTIFS(Database!$F:$I,CONCATENATE($B20,AL$16,"L"))+COUNTIFS(Database!$F:$I,CONCATENATE(AL$16,$B20,"L"))+COUNTIFS(Database!$F:$I,CONCATENATE($B20,AL$16,"W"))+COUNTIFS(Database!$F:$I,CONCATENATE(AL$16,$B20,"W"))</f>
        <v>2</v>
      </c>
      <c r="AM20" s="123">
        <f>COUNTIFS(Database!$F:$I,CONCATENATE($B20,AM$16,"L"))+COUNTIFS(Database!$F:$I,CONCATENATE(AM$16,$B20,"L"))+COUNTIFS(Database!$F:$I,CONCATENATE($B20,AM$16,"W"))+COUNTIFS(Database!$F:$I,CONCATENATE(AM$16,$B20,"W"))</f>
        <v>1</v>
      </c>
      <c r="AN20" s="123">
        <f>COUNTIFS(Database!$F:$I,CONCATENATE($B20,AN$16,"L"))+COUNTIFS(Database!$F:$I,CONCATENATE(AN$16,$B20,"L"))+COUNTIFS(Database!$F:$I,CONCATENATE($B20,AN$16,"W"))+COUNTIFS(Database!$F:$I,CONCATENATE(AN$16,$B20,"W"))</f>
        <v>0</v>
      </c>
      <c r="AO20" s="123">
        <f>COUNTIFS(Database!$F:$I,CONCATENATE($B20,AO$16,"L"))+COUNTIFS(Database!$F:$I,CONCATENATE(AO$16,$B20,"L"))+COUNTIFS(Database!$F:$I,CONCATENATE($B20,AO$16,"W"))+COUNTIFS(Database!$F:$I,CONCATENATE(AO$16,$B20,"W"))</f>
        <v>1</v>
      </c>
      <c r="AP20" s="123">
        <f>COUNTIFS(Database!$F:$I,CONCATENATE($B20,AP$16,"L"))+COUNTIFS(Database!$F:$I,CONCATENATE(AP$16,$B20,"L"))+COUNTIFS(Database!$F:$I,CONCATENATE($B20,AP$16,"W"))+COUNTIFS(Database!$F:$I,CONCATENATE(AP$16,$B20,"W"))</f>
        <v>0</v>
      </c>
      <c r="AQ20" s="123">
        <f>COUNTIFS(Database!$F:$I,CONCATENATE($B20,AQ$16,"L"))+COUNTIFS(Database!$F:$I,CONCATENATE(AQ$16,$B20,"L"))+COUNTIFS(Database!$F:$I,CONCATENATE($B20,AQ$16,"W"))+COUNTIFS(Database!$F:$I,CONCATENATE(AQ$16,$B20,"W"))</f>
        <v>2</v>
      </c>
      <c r="AR20" s="123">
        <f>COUNTIFS(Database!$F:$I,CONCATENATE($B20,AR$16,"L"))+COUNTIFS(Database!$F:$I,CONCATENATE(AR$16,$B20,"L"))+COUNTIFS(Database!$F:$I,CONCATENATE($B20,AR$16,"W"))+COUNTIFS(Database!$F:$I,CONCATENATE(AR$16,$B20,"W"))</f>
        <v>6</v>
      </c>
      <c r="AS20" s="123">
        <f>COUNTIFS(Database!$F:$I,CONCATENATE($B20,AS$16,"L"))+COUNTIFS(Database!$F:$I,CONCATENATE(AS$16,$B20,"L"))+COUNTIFS(Database!$F:$I,CONCATENATE($B20,AS$16,"W"))+COUNTIFS(Database!$F:$I,CONCATENATE(AS$16,$B20,"W"))</f>
        <v>1</v>
      </c>
      <c r="AT20" s="123">
        <f>COUNTIFS(Database!$F:$I,CONCATENATE($B20,AT$16,"L"))+COUNTIFS(Database!$F:$I,CONCATENATE(AT$16,$B20,"L"))+COUNTIFS(Database!$F:$I,CONCATENATE($B20,AT$16,"W"))+COUNTIFS(Database!$F:$I,CONCATENATE(AT$16,$B20,"W"))</f>
        <v>0</v>
      </c>
      <c r="AU20" s="123">
        <f>COUNTIFS(Database!$F:$I,CONCATENATE($B20,AU$16,"L"))+COUNTIFS(Database!$F:$I,CONCATENATE(AU$16,$B20,"L"))+COUNTIFS(Database!$F:$I,CONCATENATE($B20,AU$16,"W"))+COUNTIFS(Database!$F:$I,CONCATENATE(AU$16,$B20,"W"))</f>
        <v>2</v>
      </c>
      <c r="AV20" s="123">
        <f>COUNTIFS(Database!$F:$I,CONCATENATE($B20,AV$16,"L"))+COUNTIFS(Database!$F:$I,CONCATENATE(AV$16,$B20,"L"))+COUNTIFS(Database!$F:$I,CONCATENATE($B20,AV$16,"W"))+COUNTIFS(Database!$F:$I,CONCATENATE(AV$16,$B20,"W"))</f>
        <v>3</v>
      </c>
      <c r="AW20" s="123">
        <f>COUNTIFS(Database!$F:$I,CONCATENATE($B20,AW$16,"L"))+COUNTIFS(Database!$F:$I,CONCATENATE(AW$16,$B20,"L"))+COUNTIFS(Database!$F:$I,CONCATENATE($B20,AW$16,"W"))+COUNTIFS(Database!$F:$I,CONCATENATE(AW$16,$B20,"W"))</f>
        <v>6</v>
      </c>
      <c r="AX20" s="123">
        <f>COUNTIFS(Database!$F:$I,CONCATENATE($B20,AX$16,"L"))+COUNTIFS(Database!$F:$I,CONCATENATE(AX$16,$B20,"L"))+COUNTIFS(Database!$F:$I,CONCATENATE($B20,AX$16,"W"))+COUNTIFS(Database!$F:$I,CONCATENATE(AX$16,$B20,"W"))</f>
        <v>0</v>
      </c>
      <c r="AY20" s="123">
        <f>COUNTIFS(Database!$F:$I,CONCATENATE($B20,AY$16,"L"))+COUNTIFS(Database!$F:$I,CONCATENATE(AY$16,$B20,"L"))+COUNTIFS(Database!$F:$I,CONCATENATE($B20,AY$16,"W"))+COUNTIFS(Database!$F:$I,CONCATENATE(AY$16,$B20,"W"))</f>
        <v>4</v>
      </c>
    </row>
    <row r="21" spans="2:51" x14ac:dyDescent="0.25">
      <c r="B21" s="120" t="s">
        <v>18</v>
      </c>
      <c r="C21" s="123">
        <f>COUNTIFS(Database!$F:$I,CONCATENATE($B21,C$16,"L"))+COUNTIFS(Database!$F:$I,CONCATENATE(C$16,$B21,"L"))+COUNTIFS(Database!$F:$I,CONCATENATE($B21,C$16,"W"))+COUNTIFS(Database!$F:$I,CONCATENATE(C$16,$B21,"W"))</f>
        <v>3</v>
      </c>
      <c r="D21" s="123">
        <f>COUNTIFS(Database!$F:$I,CONCATENATE($B21,D$16,"L"))+COUNTIFS(Database!$F:$I,CONCATENATE(D$16,$B21,"L"))+COUNTIFS(Database!$F:$I,CONCATENATE($B21,D$16,"W"))+COUNTIFS(Database!$F:$I,CONCATENATE(D$16,$B21,"W"))</f>
        <v>0</v>
      </c>
      <c r="E21" s="123">
        <f>COUNTIFS(Database!$F:$I,CONCATENATE($B21,E$16,"L"))+COUNTIFS(Database!$F:$I,CONCATENATE(E$16,$B21,"L"))+COUNTIFS(Database!$F:$I,CONCATENATE($B21,E$16,"W"))+COUNTIFS(Database!$F:$I,CONCATENATE(E$16,$B21,"W"))</f>
        <v>0</v>
      </c>
      <c r="F21" s="123">
        <f>COUNTIFS(Database!$F:$I,CONCATENATE($B21,F$16,"L"))+COUNTIFS(Database!$F:$I,CONCATENATE(F$16,$B21,"L"))+COUNTIFS(Database!$F:$I,CONCATENATE($B21,F$16,"W"))+COUNTIFS(Database!$F:$I,CONCATENATE(F$16,$B21,"W"))</f>
        <v>0</v>
      </c>
      <c r="G21" s="123">
        <f>COUNTIFS(Database!$F:$I,CONCATENATE($B21,G$16,"L"))+COUNTIFS(Database!$F:$I,CONCATENATE(G$16,$B21,"L"))+COUNTIFS(Database!$F:$I,CONCATENATE($B21,G$16,"W"))+COUNTIFS(Database!$F:$I,CONCATENATE(G$16,$B21,"W"))</f>
        <v>0</v>
      </c>
      <c r="H21" s="123">
        <f>COUNTIFS(Database!$F:$I,CONCATENATE($B21,H$16,"L"))+COUNTIFS(Database!$F:$I,CONCATENATE(H$16,$B21,"L"))+COUNTIFS(Database!$F:$I,CONCATENATE($B21,H$16,"W"))+COUNTIFS(Database!$F:$I,CONCATENATE(H$16,$B21,"W"))</f>
        <v>0</v>
      </c>
      <c r="I21" s="123">
        <f>COUNTIFS(Database!$F:$I,CONCATENATE($B21,I$16,"L"))+COUNTIFS(Database!$F:$I,CONCATENATE(I$16,$B21,"L"))+COUNTIFS(Database!$F:$I,CONCATENATE($B21,I$16,"W"))+COUNTIFS(Database!$F:$I,CONCATENATE(I$16,$B21,"W"))</f>
        <v>0</v>
      </c>
      <c r="J21" s="123">
        <f>COUNTIFS(Database!$F:$I,CONCATENATE($B21,J$16,"L"))+COUNTIFS(Database!$F:$I,CONCATENATE(J$16,$B21,"L"))+COUNTIFS(Database!$F:$I,CONCATENATE($B21,J$16,"W"))+COUNTIFS(Database!$F:$I,CONCATENATE(J$16,$B21,"W"))</f>
        <v>1</v>
      </c>
      <c r="K21" s="123">
        <f>COUNTIFS(Database!$F:$I,CONCATENATE($B21,K$16,"L"))+COUNTIFS(Database!$F:$I,CONCATENATE(K$16,$B21,"L"))+COUNTIFS(Database!$F:$I,CONCATENATE($B21,K$16,"W"))+COUNTIFS(Database!$F:$I,CONCATENATE(K$16,$B21,"W"))</f>
        <v>1</v>
      </c>
      <c r="L21" s="123">
        <f>COUNTIFS(Database!$F:$I,CONCATENATE($B21,L$16,"L"))+COUNTIFS(Database!$F:$I,CONCATENATE(L$16,$B21,"L"))+COUNTIFS(Database!$F:$I,CONCATENATE($B21,L$16,"W"))+COUNTIFS(Database!$F:$I,CONCATENATE(L$16,$B21,"W"))</f>
        <v>0</v>
      </c>
      <c r="M21" s="123">
        <f>COUNTIFS(Database!$F:$I,CONCATENATE($B21,M$16,"L"))+COUNTIFS(Database!$F:$I,CONCATENATE(M$16,$B21,"L"))+COUNTIFS(Database!$F:$I,CONCATENATE($B21,M$16,"W"))+COUNTIFS(Database!$F:$I,CONCATENATE(M$16,$B21,"W"))</f>
        <v>0</v>
      </c>
      <c r="N21" s="123">
        <f>COUNTIFS(Database!$F:$I,CONCATENATE($B21,N$16,"L"))+COUNTIFS(Database!$F:$I,CONCATENATE(N$16,$B21,"L"))+COUNTIFS(Database!$F:$I,CONCATENATE($B21,N$16,"W"))+COUNTIFS(Database!$F:$I,CONCATENATE(N$16,$B21,"W"))</f>
        <v>1</v>
      </c>
      <c r="O21" s="123">
        <f>COUNTIFS(Database!$F:$I,CONCATENATE($B21,O$16,"L"))+COUNTIFS(Database!$F:$I,CONCATENATE(O$16,$B21,"L"))+COUNTIFS(Database!$F:$I,CONCATENATE($B21,O$16,"W"))+COUNTIFS(Database!$F:$I,CONCATENATE(O$16,$B21,"W"))</f>
        <v>1</v>
      </c>
      <c r="P21" s="123">
        <f>COUNTIFS(Database!$F:$I,CONCATENATE($B21,P$16,"L"))+COUNTIFS(Database!$F:$I,CONCATENATE(P$16,$B21,"L"))+COUNTIFS(Database!$F:$I,CONCATENATE($B21,P$16,"W"))+COUNTIFS(Database!$F:$I,CONCATENATE(P$16,$B21,"W"))</f>
        <v>0</v>
      </c>
      <c r="Q21" s="123">
        <f>COUNTIFS(Database!$F:$I,CONCATENATE($B21,Q$16,"L"))+COUNTIFS(Database!$F:$I,CONCATENATE(Q$16,$B21,"L"))+COUNTIFS(Database!$F:$I,CONCATENATE($B21,Q$16,"W"))+COUNTIFS(Database!$F:$I,CONCATENATE(Q$16,$B21,"W"))</f>
        <v>0</v>
      </c>
      <c r="R21" s="123">
        <f>COUNTIFS(Database!$F:$I,CONCATENATE($B21,R$16,"L"))+COUNTIFS(Database!$F:$I,CONCATENATE(R$16,$B21,"L"))+COUNTIFS(Database!$F:$I,CONCATENATE($B21,R$16,"W"))+COUNTIFS(Database!$F:$I,CONCATENATE(R$16,$B21,"W"))</f>
        <v>0</v>
      </c>
      <c r="S21" s="123">
        <f>COUNTIFS(Database!$F:$I,CONCATENATE($B21,S$16,"L"))+COUNTIFS(Database!$F:$I,CONCATENATE(S$16,$B21,"L"))+COUNTIFS(Database!$F:$I,CONCATENATE($B21,S$16,"W"))+COUNTIFS(Database!$F:$I,CONCATENATE(S$16,$B21,"W"))</f>
        <v>0</v>
      </c>
      <c r="T21" s="123">
        <f>COUNTIFS(Database!$F:$I,CONCATENATE($B21,T$16,"L"))+COUNTIFS(Database!$F:$I,CONCATENATE(T$16,$B21,"L"))+COUNTIFS(Database!$F:$I,CONCATENATE($B21,T$16,"W"))+COUNTIFS(Database!$F:$I,CONCATENATE(T$16,$B21,"W"))</f>
        <v>0</v>
      </c>
      <c r="U21" s="123">
        <f>COUNTIFS(Database!$F:$I,CONCATENATE($B21,U$16,"L"))+COUNTIFS(Database!$F:$I,CONCATENATE(U$16,$B21,"L"))+COUNTIFS(Database!$F:$I,CONCATENATE($B21,U$16,"W"))+COUNTIFS(Database!$F:$I,CONCATENATE(U$16,$B21,"W"))</f>
        <v>0</v>
      </c>
      <c r="V21" s="123">
        <f>COUNTIFS(Database!$F:$I,CONCATENATE($B21,V$16,"L"))+COUNTIFS(Database!$F:$I,CONCATENATE(V$16,$B21,"L"))+COUNTIFS(Database!$F:$I,CONCATENATE($B21,V$16,"W"))+COUNTIFS(Database!$F:$I,CONCATENATE(V$16,$B21,"W"))</f>
        <v>0</v>
      </c>
      <c r="W21" s="123">
        <f>COUNTIFS(Database!$F:$I,CONCATENATE($B21,W$16,"L"))+COUNTIFS(Database!$F:$I,CONCATENATE(W$16,$B21,"L"))+COUNTIFS(Database!$F:$I,CONCATENATE($B21,W$16,"W"))+COUNTIFS(Database!$F:$I,CONCATENATE(W$16,$B21,"W"))</f>
        <v>2</v>
      </c>
      <c r="X21" s="123">
        <f>COUNTIFS(Database!$F:$I,CONCATENATE($B21,X$16,"L"))+COUNTIFS(Database!$F:$I,CONCATENATE(X$16,$B21,"L"))+COUNTIFS(Database!$F:$I,CONCATENATE($B21,X$16,"W"))+COUNTIFS(Database!$F:$I,CONCATENATE(X$16,$B21,"W"))</f>
        <v>0</v>
      </c>
      <c r="Y21" s="123">
        <f>COUNTIFS(Database!$F:$I,CONCATENATE($B21,Y$16,"L"))+COUNTIFS(Database!$F:$I,CONCATENATE(Y$16,$B21,"L"))+COUNTIFS(Database!$F:$I,CONCATENATE($B21,Y$16,"W"))+COUNTIFS(Database!$F:$I,CONCATENATE(Y$16,$B21,"W"))</f>
        <v>0</v>
      </c>
      <c r="Z21" s="123">
        <f>COUNTIFS(Database!$F:$I,CONCATENATE($B21,Z$16,"L"))+COUNTIFS(Database!$F:$I,CONCATENATE(Z$16,$B21,"L"))+COUNTIFS(Database!$F:$I,CONCATENATE($B21,Z$16,"W"))+COUNTIFS(Database!$F:$I,CONCATENATE(Z$16,$B21,"W"))</f>
        <v>0</v>
      </c>
      <c r="AA21" s="123">
        <f>COUNTIFS(Database!$F:$I,CONCATENATE($B21,AA$16,"L"))+COUNTIFS(Database!$F:$I,CONCATENATE(AA$16,$B21,"L"))+COUNTIFS(Database!$F:$I,CONCATENATE($B21,AA$16,"W"))+COUNTIFS(Database!$F:$I,CONCATENATE(AA$16,$B21,"W"))</f>
        <v>0</v>
      </c>
      <c r="AB21" s="123">
        <f>COUNTIFS(Database!$F:$I,CONCATENATE($B21,AB$16,"L"))+COUNTIFS(Database!$F:$I,CONCATENATE(AB$16,$B21,"L"))+COUNTIFS(Database!$F:$I,CONCATENATE($B21,AB$16,"W"))+COUNTIFS(Database!$F:$I,CONCATENATE(AB$16,$B21,"W"))</f>
        <v>1</v>
      </c>
      <c r="AC21" s="123">
        <f>COUNTIFS(Database!$F:$I,CONCATENATE($B21,AC$16,"L"))+COUNTIFS(Database!$F:$I,CONCATENATE(AC$16,$B21,"L"))+COUNTIFS(Database!$F:$I,CONCATENATE($B21,AC$16,"W"))+COUNTIFS(Database!$F:$I,CONCATENATE(AC$16,$B21,"W"))</f>
        <v>0</v>
      </c>
      <c r="AD21" s="123">
        <f>COUNTIFS(Database!$F:$I,CONCATENATE($B21,AD$16,"L"))+COUNTIFS(Database!$F:$I,CONCATENATE(AD$16,$B21,"L"))+COUNTIFS(Database!$F:$I,CONCATENATE($B21,AD$16,"W"))+COUNTIFS(Database!$F:$I,CONCATENATE(AD$16,$B21,"W"))</f>
        <v>1</v>
      </c>
      <c r="AE21" s="123">
        <f>COUNTIFS(Database!$F:$I,CONCATENATE($B21,AE$16,"L"))+COUNTIFS(Database!$F:$I,CONCATENATE(AE$16,$B21,"L"))+COUNTIFS(Database!$F:$I,CONCATENATE($B21,AE$16,"W"))+COUNTIFS(Database!$F:$I,CONCATENATE(AE$16,$B21,"W"))</f>
        <v>0</v>
      </c>
      <c r="AF21" s="123">
        <f>COUNTIFS(Database!$F:$I,CONCATENATE($B21,AF$16,"L"))+COUNTIFS(Database!$F:$I,CONCATENATE(AF$16,$B21,"L"))+COUNTIFS(Database!$F:$I,CONCATENATE($B21,AF$16,"W"))+COUNTIFS(Database!$F:$I,CONCATENATE(AF$16,$B21,"W"))</f>
        <v>0</v>
      </c>
      <c r="AG21" s="123">
        <f>COUNTIFS(Database!$F:$I,CONCATENATE($B21,AG$16,"L"))+COUNTIFS(Database!$F:$I,CONCATENATE(AG$16,$B21,"L"))+COUNTIFS(Database!$F:$I,CONCATENATE($B21,AG$16,"W"))+COUNTIFS(Database!$F:$I,CONCATENATE(AG$16,$B21,"W"))</f>
        <v>0</v>
      </c>
      <c r="AH21" s="123">
        <f>COUNTIFS(Database!$F:$I,CONCATENATE($B21,AH$16,"L"))+COUNTIFS(Database!$F:$I,CONCATENATE(AH$16,$B21,"L"))+COUNTIFS(Database!$F:$I,CONCATENATE($B21,AH$16,"W"))+COUNTIFS(Database!$F:$I,CONCATENATE(AH$16,$B21,"W"))</f>
        <v>0</v>
      </c>
      <c r="AI21" s="123">
        <f>COUNTIFS(Database!$F:$I,CONCATENATE($B21,AI$16,"L"))+COUNTIFS(Database!$F:$I,CONCATENATE(AI$16,$B21,"L"))+COUNTIFS(Database!$F:$I,CONCATENATE($B21,AI$16,"W"))+COUNTIFS(Database!$F:$I,CONCATENATE(AI$16,$B21,"W"))</f>
        <v>0</v>
      </c>
      <c r="AJ21" s="123">
        <f>COUNTIFS(Database!$F:$I,CONCATENATE($B21,AJ$16,"L"))+COUNTIFS(Database!$F:$I,CONCATENATE(AJ$16,$B21,"L"))+COUNTIFS(Database!$F:$I,CONCATENATE($B21,AJ$16,"W"))+COUNTIFS(Database!$F:$I,CONCATENATE(AJ$16,$B21,"W"))</f>
        <v>0</v>
      </c>
      <c r="AK21" s="123">
        <f>COUNTIFS(Database!$F:$I,CONCATENATE($B21,AK$16,"L"))+COUNTIFS(Database!$F:$I,CONCATENATE(AK$16,$B21,"L"))+COUNTIFS(Database!$F:$I,CONCATENATE($B21,AK$16,"W"))+COUNTIFS(Database!$F:$I,CONCATENATE(AK$16,$B21,"W"))</f>
        <v>0</v>
      </c>
      <c r="AL21" s="123">
        <f>COUNTIFS(Database!$F:$I,CONCATENATE($B21,AL$16,"L"))+COUNTIFS(Database!$F:$I,CONCATENATE(AL$16,$B21,"L"))+COUNTIFS(Database!$F:$I,CONCATENATE($B21,AL$16,"W"))+COUNTIFS(Database!$F:$I,CONCATENATE(AL$16,$B21,"W"))</f>
        <v>1</v>
      </c>
      <c r="AM21" s="123">
        <f>COUNTIFS(Database!$F:$I,CONCATENATE($B21,AM$16,"L"))+COUNTIFS(Database!$F:$I,CONCATENATE(AM$16,$B21,"L"))+COUNTIFS(Database!$F:$I,CONCATENATE($B21,AM$16,"W"))+COUNTIFS(Database!$F:$I,CONCATENATE(AM$16,$B21,"W"))</f>
        <v>0</v>
      </c>
      <c r="AN21" s="123">
        <f>COUNTIFS(Database!$F:$I,CONCATENATE($B21,AN$16,"L"))+COUNTIFS(Database!$F:$I,CONCATENATE(AN$16,$B21,"L"))+COUNTIFS(Database!$F:$I,CONCATENATE($B21,AN$16,"W"))+COUNTIFS(Database!$F:$I,CONCATENATE(AN$16,$B21,"W"))</f>
        <v>0</v>
      </c>
      <c r="AO21" s="123">
        <f>COUNTIFS(Database!$F:$I,CONCATENATE($B21,AO$16,"L"))+COUNTIFS(Database!$F:$I,CONCATENATE(AO$16,$B21,"L"))+COUNTIFS(Database!$F:$I,CONCATENATE($B21,AO$16,"W"))+COUNTIFS(Database!$F:$I,CONCATENATE(AO$16,$B21,"W"))</f>
        <v>0</v>
      </c>
      <c r="AP21" s="123">
        <f>COUNTIFS(Database!$F:$I,CONCATENATE($B21,AP$16,"L"))+COUNTIFS(Database!$F:$I,CONCATENATE(AP$16,$B21,"L"))+COUNTIFS(Database!$F:$I,CONCATENATE($B21,AP$16,"W"))+COUNTIFS(Database!$F:$I,CONCATENATE(AP$16,$B21,"W"))</f>
        <v>0</v>
      </c>
      <c r="AQ21" s="123">
        <f>COUNTIFS(Database!$F:$I,CONCATENATE($B21,AQ$16,"L"))+COUNTIFS(Database!$F:$I,CONCATENATE(AQ$16,$B21,"L"))+COUNTIFS(Database!$F:$I,CONCATENATE($B21,AQ$16,"W"))+COUNTIFS(Database!$F:$I,CONCATENATE(AQ$16,$B21,"W"))</f>
        <v>0</v>
      </c>
      <c r="AR21" s="123">
        <f>COUNTIFS(Database!$F:$I,CONCATENATE($B21,AR$16,"L"))+COUNTIFS(Database!$F:$I,CONCATENATE(AR$16,$B21,"L"))+COUNTIFS(Database!$F:$I,CONCATENATE($B21,AR$16,"W"))+COUNTIFS(Database!$F:$I,CONCATENATE(AR$16,$B21,"W"))</f>
        <v>0</v>
      </c>
      <c r="AS21" s="123">
        <f>COUNTIFS(Database!$F:$I,CONCATENATE($B21,AS$16,"L"))+COUNTIFS(Database!$F:$I,CONCATENATE(AS$16,$B21,"L"))+COUNTIFS(Database!$F:$I,CONCATENATE($B21,AS$16,"W"))+COUNTIFS(Database!$F:$I,CONCATENATE(AS$16,$B21,"W"))</f>
        <v>0</v>
      </c>
      <c r="AT21" s="123">
        <f>COUNTIFS(Database!$F:$I,CONCATENATE($B21,AT$16,"L"))+COUNTIFS(Database!$F:$I,CONCATENATE(AT$16,$B21,"L"))+COUNTIFS(Database!$F:$I,CONCATENATE($B21,AT$16,"W"))+COUNTIFS(Database!$F:$I,CONCATENATE(AT$16,$B21,"W"))</f>
        <v>0</v>
      </c>
      <c r="AU21" s="123">
        <f>COUNTIFS(Database!$F:$I,CONCATENATE($B21,AU$16,"L"))+COUNTIFS(Database!$F:$I,CONCATENATE(AU$16,$B21,"L"))+COUNTIFS(Database!$F:$I,CONCATENATE($B21,AU$16,"W"))+COUNTIFS(Database!$F:$I,CONCATENATE(AU$16,$B21,"W"))</f>
        <v>0</v>
      </c>
      <c r="AV21" s="123">
        <f>COUNTIFS(Database!$F:$I,CONCATENATE($B21,AV$16,"L"))+COUNTIFS(Database!$F:$I,CONCATENATE(AV$16,$B21,"L"))+COUNTIFS(Database!$F:$I,CONCATENATE($B21,AV$16,"W"))+COUNTIFS(Database!$F:$I,CONCATENATE(AV$16,$B21,"W"))</f>
        <v>0</v>
      </c>
      <c r="AW21" s="123">
        <f>COUNTIFS(Database!$F:$I,CONCATENATE($B21,AW$16,"L"))+COUNTIFS(Database!$F:$I,CONCATENATE(AW$16,$B21,"L"))+COUNTIFS(Database!$F:$I,CONCATENATE($B21,AW$16,"W"))+COUNTIFS(Database!$F:$I,CONCATENATE(AW$16,$B21,"W"))</f>
        <v>1</v>
      </c>
      <c r="AX21" s="123">
        <f>COUNTIFS(Database!$F:$I,CONCATENATE($B21,AX$16,"L"))+COUNTIFS(Database!$F:$I,CONCATENATE(AX$16,$B21,"L"))+COUNTIFS(Database!$F:$I,CONCATENATE($B21,AX$16,"W"))+COUNTIFS(Database!$F:$I,CONCATENATE(AX$16,$B21,"W"))</f>
        <v>0</v>
      </c>
      <c r="AY21" s="123">
        <f>COUNTIFS(Database!$F:$I,CONCATENATE($B21,AY$16,"L"))+COUNTIFS(Database!$F:$I,CONCATENATE(AY$16,$B21,"L"))+COUNTIFS(Database!$F:$I,CONCATENATE($B21,AY$16,"W"))+COUNTIFS(Database!$F:$I,CONCATENATE(AY$16,$B21,"W"))</f>
        <v>1</v>
      </c>
    </row>
    <row r="22" spans="2:51" x14ac:dyDescent="0.25">
      <c r="B22" s="120" t="s">
        <v>19</v>
      </c>
      <c r="C22" s="123">
        <f>COUNTIFS(Database!$F:$I,CONCATENATE($B22,C$16,"L"))+COUNTIFS(Database!$F:$I,CONCATENATE(C$16,$B22,"L"))+COUNTIFS(Database!$F:$I,CONCATENATE($B22,C$16,"W"))+COUNTIFS(Database!$F:$I,CONCATENATE(C$16,$B22,"W"))</f>
        <v>0</v>
      </c>
      <c r="D22" s="123">
        <f>COUNTIFS(Database!$F:$I,CONCATENATE($B22,D$16,"L"))+COUNTIFS(Database!$F:$I,CONCATENATE(D$16,$B22,"L"))+COUNTIFS(Database!$F:$I,CONCATENATE($B22,D$16,"W"))+COUNTIFS(Database!$F:$I,CONCATENATE(D$16,$B22,"W"))</f>
        <v>0</v>
      </c>
      <c r="E22" s="123">
        <f>COUNTIFS(Database!$F:$I,CONCATENATE($B22,E$16,"L"))+COUNTIFS(Database!$F:$I,CONCATENATE(E$16,$B22,"L"))+COUNTIFS(Database!$F:$I,CONCATENATE($B22,E$16,"W"))+COUNTIFS(Database!$F:$I,CONCATENATE(E$16,$B22,"W"))</f>
        <v>0</v>
      </c>
      <c r="F22" s="123">
        <f>COUNTIFS(Database!$F:$I,CONCATENATE($B22,F$16,"L"))+COUNTIFS(Database!$F:$I,CONCATENATE(F$16,$B22,"L"))+COUNTIFS(Database!$F:$I,CONCATENATE($B22,F$16,"W"))+COUNTIFS(Database!$F:$I,CONCATENATE(F$16,$B22,"W"))</f>
        <v>0</v>
      </c>
      <c r="G22" s="123">
        <f>COUNTIFS(Database!$F:$I,CONCATENATE($B22,G$16,"L"))+COUNTIFS(Database!$F:$I,CONCATENATE(G$16,$B22,"L"))+COUNTIFS(Database!$F:$I,CONCATENATE($B22,G$16,"W"))+COUNTIFS(Database!$F:$I,CONCATENATE(G$16,$B22,"W"))</f>
        <v>0</v>
      </c>
      <c r="H22" s="123">
        <f>COUNTIFS(Database!$F:$I,CONCATENATE($B22,H$16,"L"))+COUNTIFS(Database!$F:$I,CONCATENATE(H$16,$B22,"L"))+COUNTIFS(Database!$F:$I,CONCATENATE($B22,H$16,"W"))+COUNTIFS(Database!$F:$I,CONCATENATE(H$16,$B22,"W"))</f>
        <v>0</v>
      </c>
      <c r="I22" s="123">
        <f>COUNTIFS(Database!$F:$I,CONCATENATE($B22,I$16,"L"))+COUNTIFS(Database!$F:$I,CONCATENATE(I$16,$B22,"L"))+COUNTIFS(Database!$F:$I,CONCATENATE($B22,I$16,"W"))+COUNTIFS(Database!$F:$I,CONCATENATE(I$16,$B22,"W"))</f>
        <v>0</v>
      </c>
      <c r="J22" s="123">
        <f>COUNTIFS(Database!$F:$I,CONCATENATE($B22,J$16,"L"))+COUNTIFS(Database!$F:$I,CONCATENATE(J$16,$B22,"L"))+COUNTIFS(Database!$F:$I,CONCATENATE($B22,J$16,"W"))+COUNTIFS(Database!$F:$I,CONCATENATE(J$16,$B22,"W"))</f>
        <v>0</v>
      </c>
      <c r="K22" s="123">
        <f>COUNTIFS(Database!$F:$I,CONCATENATE($B22,K$16,"L"))+COUNTIFS(Database!$F:$I,CONCATENATE(K$16,$B22,"L"))+COUNTIFS(Database!$F:$I,CONCATENATE($B22,K$16,"W"))+COUNTIFS(Database!$F:$I,CONCATENATE(K$16,$B22,"W"))</f>
        <v>0</v>
      </c>
      <c r="L22" s="123">
        <f>COUNTIFS(Database!$F:$I,CONCATENATE($B22,L$16,"L"))+COUNTIFS(Database!$F:$I,CONCATENATE(L$16,$B22,"L"))+COUNTIFS(Database!$F:$I,CONCATENATE($B22,L$16,"W"))+COUNTIFS(Database!$F:$I,CONCATENATE(L$16,$B22,"W"))</f>
        <v>0</v>
      </c>
      <c r="M22" s="123">
        <f>COUNTIFS(Database!$F:$I,CONCATENATE($B22,M$16,"L"))+COUNTIFS(Database!$F:$I,CONCATENATE(M$16,$B22,"L"))+COUNTIFS(Database!$F:$I,CONCATENATE($B22,M$16,"W"))+COUNTIFS(Database!$F:$I,CONCATENATE(M$16,$B22,"W"))</f>
        <v>0</v>
      </c>
      <c r="N22" s="123">
        <f>COUNTIFS(Database!$F:$I,CONCATENATE($B22,N$16,"L"))+COUNTIFS(Database!$F:$I,CONCATENATE(N$16,$B22,"L"))+COUNTIFS(Database!$F:$I,CONCATENATE($B22,N$16,"W"))+COUNTIFS(Database!$F:$I,CONCATENATE(N$16,$B22,"W"))</f>
        <v>0</v>
      </c>
      <c r="O22" s="123">
        <f>COUNTIFS(Database!$F:$I,CONCATENATE($B22,O$16,"L"))+COUNTIFS(Database!$F:$I,CONCATENATE(O$16,$B22,"L"))+COUNTIFS(Database!$F:$I,CONCATENATE($B22,O$16,"W"))+COUNTIFS(Database!$F:$I,CONCATENATE(O$16,$B22,"W"))</f>
        <v>0</v>
      </c>
      <c r="P22" s="123">
        <f>COUNTIFS(Database!$F:$I,CONCATENATE($B22,P$16,"L"))+COUNTIFS(Database!$F:$I,CONCATENATE(P$16,$B22,"L"))+COUNTIFS(Database!$F:$I,CONCATENATE($B22,P$16,"W"))+COUNTIFS(Database!$F:$I,CONCATENATE(P$16,$B22,"W"))</f>
        <v>0</v>
      </c>
      <c r="Q22" s="123">
        <f>COUNTIFS(Database!$F:$I,CONCATENATE($B22,Q$16,"L"))+COUNTIFS(Database!$F:$I,CONCATENATE(Q$16,$B22,"L"))+COUNTIFS(Database!$F:$I,CONCATENATE($B22,Q$16,"W"))+COUNTIFS(Database!$F:$I,CONCATENATE(Q$16,$B22,"W"))</f>
        <v>0</v>
      </c>
      <c r="R22" s="123">
        <f>COUNTIFS(Database!$F:$I,CONCATENATE($B22,R$16,"L"))+COUNTIFS(Database!$F:$I,CONCATENATE(R$16,$B22,"L"))+COUNTIFS(Database!$F:$I,CONCATENATE($B22,R$16,"W"))+COUNTIFS(Database!$F:$I,CONCATENATE(R$16,$B22,"W"))</f>
        <v>0</v>
      </c>
      <c r="S22" s="123">
        <f>COUNTIFS(Database!$F:$I,CONCATENATE($B22,S$16,"L"))+COUNTIFS(Database!$F:$I,CONCATENATE(S$16,$B22,"L"))+COUNTIFS(Database!$F:$I,CONCATENATE($B22,S$16,"W"))+COUNTIFS(Database!$F:$I,CONCATENATE(S$16,$B22,"W"))</f>
        <v>0</v>
      </c>
      <c r="T22" s="123">
        <f>COUNTIFS(Database!$F:$I,CONCATENATE($B22,T$16,"L"))+COUNTIFS(Database!$F:$I,CONCATENATE(T$16,$B22,"L"))+COUNTIFS(Database!$F:$I,CONCATENATE($B22,T$16,"W"))+COUNTIFS(Database!$F:$I,CONCATENATE(T$16,$B22,"W"))</f>
        <v>0</v>
      </c>
      <c r="U22" s="123">
        <f>COUNTIFS(Database!$F:$I,CONCATENATE($B22,U$16,"L"))+COUNTIFS(Database!$F:$I,CONCATENATE(U$16,$B22,"L"))+COUNTIFS(Database!$F:$I,CONCATENATE($B22,U$16,"W"))+COUNTIFS(Database!$F:$I,CONCATENATE(U$16,$B22,"W"))</f>
        <v>0</v>
      </c>
      <c r="V22" s="123">
        <f>COUNTIFS(Database!$F:$I,CONCATENATE($B22,V$16,"L"))+COUNTIFS(Database!$F:$I,CONCATENATE(V$16,$B22,"L"))+COUNTIFS(Database!$F:$I,CONCATENATE($B22,V$16,"W"))+COUNTIFS(Database!$F:$I,CONCATENATE(V$16,$B22,"W"))</f>
        <v>0</v>
      </c>
      <c r="W22" s="123">
        <f>COUNTIFS(Database!$F:$I,CONCATENATE($B22,W$16,"L"))+COUNTIFS(Database!$F:$I,CONCATENATE(W$16,$B22,"L"))+COUNTIFS(Database!$F:$I,CONCATENATE($B22,W$16,"W"))+COUNTIFS(Database!$F:$I,CONCATENATE(W$16,$B22,"W"))</f>
        <v>0</v>
      </c>
      <c r="X22" s="123">
        <f>COUNTIFS(Database!$F:$I,CONCATENATE($B22,X$16,"L"))+COUNTIFS(Database!$F:$I,CONCATENATE(X$16,$B22,"L"))+COUNTIFS(Database!$F:$I,CONCATENATE($B22,X$16,"W"))+COUNTIFS(Database!$F:$I,CONCATENATE(X$16,$B22,"W"))</f>
        <v>0</v>
      </c>
      <c r="Y22" s="123">
        <f>COUNTIFS(Database!$F:$I,CONCATENATE($B22,Y$16,"L"))+COUNTIFS(Database!$F:$I,CONCATENATE(Y$16,$B22,"L"))+COUNTIFS(Database!$F:$I,CONCATENATE($B22,Y$16,"W"))+COUNTIFS(Database!$F:$I,CONCATENATE(Y$16,$B22,"W"))</f>
        <v>0</v>
      </c>
      <c r="Z22" s="123">
        <f>COUNTIFS(Database!$F:$I,CONCATENATE($B22,Z$16,"L"))+COUNTIFS(Database!$F:$I,CONCATENATE(Z$16,$B22,"L"))+COUNTIFS(Database!$F:$I,CONCATENATE($B22,Z$16,"W"))+COUNTIFS(Database!$F:$I,CONCATENATE(Z$16,$B22,"W"))</f>
        <v>0</v>
      </c>
      <c r="AA22" s="123">
        <f>COUNTIFS(Database!$F:$I,CONCATENATE($B22,AA$16,"L"))+COUNTIFS(Database!$F:$I,CONCATENATE(AA$16,$B22,"L"))+COUNTIFS(Database!$F:$I,CONCATENATE($B22,AA$16,"W"))+COUNTIFS(Database!$F:$I,CONCATENATE(AA$16,$B22,"W"))</f>
        <v>0</v>
      </c>
      <c r="AB22" s="123">
        <f>COUNTIFS(Database!$F:$I,CONCATENATE($B22,AB$16,"L"))+COUNTIFS(Database!$F:$I,CONCATENATE(AB$16,$B22,"L"))+COUNTIFS(Database!$F:$I,CONCATENATE($B22,AB$16,"W"))+COUNTIFS(Database!$F:$I,CONCATENATE(AB$16,$B22,"W"))</f>
        <v>1</v>
      </c>
      <c r="AC22" s="123">
        <f>COUNTIFS(Database!$F:$I,CONCATENATE($B22,AC$16,"L"))+COUNTIFS(Database!$F:$I,CONCATENATE(AC$16,$B22,"L"))+COUNTIFS(Database!$F:$I,CONCATENATE($B22,AC$16,"W"))+COUNTIFS(Database!$F:$I,CONCATENATE(AC$16,$B22,"W"))</f>
        <v>0</v>
      </c>
      <c r="AD22" s="123">
        <f>COUNTIFS(Database!$F:$I,CONCATENATE($B22,AD$16,"L"))+COUNTIFS(Database!$F:$I,CONCATENATE(AD$16,$B22,"L"))+COUNTIFS(Database!$F:$I,CONCATENATE($B22,AD$16,"W"))+COUNTIFS(Database!$F:$I,CONCATENATE(AD$16,$B22,"W"))</f>
        <v>0</v>
      </c>
      <c r="AE22" s="123">
        <f>COUNTIFS(Database!$F:$I,CONCATENATE($B22,AE$16,"L"))+COUNTIFS(Database!$F:$I,CONCATENATE(AE$16,$B22,"L"))+COUNTIFS(Database!$F:$I,CONCATENATE($B22,AE$16,"W"))+COUNTIFS(Database!$F:$I,CONCATENATE(AE$16,$B22,"W"))</f>
        <v>1</v>
      </c>
      <c r="AF22" s="123">
        <f>COUNTIFS(Database!$F:$I,CONCATENATE($B22,AF$16,"L"))+COUNTIFS(Database!$F:$I,CONCATENATE(AF$16,$B22,"L"))+COUNTIFS(Database!$F:$I,CONCATENATE($B22,AF$16,"W"))+COUNTIFS(Database!$F:$I,CONCATENATE(AF$16,$B22,"W"))</f>
        <v>0</v>
      </c>
      <c r="AG22" s="123">
        <f>COUNTIFS(Database!$F:$I,CONCATENATE($B22,AG$16,"L"))+COUNTIFS(Database!$F:$I,CONCATENATE(AG$16,$B22,"L"))+COUNTIFS(Database!$F:$I,CONCATENATE($B22,AG$16,"W"))+COUNTIFS(Database!$F:$I,CONCATENATE(AG$16,$B22,"W"))</f>
        <v>0</v>
      </c>
      <c r="AH22" s="123">
        <f>COUNTIFS(Database!$F:$I,CONCATENATE($B22,AH$16,"L"))+COUNTIFS(Database!$F:$I,CONCATENATE(AH$16,$B22,"L"))+COUNTIFS(Database!$F:$I,CONCATENATE($B22,AH$16,"W"))+COUNTIFS(Database!$F:$I,CONCATENATE(AH$16,$B22,"W"))</f>
        <v>0</v>
      </c>
      <c r="AI22" s="123">
        <f>COUNTIFS(Database!$F:$I,CONCATENATE($B22,AI$16,"L"))+COUNTIFS(Database!$F:$I,CONCATENATE(AI$16,$B22,"L"))+COUNTIFS(Database!$F:$I,CONCATENATE($B22,AI$16,"W"))+COUNTIFS(Database!$F:$I,CONCATENATE(AI$16,$B22,"W"))</f>
        <v>0</v>
      </c>
      <c r="AJ22" s="123">
        <f>COUNTIFS(Database!$F:$I,CONCATENATE($B22,AJ$16,"L"))+COUNTIFS(Database!$F:$I,CONCATENATE(AJ$16,$B22,"L"))+COUNTIFS(Database!$F:$I,CONCATENATE($B22,AJ$16,"W"))+COUNTIFS(Database!$F:$I,CONCATENATE(AJ$16,$B22,"W"))</f>
        <v>0</v>
      </c>
      <c r="AK22" s="123">
        <f>COUNTIFS(Database!$F:$I,CONCATENATE($B22,AK$16,"L"))+COUNTIFS(Database!$F:$I,CONCATENATE(AK$16,$B22,"L"))+COUNTIFS(Database!$F:$I,CONCATENATE($B22,AK$16,"W"))+COUNTIFS(Database!$F:$I,CONCATENATE(AK$16,$B22,"W"))</f>
        <v>1</v>
      </c>
      <c r="AL22" s="123">
        <f>COUNTIFS(Database!$F:$I,CONCATENATE($B22,AL$16,"L"))+COUNTIFS(Database!$F:$I,CONCATENATE(AL$16,$B22,"L"))+COUNTIFS(Database!$F:$I,CONCATENATE($B22,AL$16,"W"))+COUNTIFS(Database!$F:$I,CONCATENATE(AL$16,$B22,"W"))</f>
        <v>0</v>
      </c>
      <c r="AM22" s="123">
        <f>COUNTIFS(Database!$F:$I,CONCATENATE($B22,AM$16,"L"))+COUNTIFS(Database!$F:$I,CONCATENATE(AM$16,$B22,"L"))+COUNTIFS(Database!$F:$I,CONCATENATE($B22,AM$16,"W"))+COUNTIFS(Database!$F:$I,CONCATENATE(AM$16,$B22,"W"))</f>
        <v>0</v>
      </c>
      <c r="AN22" s="123">
        <f>COUNTIFS(Database!$F:$I,CONCATENATE($B22,AN$16,"L"))+COUNTIFS(Database!$F:$I,CONCATENATE(AN$16,$B22,"L"))+COUNTIFS(Database!$F:$I,CONCATENATE($B22,AN$16,"W"))+COUNTIFS(Database!$F:$I,CONCATENATE(AN$16,$B22,"W"))</f>
        <v>0</v>
      </c>
      <c r="AO22" s="123">
        <f>COUNTIFS(Database!$F:$I,CONCATENATE($B22,AO$16,"L"))+COUNTIFS(Database!$F:$I,CONCATENATE(AO$16,$B22,"L"))+COUNTIFS(Database!$F:$I,CONCATENATE($B22,AO$16,"W"))+COUNTIFS(Database!$F:$I,CONCATENATE(AO$16,$B22,"W"))</f>
        <v>0</v>
      </c>
      <c r="AP22" s="123">
        <f>COUNTIFS(Database!$F:$I,CONCATENATE($B22,AP$16,"L"))+COUNTIFS(Database!$F:$I,CONCATENATE(AP$16,$B22,"L"))+COUNTIFS(Database!$F:$I,CONCATENATE($B22,AP$16,"W"))+COUNTIFS(Database!$F:$I,CONCATENATE(AP$16,$B22,"W"))</f>
        <v>0</v>
      </c>
      <c r="AQ22" s="123">
        <f>COUNTIFS(Database!$F:$I,CONCATENATE($B22,AQ$16,"L"))+COUNTIFS(Database!$F:$I,CONCATENATE(AQ$16,$B22,"L"))+COUNTIFS(Database!$F:$I,CONCATENATE($B22,AQ$16,"W"))+COUNTIFS(Database!$F:$I,CONCATENATE(AQ$16,$B22,"W"))</f>
        <v>0</v>
      </c>
      <c r="AR22" s="123">
        <f>COUNTIFS(Database!$F:$I,CONCATENATE($B22,AR$16,"L"))+COUNTIFS(Database!$F:$I,CONCATENATE(AR$16,$B22,"L"))+COUNTIFS(Database!$F:$I,CONCATENATE($B22,AR$16,"W"))+COUNTIFS(Database!$F:$I,CONCATENATE(AR$16,$B22,"W"))</f>
        <v>0</v>
      </c>
      <c r="AS22" s="123">
        <f>COUNTIFS(Database!$F:$I,CONCATENATE($B22,AS$16,"L"))+COUNTIFS(Database!$F:$I,CONCATENATE(AS$16,$B22,"L"))+COUNTIFS(Database!$F:$I,CONCATENATE($B22,AS$16,"W"))+COUNTIFS(Database!$F:$I,CONCATENATE(AS$16,$B22,"W"))</f>
        <v>0</v>
      </c>
      <c r="AT22" s="123">
        <f>COUNTIFS(Database!$F:$I,CONCATENATE($B22,AT$16,"L"))+COUNTIFS(Database!$F:$I,CONCATENATE(AT$16,$B22,"L"))+COUNTIFS(Database!$F:$I,CONCATENATE($B22,AT$16,"W"))+COUNTIFS(Database!$F:$I,CONCATENATE(AT$16,$B22,"W"))</f>
        <v>0</v>
      </c>
      <c r="AU22" s="123">
        <f>COUNTIFS(Database!$F:$I,CONCATENATE($B22,AU$16,"L"))+COUNTIFS(Database!$F:$I,CONCATENATE(AU$16,$B22,"L"))+COUNTIFS(Database!$F:$I,CONCATENATE($B22,AU$16,"W"))+COUNTIFS(Database!$F:$I,CONCATENATE(AU$16,$B22,"W"))</f>
        <v>0</v>
      </c>
      <c r="AV22" s="123">
        <f>COUNTIFS(Database!$F:$I,CONCATENATE($B22,AV$16,"L"))+COUNTIFS(Database!$F:$I,CONCATENATE(AV$16,$B22,"L"))+COUNTIFS(Database!$F:$I,CONCATENATE($B22,AV$16,"W"))+COUNTIFS(Database!$F:$I,CONCATENATE(AV$16,$B22,"W"))</f>
        <v>0</v>
      </c>
      <c r="AW22" s="123">
        <f>COUNTIFS(Database!$F:$I,CONCATENATE($B22,AW$16,"L"))+COUNTIFS(Database!$F:$I,CONCATENATE(AW$16,$B22,"L"))+COUNTIFS(Database!$F:$I,CONCATENATE($B22,AW$16,"W"))+COUNTIFS(Database!$F:$I,CONCATENATE(AW$16,$B22,"W"))</f>
        <v>1</v>
      </c>
      <c r="AX22" s="123">
        <f>COUNTIFS(Database!$F:$I,CONCATENATE($B22,AX$16,"L"))+COUNTIFS(Database!$F:$I,CONCATENATE(AX$16,$B22,"L"))+COUNTIFS(Database!$F:$I,CONCATENATE($B22,AX$16,"W"))+COUNTIFS(Database!$F:$I,CONCATENATE(AX$16,$B22,"W"))</f>
        <v>0</v>
      </c>
      <c r="AY22" s="123">
        <f>COUNTIFS(Database!$F:$I,CONCATENATE($B22,AY$16,"L"))+COUNTIFS(Database!$F:$I,CONCATENATE(AY$16,$B22,"L"))+COUNTIFS(Database!$F:$I,CONCATENATE($B22,AY$16,"W"))+COUNTIFS(Database!$F:$I,CONCATENATE(AY$16,$B22,"W"))</f>
        <v>0</v>
      </c>
    </row>
    <row r="23" spans="2:51" x14ac:dyDescent="0.25">
      <c r="B23" s="120" t="s">
        <v>49</v>
      </c>
      <c r="C23" s="123">
        <f>COUNTIFS(Database!$F:$I,CONCATENATE($B23,C$16,"L"))+COUNTIFS(Database!$F:$I,CONCATENATE(C$16,$B23,"L"))+COUNTIFS(Database!$F:$I,CONCATENATE($B23,C$16,"W"))+COUNTIFS(Database!$F:$I,CONCATENATE(C$16,$B23,"W"))</f>
        <v>2</v>
      </c>
      <c r="D23" s="123">
        <f>COUNTIFS(Database!$F:$I,CONCATENATE($B23,D$16,"L"))+COUNTIFS(Database!$F:$I,CONCATENATE(D$16,$B23,"L"))+COUNTIFS(Database!$F:$I,CONCATENATE($B23,D$16,"W"))+COUNTIFS(Database!$F:$I,CONCATENATE(D$16,$B23,"W"))</f>
        <v>0</v>
      </c>
      <c r="E23" s="123">
        <f>COUNTIFS(Database!$F:$I,CONCATENATE($B23,E$16,"L"))+COUNTIFS(Database!$F:$I,CONCATENATE(E$16,$B23,"L"))+COUNTIFS(Database!$F:$I,CONCATENATE($B23,E$16,"W"))+COUNTIFS(Database!$F:$I,CONCATENATE(E$16,$B23,"W"))</f>
        <v>0</v>
      </c>
      <c r="F23" s="123">
        <f>COUNTIFS(Database!$F:$I,CONCATENATE($B23,F$16,"L"))+COUNTIFS(Database!$F:$I,CONCATENATE(F$16,$B23,"L"))+COUNTIFS(Database!$F:$I,CONCATENATE($B23,F$16,"W"))+COUNTIFS(Database!$F:$I,CONCATENATE(F$16,$B23,"W"))</f>
        <v>1</v>
      </c>
      <c r="G23" s="123">
        <f>COUNTIFS(Database!$F:$I,CONCATENATE($B23,G$16,"L"))+COUNTIFS(Database!$F:$I,CONCATENATE(G$16,$B23,"L"))+COUNTIFS(Database!$F:$I,CONCATENATE($B23,G$16,"W"))+COUNTIFS(Database!$F:$I,CONCATENATE(G$16,$B23,"W"))</f>
        <v>0</v>
      </c>
      <c r="H23" s="123">
        <f>COUNTIFS(Database!$F:$I,CONCATENATE($B23,H$16,"L"))+COUNTIFS(Database!$F:$I,CONCATENATE(H$16,$B23,"L"))+COUNTIFS(Database!$F:$I,CONCATENATE($B23,H$16,"W"))+COUNTIFS(Database!$F:$I,CONCATENATE(H$16,$B23,"W"))</f>
        <v>0</v>
      </c>
      <c r="I23" s="123">
        <f>COUNTIFS(Database!$F:$I,CONCATENATE($B23,I$16,"L"))+COUNTIFS(Database!$F:$I,CONCATENATE(I$16,$B23,"L"))+COUNTIFS(Database!$F:$I,CONCATENATE($B23,I$16,"W"))+COUNTIFS(Database!$F:$I,CONCATENATE(I$16,$B23,"W"))</f>
        <v>0</v>
      </c>
      <c r="J23" s="123">
        <f>COUNTIFS(Database!$F:$I,CONCATENATE($B23,J$16,"L"))+COUNTIFS(Database!$F:$I,CONCATENATE(J$16,$B23,"L"))+COUNTIFS(Database!$F:$I,CONCATENATE($B23,J$16,"W"))+COUNTIFS(Database!$F:$I,CONCATENATE(J$16,$B23,"W"))</f>
        <v>1</v>
      </c>
      <c r="K23" s="123">
        <f>COUNTIFS(Database!$F:$I,CONCATENATE($B23,K$16,"L"))+COUNTIFS(Database!$F:$I,CONCATENATE(K$16,$B23,"L"))+COUNTIFS(Database!$F:$I,CONCATENATE($B23,K$16,"W"))+COUNTIFS(Database!$F:$I,CONCATENATE(K$16,$B23,"W"))</f>
        <v>2</v>
      </c>
      <c r="L23" s="123">
        <f>COUNTIFS(Database!$F:$I,CONCATENATE($B23,L$16,"L"))+COUNTIFS(Database!$F:$I,CONCATENATE(L$16,$B23,"L"))+COUNTIFS(Database!$F:$I,CONCATENATE($B23,L$16,"W"))+COUNTIFS(Database!$F:$I,CONCATENATE(L$16,$B23,"W"))</f>
        <v>0</v>
      </c>
      <c r="M23" s="123">
        <f>COUNTIFS(Database!$F:$I,CONCATENATE($B23,M$16,"L"))+COUNTIFS(Database!$F:$I,CONCATENATE(M$16,$B23,"L"))+COUNTIFS(Database!$F:$I,CONCATENATE($B23,M$16,"W"))+COUNTIFS(Database!$F:$I,CONCATENATE(M$16,$B23,"W"))</f>
        <v>0</v>
      </c>
      <c r="N23" s="123">
        <f>COUNTIFS(Database!$F:$I,CONCATENATE($B23,N$16,"L"))+COUNTIFS(Database!$F:$I,CONCATENATE(N$16,$B23,"L"))+COUNTIFS(Database!$F:$I,CONCATENATE($B23,N$16,"W"))+COUNTIFS(Database!$F:$I,CONCATENATE(N$16,$B23,"W"))</f>
        <v>0</v>
      </c>
      <c r="O23" s="123">
        <f>COUNTIFS(Database!$F:$I,CONCATENATE($B23,O$16,"L"))+COUNTIFS(Database!$F:$I,CONCATENATE(O$16,$B23,"L"))+COUNTIFS(Database!$F:$I,CONCATENATE($B23,O$16,"W"))+COUNTIFS(Database!$F:$I,CONCATENATE(O$16,$B23,"W"))</f>
        <v>0</v>
      </c>
      <c r="P23" s="123">
        <f>COUNTIFS(Database!$F:$I,CONCATENATE($B23,P$16,"L"))+COUNTIFS(Database!$F:$I,CONCATENATE(P$16,$B23,"L"))+COUNTIFS(Database!$F:$I,CONCATENATE($B23,P$16,"W"))+COUNTIFS(Database!$F:$I,CONCATENATE(P$16,$B23,"W"))</f>
        <v>1</v>
      </c>
      <c r="Q23" s="123">
        <f>COUNTIFS(Database!$F:$I,CONCATENATE($B23,Q$16,"L"))+COUNTIFS(Database!$F:$I,CONCATENATE(Q$16,$B23,"L"))+COUNTIFS(Database!$F:$I,CONCATENATE($B23,Q$16,"W"))+COUNTIFS(Database!$F:$I,CONCATENATE(Q$16,$B23,"W"))</f>
        <v>0</v>
      </c>
      <c r="R23" s="123">
        <f>COUNTIFS(Database!$F:$I,CONCATENATE($B23,R$16,"L"))+COUNTIFS(Database!$F:$I,CONCATENATE(R$16,$B23,"L"))+COUNTIFS(Database!$F:$I,CONCATENATE($B23,R$16,"W"))+COUNTIFS(Database!$F:$I,CONCATENATE(R$16,$B23,"W"))</f>
        <v>0</v>
      </c>
      <c r="S23" s="123">
        <f>COUNTIFS(Database!$F:$I,CONCATENATE($B23,S$16,"L"))+COUNTIFS(Database!$F:$I,CONCATENATE(S$16,$B23,"L"))+COUNTIFS(Database!$F:$I,CONCATENATE($B23,S$16,"W"))+COUNTIFS(Database!$F:$I,CONCATENATE(S$16,$B23,"W"))</f>
        <v>0</v>
      </c>
      <c r="T23" s="123">
        <f>COUNTIFS(Database!$F:$I,CONCATENATE($B23,T$16,"L"))+COUNTIFS(Database!$F:$I,CONCATENATE(T$16,$B23,"L"))+COUNTIFS(Database!$F:$I,CONCATENATE($B23,T$16,"W"))+COUNTIFS(Database!$F:$I,CONCATENATE(T$16,$B23,"W"))</f>
        <v>1</v>
      </c>
      <c r="U23" s="123">
        <f>COUNTIFS(Database!$F:$I,CONCATENATE($B23,U$16,"L"))+COUNTIFS(Database!$F:$I,CONCATENATE(U$16,$B23,"L"))+COUNTIFS(Database!$F:$I,CONCATENATE($B23,U$16,"W"))+COUNTIFS(Database!$F:$I,CONCATENATE(U$16,$B23,"W"))</f>
        <v>0</v>
      </c>
      <c r="V23" s="123">
        <f>COUNTIFS(Database!$F:$I,CONCATENATE($B23,V$16,"L"))+COUNTIFS(Database!$F:$I,CONCATENATE(V$16,$B23,"L"))+COUNTIFS(Database!$F:$I,CONCATENATE($B23,V$16,"W"))+COUNTIFS(Database!$F:$I,CONCATENATE(V$16,$B23,"W"))</f>
        <v>0</v>
      </c>
      <c r="W23" s="123">
        <f>COUNTIFS(Database!$F:$I,CONCATENATE($B23,W$16,"L"))+COUNTIFS(Database!$F:$I,CONCATENATE(W$16,$B23,"L"))+COUNTIFS(Database!$F:$I,CONCATENATE($B23,W$16,"W"))+COUNTIFS(Database!$F:$I,CONCATENATE(W$16,$B23,"W"))</f>
        <v>1</v>
      </c>
      <c r="X23" s="123">
        <f>COUNTIFS(Database!$F:$I,CONCATENATE($B23,X$16,"L"))+COUNTIFS(Database!$F:$I,CONCATENATE(X$16,$B23,"L"))+COUNTIFS(Database!$F:$I,CONCATENATE($B23,X$16,"W"))+COUNTIFS(Database!$F:$I,CONCATENATE(X$16,$B23,"W"))</f>
        <v>0</v>
      </c>
      <c r="Y23" s="123">
        <f>COUNTIFS(Database!$F:$I,CONCATENATE($B23,Y$16,"L"))+COUNTIFS(Database!$F:$I,CONCATENATE(Y$16,$B23,"L"))+COUNTIFS(Database!$F:$I,CONCATENATE($B23,Y$16,"W"))+COUNTIFS(Database!$F:$I,CONCATENATE(Y$16,$B23,"W"))</f>
        <v>0</v>
      </c>
      <c r="Z23" s="123">
        <f>COUNTIFS(Database!$F:$I,CONCATENATE($B23,Z$16,"L"))+COUNTIFS(Database!$F:$I,CONCATENATE(Z$16,$B23,"L"))+COUNTIFS(Database!$F:$I,CONCATENATE($B23,Z$16,"W"))+COUNTIFS(Database!$F:$I,CONCATENATE(Z$16,$B23,"W"))</f>
        <v>0</v>
      </c>
      <c r="AA23" s="123">
        <f>COUNTIFS(Database!$F:$I,CONCATENATE($B23,AA$16,"L"))+COUNTIFS(Database!$F:$I,CONCATENATE(AA$16,$B23,"L"))+COUNTIFS(Database!$F:$I,CONCATENATE($B23,AA$16,"W"))+COUNTIFS(Database!$F:$I,CONCATENATE(AA$16,$B23,"W"))</f>
        <v>0</v>
      </c>
      <c r="AB23" s="123">
        <f>COUNTIFS(Database!$F:$I,CONCATENATE($B23,AB$16,"L"))+COUNTIFS(Database!$F:$I,CONCATENATE(AB$16,$B23,"L"))+COUNTIFS(Database!$F:$I,CONCATENATE($B23,AB$16,"W"))+COUNTIFS(Database!$F:$I,CONCATENATE(AB$16,$B23,"W"))</f>
        <v>2</v>
      </c>
      <c r="AC23" s="123">
        <f>COUNTIFS(Database!$F:$I,CONCATENATE($B23,AC$16,"L"))+COUNTIFS(Database!$F:$I,CONCATENATE(AC$16,$B23,"L"))+COUNTIFS(Database!$F:$I,CONCATENATE($B23,AC$16,"W"))+COUNTIFS(Database!$F:$I,CONCATENATE(AC$16,$B23,"W"))</f>
        <v>0</v>
      </c>
      <c r="AD23" s="123">
        <f>COUNTIFS(Database!$F:$I,CONCATENATE($B23,AD$16,"L"))+COUNTIFS(Database!$F:$I,CONCATENATE(AD$16,$B23,"L"))+COUNTIFS(Database!$F:$I,CONCATENATE($B23,AD$16,"W"))+COUNTIFS(Database!$F:$I,CONCATENATE(AD$16,$B23,"W"))</f>
        <v>3</v>
      </c>
      <c r="AE23" s="123">
        <f>COUNTIFS(Database!$F:$I,CONCATENATE($B23,AE$16,"L"))+COUNTIFS(Database!$F:$I,CONCATENATE(AE$16,$B23,"L"))+COUNTIFS(Database!$F:$I,CONCATENATE($B23,AE$16,"W"))+COUNTIFS(Database!$F:$I,CONCATENATE(AE$16,$B23,"W"))</f>
        <v>0</v>
      </c>
      <c r="AF23" s="123">
        <f>COUNTIFS(Database!$F:$I,CONCATENATE($B23,AF$16,"L"))+COUNTIFS(Database!$F:$I,CONCATENATE(AF$16,$B23,"L"))+COUNTIFS(Database!$F:$I,CONCATENATE($B23,AF$16,"W"))+COUNTIFS(Database!$F:$I,CONCATENATE(AF$16,$B23,"W"))</f>
        <v>0</v>
      </c>
      <c r="AG23" s="123">
        <f>COUNTIFS(Database!$F:$I,CONCATENATE($B23,AG$16,"L"))+COUNTIFS(Database!$F:$I,CONCATENATE(AG$16,$B23,"L"))+COUNTIFS(Database!$F:$I,CONCATENATE($B23,AG$16,"W"))+COUNTIFS(Database!$F:$I,CONCATENATE(AG$16,$B23,"W"))</f>
        <v>0</v>
      </c>
      <c r="AH23" s="123">
        <f>COUNTIFS(Database!$F:$I,CONCATENATE($B23,AH$16,"L"))+COUNTIFS(Database!$F:$I,CONCATENATE(AH$16,$B23,"L"))+COUNTIFS(Database!$F:$I,CONCATENATE($B23,AH$16,"W"))+COUNTIFS(Database!$F:$I,CONCATENATE(AH$16,$B23,"W"))</f>
        <v>0</v>
      </c>
      <c r="AI23" s="123">
        <f>COUNTIFS(Database!$F:$I,CONCATENATE($B23,AI$16,"L"))+COUNTIFS(Database!$F:$I,CONCATENATE(AI$16,$B23,"L"))+COUNTIFS(Database!$F:$I,CONCATENATE($B23,AI$16,"W"))+COUNTIFS(Database!$F:$I,CONCATENATE(AI$16,$B23,"W"))</f>
        <v>0</v>
      </c>
      <c r="AJ23" s="123">
        <f>COUNTIFS(Database!$F:$I,CONCATENATE($B23,AJ$16,"L"))+COUNTIFS(Database!$F:$I,CONCATENATE(AJ$16,$B23,"L"))+COUNTIFS(Database!$F:$I,CONCATENATE($B23,AJ$16,"W"))+COUNTIFS(Database!$F:$I,CONCATENATE(AJ$16,$B23,"W"))</f>
        <v>0</v>
      </c>
      <c r="AK23" s="123">
        <f>COUNTIFS(Database!$F:$I,CONCATENATE($B23,AK$16,"L"))+COUNTIFS(Database!$F:$I,CONCATENATE(AK$16,$B23,"L"))+COUNTIFS(Database!$F:$I,CONCATENATE($B23,AK$16,"W"))+COUNTIFS(Database!$F:$I,CONCATENATE(AK$16,$B23,"W"))</f>
        <v>3</v>
      </c>
      <c r="AL23" s="123">
        <f>COUNTIFS(Database!$F:$I,CONCATENATE($B23,AL$16,"L"))+COUNTIFS(Database!$F:$I,CONCATENATE(AL$16,$B23,"L"))+COUNTIFS(Database!$F:$I,CONCATENATE($B23,AL$16,"W"))+COUNTIFS(Database!$F:$I,CONCATENATE(AL$16,$B23,"W"))</f>
        <v>0</v>
      </c>
      <c r="AM23" s="123">
        <f>COUNTIFS(Database!$F:$I,CONCATENATE($B23,AM$16,"L"))+COUNTIFS(Database!$F:$I,CONCATENATE(AM$16,$B23,"L"))+COUNTIFS(Database!$F:$I,CONCATENATE($B23,AM$16,"W"))+COUNTIFS(Database!$F:$I,CONCATENATE(AM$16,$B23,"W"))</f>
        <v>0</v>
      </c>
      <c r="AN23" s="123">
        <f>COUNTIFS(Database!$F:$I,CONCATENATE($B23,AN$16,"L"))+COUNTIFS(Database!$F:$I,CONCATENATE(AN$16,$B23,"L"))+COUNTIFS(Database!$F:$I,CONCATENATE($B23,AN$16,"W"))+COUNTIFS(Database!$F:$I,CONCATENATE(AN$16,$B23,"W"))</f>
        <v>0</v>
      </c>
      <c r="AO23" s="123">
        <f>COUNTIFS(Database!$F:$I,CONCATENATE($B23,AO$16,"L"))+COUNTIFS(Database!$F:$I,CONCATENATE(AO$16,$B23,"L"))+COUNTIFS(Database!$F:$I,CONCATENATE($B23,AO$16,"W"))+COUNTIFS(Database!$F:$I,CONCATENATE(AO$16,$B23,"W"))</f>
        <v>3</v>
      </c>
      <c r="AP23" s="123">
        <f>COUNTIFS(Database!$F:$I,CONCATENATE($B23,AP$16,"L"))+COUNTIFS(Database!$F:$I,CONCATENATE(AP$16,$B23,"L"))+COUNTIFS(Database!$F:$I,CONCATENATE($B23,AP$16,"W"))+COUNTIFS(Database!$F:$I,CONCATENATE(AP$16,$B23,"W"))</f>
        <v>0</v>
      </c>
      <c r="AQ23" s="123">
        <f>COUNTIFS(Database!$F:$I,CONCATENATE($B23,AQ$16,"L"))+COUNTIFS(Database!$F:$I,CONCATENATE(AQ$16,$B23,"L"))+COUNTIFS(Database!$F:$I,CONCATENATE($B23,AQ$16,"W"))+COUNTIFS(Database!$F:$I,CONCATENATE(AQ$16,$B23,"W"))</f>
        <v>0</v>
      </c>
      <c r="AR23" s="123">
        <f>COUNTIFS(Database!$F:$I,CONCATENATE($B23,AR$16,"L"))+COUNTIFS(Database!$F:$I,CONCATENATE(AR$16,$B23,"L"))+COUNTIFS(Database!$F:$I,CONCATENATE($B23,AR$16,"W"))+COUNTIFS(Database!$F:$I,CONCATENATE(AR$16,$B23,"W"))</f>
        <v>2</v>
      </c>
      <c r="AS23" s="123">
        <f>COUNTIFS(Database!$F:$I,CONCATENATE($B23,AS$16,"L"))+COUNTIFS(Database!$F:$I,CONCATENATE(AS$16,$B23,"L"))+COUNTIFS(Database!$F:$I,CONCATENATE($B23,AS$16,"W"))+COUNTIFS(Database!$F:$I,CONCATENATE(AS$16,$B23,"W"))</f>
        <v>0</v>
      </c>
      <c r="AT23" s="123">
        <f>COUNTIFS(Database!$F:$I,CONCATENATE($B23,AT$16,"L"))+COUNTIFS(Database!$F:$I,CONCATENATE(AT$16,$B23,"L"))+COUNTIFS(Database!$F:$I,CONCATENATE($B23,AT$16,"W"))+COUNTIFS(Database!$F:$I,CONCATENATE(AT$16,$B23,"W"))</f>
        <v>0</v>
      </c>
      <c r="AU23" s="123">
        <f>COUNTIFS(Database!$F:$I,CONCATENATE($B23,AU$16,"L"))+COUNTIFS(Database!$F:$I,CONCATENATE(AU$16,$B23,"L"))+COUNTIFS(Database!$F:$I,CONCATENATE($B23,AU$16,"W"))+COUNTIFS(Database!$F:$I,CONCATENATE(AU$16,$B23,"W"))</f>
        <v>1</v>
      </c>
      <c r="AV23" s="123">
        <f>COUNTIFS(Database!$F:$I,CONCATENATE($B23,AV$16,"L"))+COUNTIFS(Database!$F:$I,CONCATENATE(AV$16,$B23,"L"))+COUNTIFS(Database!$F:$I,CONCATENATE($B23,AV$16,"W"))+COUNTIFS(Database!$F:$I,CONCATENATE(AV$16,$B23,"W"))</f>
        <v>0</v>
      </c>
      <c r="AW23" s="123">
        <f>COUNTIFS(Database!$F:$I,CONCATENATE($B23,AW$16,"L"))+COUNTIFS(Database!$F:$I,CONCATENATE(AW$16,$B23,"L"))+COUNTIFS(Database!$F:$I,CONCATENATE($B23,AW$16,"W"))+COUNTIFS(Database!$F:$I,CONCATENATE(AW$16,$B23,"W"))</f>
        <v>0</v>
      </c>
      <c r="AX23" s="123">
        <f>COUNTIFS(Database!$F:$I,CONCATENATE($B23,AX$16,"L"))+COUNTIFS(Database!$F:$I,CONCATENATE(AX$16,$B23,"L"))+COUNTIFS(Database!$F:$I,CONCATENATE($B23,AX$16,"W"))+COUNTIFS(Database!$F:$I,CONCATENATE(AX$16,$B23,"W"))</f>
        <v>1</v>
      </c>
      <c r="AY23" s="123">
        <f>COUNTIFS(Database!$F:$I,CONCATENATE($B23,AY$16,"L"))+COUNTIFS(Database!$F:$I,CONCATENATE(AY$16,$B23,"L"))+COUNTIFS(Database!$F:$I,CONCATENATE($B23,AY$16,"W"))+COUNTIFS(Database!$F:$I,CONCATENATE(AY$16,$B23,"W"))</f>
        <v>2</v>
      </c>
    </row>
    <row r="24" spans="2:51" x14ac:dyDescent="0.25">
      <c r="B24" s="120" t="s">
        <v>55</v>
      </c>
      <c r="C24" s="123">
        <f>COUNTIFS(Database!$F:$I,CONCATENATE($B24,C$16,"L"))+COUNTIFS(Database!$F:$I,CONCATENATE(C$16,$B24,"L"))+COUNTIFS(Database!$F:$I,CONCATENATE($B24,C$16,"W"))+COUNTIFS(Database!$F:$I,CONCATENATE(C$16,$B24,"W"))</f>
        <v>8</v>
      </c>
      <c r="D24" s="123">
        <f>COUNTIFS(Database!$F:$I,CONCATENATE($B24,D$16,"L"))+COUNTIFS(Database!$F:$I,CONCATENATE(D$16,$B24,"L"))+COUNTIFS(Database!$F:$I,CONCATENATE($B24,D$16,"W"))+COUNTIFS(Database!$F:$I,CONCATENATE(D$16,$B24,"W"))</f>
        <v>0</v>
      </c>
      <c r="E24" s="123">
        <f>COUNTIFS(Database!$F:$I,CONCATENATE($B24,E$16,"L"))+COUNTIFS(Database!$F:$I,CONCATENATE(E$16,$B24,"L"))+COUNTIFS(Database!$F:$I,CONCATENATE($B24,E$16,"W"))+COUNTIFS(Database!$F:$I,CONCATENATE(E$16,$B24,"W"))</f>
        <v>0</v>
      </c>
      <c r="F24" s="123">
        <f>COUNTIFS(Database!$F:$I,CONCATENATE($B24,F$16,"L"))+COUNTIFS(Database!$F:$I,CONCATENATE(F$16,$B24,"L"))+COUNTIFS(Database!$F:$I,CONCATENATE($B24,F$16,"W"))+COUNTIFS(Database!$F:$I,CONCATENATE(F$16,$B24,"W"))</f>
        <v>3</v>
      </c>
      <c r="G24" s="123">
        <f>COUNTIFS(Database!$F:$I,CONCATENATE($B24,G$16,"L"))+COUNTIFS(Database!$F:$I,CONCATENATE(G$16,$B24,"L"))+COUNTIFS(Database!$F:$I,CONCATENATE($B24,G$16,"W"))+COUNTIFS(Database!$F:$I,CONCATENATE(G$16,$B24,"W"))</f>
        <v>1</v>
      </c>
      <c r="H24" s="123">
        <f>COUNTIFS(Database!$F:$I,CONCATENATE($B24,H$16,"L"))+COUNTIFS(Database!$F:$I,CONCATENATE(H$16,$B24,"L"))+COUNTIFS(Database!$F:$I,CONCATENATE($B24,H$16,"W"))+COUNTIFS(Database!$F:$I,CONCATENATE(H$16,$B24,"W"))</f>
        <v>0</v>
      </c>
      <c r="I24" s="123">
        <f>COUNTIFS(Database!$F:$I,CONCATENATE($B24,I$16,"L"))+COUNTIFS(Database!$F:$I,CONCATENATE(I$16,$B24,"L"))+COUNTIFS(Database!$F:$I,CONCATENATE($B24,I$16,"W"))+COUNTIFS(Database!$F:$I,CONCATENATE(I$16,$B24,"W"))</f>
        <v>1</v>
      </c>
      <c r="J24" s="123">
        <f>COUNTIFS(Database!$F:$I,CONCATENATE($B24,J$16,"L"))+COUNTIFS(Database!$F:$I,CONCATENATE(J$16,$B24,"L"))+COUNTIFS(Database!$F:$I,CONCATENATE($B24,J$16,"W"))+COUNTIFS(Database!$F:$I,CONCATENATE(J$16,$B24,"W"))</f>
        <v>0</v>
      </c>
      <c r="K24" s="123">
        <f>COUNTIFS(Database!$F:$I,CONCATENATE($B24,K$16,"L"))+COUNTIFS(Database!$F:$I,CONCATENATE(K$16,$B24,"L"))+COUNTIFS(Database!$F:$I,CONCATENATE($B24,K$16,"W"))+COUNTIFS(Database!$F:$I,CONCATENATE(K$16,$B24,"W"))</f>
        <v>5</v>
      </c>
      <c r="L24" s="123">
        <f>COUNTIFS(Database!$F:$I,CONCATENATE($B24,L$16,"L"))+COUNTIFS(Database!$F:$I,CONCATENATE(L$16,$B24,"L"))+COUNTIFS(Database!$F:$I,CONCATENATE($B24,L$16,"W"))+COUNTIFS(Database!$F:$I,CONCATENATE(L$16,$B24,"W"))</f>
        <v>2</v>
      </c>
      <c r="M24" s="123">
        <f>COUNTIFS(Database!$F:$I,CONCATENATE($B24,M$16,"L"))+COUNTIFS(Database!$F:$I,CONCATENATE(M$16,$B24,"L"))+COUNTIFS(Database!$F:$I,CONCATENATE($B24,M$16,"W"))+COUNTIFS(Database!$F:$I,CONCATENATE(M$16,$B24,"W"))</f>
        <v>0</v>
      </c>
      <c r="N24" s="123">
        <f>COUNTIFS(Database!$F:$I,CONCATENATE($B24,N$16,"L"))+COUNTIFS(Database!$F:$I,CONCATENATE(N$16,$B24,"L"))+COUNTIFS(Database!$F:$I,CONCATENATE($B24,N$16,"W"))+COUNTIFS(Database!$F:$I,CONCATENATE(N$16,$B24,"W"))</f>
        <v>3</v>
      </c>
      <c r="O24" s="123">
        <f>COUNTIFS(Database!$F:$I,CONCATENATE($B24,O$16,"L"))+COUNTIFS(Database!$F:$I,CONCATENATE(O$16,$B24,"L"))+COUNTIFS(Database!$F:$I,CONCATENATE($B24,O$16,"W"))+COUNTIFS(Database!$F:$I,CONCATENATE(O$16,$B24,"W"))</f>
        <v>5</v>
      </c>
      <c r="P24" s="123">
        <f>COUNTIFS(Database!$F:$I,CONCATENATE($B24,P$16,"L"))+COUNTIFS(Database!$F:$I,CONCATENATE(P$16,$B24,"L"))+COUNTIFS(Database!$F:$I,CONCATENATE($B24,P$16,"W"))+COUNTIFS(Database!$F:$I,CONCATENATE(P$16,$B24,"W"))</f>
        <v>0</v>
      </c>
      <c r="Q24" s="123">
        <f>COUNTIFS(Database!$F:$I,CONCATENATE($B24,Q$16,"L"))+COUNTIFS(Database!$F:$I,CONCATENATE(Q$16,$B24,"L"))+COUNTIFS(Database!$F:$I,CONCATENATE($B24,Q$16,"W"))+COUNTIFS(Database!$F:$I,CONCATENATE(Q$16,$B24,"W"))</f>
        <v>1</v>
      </c>
      <c r="R24" s="123">
        <f>COUNTIFS(Database!$F:$I,CONCATENATE($B24,R$16,"L"))+COUNTIFS(Database!$F:$I,CONCATENATE(R$16,$B24,"L"))+COUNTIFS(Database!$F:$I,CONCATENATE($B24,R$16,"W"))+COUNTIFS(Database!$F:$I,CONCATENATE(R$16,$B24,"W"))</f>
        <v>0</v>
      </c>
      <c r="S24" s="123">
        <f>COUNTIFS(Database!$F:$I,CONCATENATE($B24,S$16,"L"))+COUNTIFS(Database!$F:$I,CONCATENATE(S$16,$B24,"L"))+COUNTIFS(Database!$F:$I,CONCATENATE($B24,S$16,"W"))+COUNTIFS(Database!$F:$I,CONCATENATE(S$16,$B24,"W"))</f>
        <v>2</v>
      </c>
      <c r="T24" s="123">
        <f>COUNTIFS(Database!$F:$I,CONCATENATE($B24,T$16,"L"))+COUNTIFS(Database!$F:$I,CONCATENATE(T$16,$B24,"L"))+COUNTIFS(Database!$F:$I,CONCATENATE($B24,T$16,"W"))+COUNTIFS(Database!$F:$I,CONCATENATE(T$16,$B24,"W"))</f>
        <v>3</v>
      </c>
      <c r="U24" s="123">
        <f>COUNTIFS(Database!$F:$I,CONCATENATE($B24,U$16,"L"))+COUNTIFS(Database!$F:$I,CONCATENATE(U$16,$B24,"L"))+COUNTIFS(Database!$F:$I,CONCATENATE($B24,U$16,"W"))+COUNTIFS(Database!$F:$I,CONCATENATE(U$16,$B24,"W"))</f>
        <v>0</v>
      </c>
      <c r="V24" s="123">
        <f>COUNTIFS(Database!$F:$I,CONCATENATE($B24,V$16,"L"))+COUNTIFS(Database!$F:$I,CONCATENATE(V$16,$B24,"L"))+COUNTIFS(Database!$F:$I,CONCATENATE($B24,V$16,"W"))+COUNTIFS(Database!$F:$I,CONCATENATE(V$16,$B24,"W"))</f>
        <v>1</v>
      </c>
      <c r="W24" s="123">
        <f>COUNTIFS(Database!$F:$I,CONCATENATE($B24,W$16,"L"))+COUNTIFS(Database!$F:$I,CONCATENATE(W$16,$B24,"L"))+COUNTIFS(Database!$F:$I,CONCATENATE($B24,W$16,"W"))+COUNTIFS(Database!$F:$I,CONCATENATE(W$16,$B24,"W"))</f>
        <v>2</v>
      </c>
      <c r="X24" s="123">
        <f>COUNTIFS(Database!$F:$I,CONCATENATE($B24,X$16,"L"))+COUNTIFS(Database!$F:$I,CONCATENATE(X$16,$B24,"L"))+COUNTIFS(Database!$F:$I,CONCATENATE($B24,X$16,"W"))+COUNTIFS(Database!$F:$I,CONCATENATE(X$16,$B24,"W"))</f>
        <v>0</v>
      </c>
      <c r="Y24" s="123">
        <f>COUNTIFS(Database!$F:$I,CONCATENATE($B24,Y$16,"L"))+COUNTIFS(Database!$F:$I,CONCATENATE(Y$16,$B24,"L"))+COUNTIFS(Database!$F:$I,CONCATENATE($B24,Y$16,"W"))+COUNTIFS(Database!$F:$I,CONCATENATE(Y$16,$B24,"W"))</f>
        <v>0</v>
      </c>
      <c r="Z24" s="123">
        <f>COUNTIFS(Database!$F:$I,CONCATENATE($B24,Z$16,"L"))+COUNTIFS(Database!$F:$I,CONCATENATE(Z$16,$B24,"L"))+COUNTIFS(Database!$F:$I,CONCATENATE($B24,Z$16,"W"))+COUNTIFS(Database!$F:$I,CONCATENATE(Z$16,$B24,"W"))</f>
        <v>0</v>
      </c>
      <c r="AA24" s="123">
        <f>COUNTIFS(Database!$F:$I,CONCATENATE($B24,AA$16,"L"))+COUNTIFS(Database!$F:$I,CONCATENATE(AA$16,$B24,"L"))+COUNTIFS(Database!$F:$I,CONCATENATE($B24,AA$16,"W"))+COUNTIFS(Database!$F:$I,CONCATENATE(AA$16,$B24,"W"))</f>
        <v>0</v>
      </c>
      <c r="AB24" s="123">
        <f>COUNTIFS(Database!$F:$I,CONCATENATE($B24,AB$16,"L"))+COUNTIFS(Database!$F:$I,CONCATENATE(AB$16,$B24,"L"))+COUNTIFS(Database!$F:$I,CONCATENATE($B24,AB$16,"W"))+COUNTIFS(Database!$F:$I,CONCATENATE(AB$16,$B24,"W"))</f>
        <v>4</v>
      </c>
      <c r="AC24" s="123">
        <f>COUNTIFS(Database!$F:$I,CONCATENATE($B24,AC$16,"L"))+COUNTIFS(Database!$F:$I,CONCATENATE(AC$16,$B24,"L"))+COUNTIFS(Database!$F:$I,CONCATENATE($B24,AC$16,"W"))+COUNTIFS(Database!$F:$I,CONCATENATE(AC$16,$B24,"W"))</f>
        <v>2</v>
      </c>
      <c r="AD24" s="123">
        <f>COUNTIFS(Database!$F:$I,CONCATENATE($B24,AD$16,"L"))+COUNTIFS(Database!$F:$I,CONCATENATE(AD$16,$B24,"L"))+COUNTIFS(Database!$F:$I,CONCATENATE($B24,AD$16,"W"))+COUNTIFS(Database!$F:$I,CONCATENATE(AD$16,$B24,"W"))</f>
        <v>1</v>
      </c>
      <c r="AE24" s="123">
        <f>COUNTIFS(Database!$F:$I,CONCATENATE($B24,AE$16,"L"))+COUNTIFS(Database!$F:$I,CONCATENATE(AE$16,$B24,"L"))+COUNTIFS(Database!$F:$I,CONCATENATE($B24,AE$16,"W"))+COUNTIFS(Database!$F:$I,CONCATENATE(AE$16,$B24,"W"))</f>
        <v>0</v>
      </c>
      <c r="AF24" s="123">
        <f>COUNTIFS(Database!$F:$I,CONCATENATE($B24,AF$16,"L"))+COUNTIFS(Database!$F:$I,CONCATENATE(AF$16,$B24,"L"))+COUNTIFS(Database!$F:$I,CONCATENATE($B24,AF$16,"W"))+COUNTIFS(Database!$F:$I,CONCATENATE(AF$16,$B24,"W"))</f>
        <v>0</v>
      </c>
      <c r="AG24" s="123">
        <f>COUNTIFS(Database!$F:$I,CONCATENATE($B24,AG$16,"L"))+COUNTIFS(Database!$F:$I,CONCATENATE(AG$16,$B24,"L"))+COUNTIFS(Database!$F:$I,CONCATENATE($B24,AG$16,"W"))+COUNTIFS(Database!$F:$I,CONCATENATE(AG$16,$B24,"W"))</f>
        <v>0</v>
      </c>
      <c r="AH24" s="123">
        <f>COUNTIFS(Database!$F:$I,CONCATENATE($B24,AH$16,"L"))+COUNTIFS(Database!$F:$I,CONCATENATE(AH$16,$B24,"L"))+COUNTIFS(Database!$F:$I,CONCATENATE($B24,AH$16,"W"))+COUNTIFS(Database!$F:$I,CONCATENATE(AH$16,$B24,"W"))</f>
        <v>0</v>
      </c>
      <c r="AI24" s="123">
        <f>COUNTIFS(Database!$F:$I,CONCATENATE($B24,AI$16,"L"))+COUNTIFS(Database!$F:$I,CONCATENATE(AI$16,$B24,"L"))+COUNTIFS(Database!$F:$I,CONCATENATE($B24,AI$16,"W"))+COUNTIFS(Database!$F:$I,CONCATENATE(AI$16,$B24,"W"))</f>
        <v>0</v>
      </c>
      <c r="AJ24" s="123">
        <f>COUNTIFS(Database!$F:$I,CONCATENATE($B24,AJ$16,"L"))+COUNTIFS(Database!$F:$I,CONCATENATE(AJ$16,$B24,"L"))+COUNTIFS(Database!$F:$I,CONCATENATE($B24,AJ$16,"W"))+COUNTIFS(Database!$F:$I,CONCATENATE(AJ$16,$B24,"W"))</f>
        <v>0</v>
      </c>
      <c r="AK24" s="123">
        <f>COUNTIFS(Database!$F:$I,CONCATENATE($B24,AK$16,"L"))+COUNTIFS(Database!$F:$I,CONCATENATE(AK$16,$B24,"L"))+COUNTIFS(Database!$F:$I,CONCATENATE($B24,AK$16,"W"))+COUNTIFS(Database!$F:$I,CONCATENATE(AK$16,$B24,"W"))</f>
        <v>8</v>
      </c>
      <c r="AL24" s="123">
        <f>COUNTIFS(Database!$F:$I,CONCATENATE($B24,AL$16,"L"))+COUNTIFS(Database!$F:$I,CONCATENATE(AL$16,$B24,"L"))+COUNTIFS(Database!$F:$I,CONCATENATE($B24,AL$16,"W"))+COUNTIFS(Database!$F:$I,CONCATENATE(AL$16,$B24,"W"))</f>
        <v>1</v>
      </c>
      <c r="AM24" s="123">
        <f>COUNTIFS(Database!$F:$I,CONCATENATE($B24,AM$16,"L"))+COUNTIFS(Database!$F:$I,CONCATENATE(AM$16,$B24,"L"))+COUNTIFS(Database!$F:$I,CONCATENATE($B24,AM$16,"W"))+COUNTIFS(Database!$F:$I,CONCATENATE(AM$16,$B24,"W"))</f>
        <v>1</v>
      </c>
      <c r="AN24" s="123">
        <f>COUNTIFS(Database!$F:$I,CONCATENATE($B24,AN$16,"L"))+COUNTIFS(Database!$F:$I,CONCATENATE(AN$16,$B24,"L"))+COUNTIFS(Database!$F:$I,CONCATENATE($B24,AN$16,"W"))+COUNTIFS(Database!$F:$I,CONCATENATE(AN$16,$B24,"W"))</f>
        <v>0</v>
      </c>
      <c r="AO24" s="123">
        <f>COUNTIFS(Database!$F:$I,CONCATENATE($B24,AO$16,"L"))+COUNTIFS(Database!$F:$I,CONCATENATE(AO$16,$B24,"L"))+COUNTIFS(Database!$F:$I,CONCATENATE($B24,AO$16,"W"))+COUNTIFS(Database!$F:$I,CONCATENATE(AO$16,$B24,"W"))</f>
        <v>6</v>
      </c>
      <c r="AP24" s="123">
        <f>COUNTIFS(Database!$F:$I,CONCATENATE($B24,AP$16,"L"))+COUNTIFS(Database!$F:$I,CONCATENATE(AP$16,$B24,"L"))+COUNTIFS(Database!$F:$I,CONCATENATE($B24,AP$16,"W"))+COUNTIFS(Database!$F:$I,CONCATENATE(AP$16,$B24,"W"))</f>
        <v>0</v>
      </c>
      <c r="AQ24" s="123">
        <f>COUNTIFS(Database!$F:$I,CONCATENATE($B24,AQ$16,"L"))+COUNTIFS(Database!$F:$I,CONCATENATE(AQ$16,$B24,"L"))+COUNTIFS(Database!$F:$I,CONCATENATE($B24,AQ$16,"W"))+COUNTIFS(Database!$F:$I,CONCATENATE(AQ$16,$B24,"W"))</f>
        <v>1</v>
      </c>
      <c r="AR24" s="123">
        <f>COUNTIFS(Database!$F:$I,CONCATENATE($B24,AR$16,"L"))+COUNTIFS(Database!$F:$I,CONCATENATE(AR$16,$B24,"L"))+COUNTIFS(Database!$F:$I,CONCATENATE($B24,AR$16,"W"))+COUNTIFS(Database!$F:$I,CONCATENATE(AR$16,$B24,"W"))</f>
        <v>4</v>
      </c>
      <c r="AS24" s="123">
        <f>COUNTIFS(Database!$F:$I,CONCATENATE($B24,AS$16,"L"))+COUNTIFS(Database!$F:$I,CONCATENATE(AS$16,$B24,"L"))+COUNTIFS(Database!$F:$I,CONCATENATE($B24,AS$16,"W"))+COUNTIFS(Database!$F:$I,CONCATENATE(AS$16,$B24,"W"))</f>
        <v>0</v>
      </c>
      <c r="AT24" s="123">
        <f>COUNTIFS(Database!$F:$I,CONCATENATE($B24,AT$16,"L"))+COUNTIFS(Database!$F:$I,CONCATENATE(AT$16,$B24,"L"))+COUNTIFS(Database!$F:$I,CONCATENATE($B24,AT$16,"W"))+COUNTIFS(Database!$F:$I,CONCATENATE(AT$16,$B24,"W"))</f>
        <v>0</v>
      </c>
      <c r="AU24" s="123">
        <f>COUNTIFS(Database!$F:$I,CONCATENATE($B24,AU$16,"L"))+COUNTIFS(Database!$F:$I,CONCATENATE(AU$16,$B24,"L"))+COUNTIFS(Database!$F:$I,CONCATENATE($B24,AU$16,"W"))+COUNTIFS(Database!$F:$I,CONCATENATE(AU$16,$B24,"W"))</f>
        <v>3</v>
      </c>
      <c r="AV24" s="123">
        <f>COUNTIFS(Database!$F:$I,CONCATENATE($B24,AV$16,"L"))+COUNTIFS(Database!$F:$I,CONCATENATE(AV$16,$B24,"L"))+COUNTIFS(Database!$F:$I,CONCATENATE($B24,AV$16,"W"))+COUNTIFS(Database!$F:$I,CONCATENATE(AV$16,$B24,"W"))</f>
        <v>0</v>
      </c>
      <c r="AW24" s="123">
        <f>COUNTIFS(Database!$F:$I,CONCATENATE($B24,AW$16,"L"))+COUNTIFS(Database!$F:$I,CONCATENATE(AW$16,$B24,"L"))+COUNTIFS(Database!$F:$I,CONCATENATE($B24,AW$16,"W"))+COUNTIFS(Database!$F:$I,CONCATENATE(AW$16,$B24,"W"))</f>
        <v>1</v>
      </c>
      <c r="AX24" s="123">
        <f>COUNTIFS(Database!$F:$I,CONCATENATE($B24,AX$16,"L"))+COUNTIFS(Database!$F:$I,CONCATENATE(AX$16,$B24,"L"))+COUNTIFS(Database!$F:$I,CONCATENATE($B24,AX$16,"W"))+COUNTIFS(Database!$F:$I,CONCATENATE(AX$16,$B24,"W"))</f>
        <v>0</v>
      </c>
      <c r="AY24" s="123">
        <f>COUNTIFS(Database!$F:$I,CONCATENATE($B24,AY$16,"L"))+COUNTIFS(Database!$F:$I,CONCATENATE(AY$16,$B24,"L"))+COUNTIFS(Database!$F:$I,CONCATENATE($B24,AY$16,"W"))+COUNTIFS(Database!$F:$I,CONCATENATE(AY$16,$B24,"W"))</f>
        <v>2</v>
      </c>
    </row>
    <row r="25" spans="2:51" x14ac:dyDescent="0.25">
      <c r="B25" s="120" t="s">
        <v>61</v>
      </c>
      <c r="C25" s="123">
        <f>COUNTIFS(Database!$F:$I,CONCATENATE($B25,C$16,"L"))+COUNTIFS(Database!$F:$I,CONCATENATE(C$16,$B25,"L"))+COUNTIFS(Database!$F:$I,CONCATENATE($B25,C$16,"W"))+COUNTIFS(Database!$F:$I,CONCATENATE(C$16,$B25,"W"))</f>
        <v>6</v>
      </c>
      <c r="D25" s="123">
        <f>COUNTIFS(Database!$F:$I,CONCATENATE($B25,D$16,"L"))+COUNTIFS(Database!$F:$I,CONCATENATE(D$16,$B25,"L"))+COUNTIFS(Database!$F:$I,CONCATENATE($B25,D$16,"W"))+COUNTIFS(Database!$F:$I,CONCATENATE(D$16,$B25,"W"))</f>
        <v>1</v>
      </c>
      <c r="E25" s="123">
        <f>COUNTIFS(Database!$F:$I,CONCATENATE($B25,E$16,"L"))+COUNTIFS(Database!$F:$I,CONCATENATE(E$16,$B25,"L"))+COUNTIFS(Database!$F:$I,CONCATENATE($B25,E$16,"W"))+COUNTIFS(Database!$F:$I,CONCATENATE(E$16,$B25,"W"))</f>
        <v>8</v>
      </c>
      <c r="F25" s="123">
        <f>COUNTIFS(Database!$F:$I,CONCATENATE($B25,F$16,"L"))+COUNTIFS(Database!$F:$I,CONCATENATE(F$16,$B25,"L"))+COUNTIFS(Database!$F:$I,CONCATENATE($B25,F$16,"W"))+COUNTIFS(Database!$F:$I,CONCATENATE(F$16,$B25,"W"))</f>
        <v>6</v>
      </c>
      <c r="G25" s="123">
        <f>COUNTIFS(Database!$F:$I,CONCATENATE($B25,G$16,"L"))+COUNTIFS(Database!$F:$I,CONCATENATE(G$16,$B25,"L"))+COUNTIFS(Database!$F:$I,CONCATENATE($B25,G$16,"W"))+COUNTIFS(Database!$F:$I,CONCATENATE(G$16,$B25,"W"))</f>
        <v>1</v>
      </c>
      <c r="H25" s="123">
        <f>COUNTIFS(Database!$F:$I,CONCATENATE($B25,H$16,"L"))+COUNTIFS(Database!$F:$I,CONCATENATE(H$16,$B25,"L"))+COUNTIFS(Database!$F:$I,CONCATENATE($B25,H$16,"W"))+COUNTIFS(Database!$F:$I,CONCATENATE(H$16,$B25,"W"))</f>
        <v>0</v>
      </c>
      <c r="I25" s="123">
        <f>COUNTIFS(Database!$F:$I,CONCATENATE($B25,I$16,"L"))+COUNTIFS(Database!$F:$I,CONCATENATE(I$16,$B25,"L"))+COUNTIFS(Database!$F:$I,CONCATENATE($B25,I$16,"W"))+COUNTIFS(Database!$F:$I,CONCATENATE(I$16,$B25,"W"))</f>
        <v>2</v>
      </c>
      <c r="J25" s="123">
        <f>COUNTIFS(Database!$F:$I,CONCATENATE($B25,J$16,"L"))+COUNTIFS(Database!$F:$I,CONCATENATE(J$16,$B25,"L"))+COUNTIFS(Database!$F:$I,CONCATENATE($B25,J$16,"W"))+COUNTIFS(Database!$F:$I,CONCATENATE(J$16,$B25,"W"))</f>
        <v>5</v>
      </c>
      <c r="K25" s="123">
        <f>COUNTIFS(Database!$F:$I,CONCATENATE($B25,K$16,"L"))+COUNTIFS(Database!$F:$I,CONCATENATE(K$16,$B25,"L"))+COUNTIFS(Database!$F:$I,CONCATENATE($B25,K$16,"W"))+COUNTIFS(Database!$F:$I,CONCATENATE(K$16,$B25,"W"))</f>
        <v>0</v>
      </c>
      <c r="L25" s="123">
        <f>COUNTIFS(Database!$F:$I,CONCATENATE($B25,L$16,"L"))+COUNTIFS(Database!$F:$I,CONCATENATE(L$16,$B25,"L"))+COUNTIFS(Database!$F:$I,CONCATENATE($B25,L$16,"W"))+COUNTIFS(Database!$F:$I,CONCATENATE(L$16,$B25,"W"))</f>
        <v>3</v>
      </c>
      <c r="M25" s="123">
        <f>COUNTIFS(Database!$F:$I,CONCATENATE($B25,M$16,"L"))+COUNTIFS(Database!$F:$I,CONCATENATE(M$16,$B25,"L"))+COUNTIFS(Database!$F:$I,CONCATENATE($B25,M$16,"W"))+COUNTIFS(Database!$F:$I,CONCATENATE(M$16,$B25,"W"))</f>
        <v>0</v>
      </c>
      <c r="N25" s="123">
        <f>COUNTIFS(Database!$F:$I,CONCATENATE($B25,N$16,"L"))+COUNTIFS(Database!$F:$I,CONCATENATE(N$16,$B25,"L"))+COUNTIFS(Database!$F:$I,CONCATENATE($B25,N$16,"W"))+COUNTIFS(Database!$F:$I,CONCATENATE(N$16,$B25,"W"))</f>
        <v>0</v>
      </c>
      <c r="O25" s="123">
        <f>COUNTIFS(Database!$F:$I,CONCATENATE($B25,O$16,"L"))+COUNTIFS(Database!$F:$I,CONCATENATE(O$16,$B25,"L"))+COUNTIFS(Database!$F:$I,CONCATENATE($B25,O$16,"W"))+COUNTIFS(Database!$F:$I,CONCATENATE(O$16,$B25,"W"))</f>
        <v>7</v>
      </c>
      <c r="P25" s="123">
        <f>COUNTIFS(Database!$F:$I,CONCATENATE($B25,P$16,"L"))+COUNTIFS(Database!$F:$I,CONCATENATE(P$16,$B25,"L"))+COUNTIFS(Database!$F:$I,CONCATENATE($B25,P$16,"W"))+COUNTIFS(Database!$F:$I,CONCATENATE(P$16,$B25,"W"))</f>
        <v>2</v>
      </c>
      <c r="Q25" s="123">
        <f>COUNTIFS(Database!$F:$I,CONCATENATE($B25,Q$16,"L"))+COUNTIFS(Database!$F:$I,CONCATENATE(Q$16,$B25,"L"))+COUNTIFS(Database!$F:$I,CONCATENATE($B25,Q$16,"W"))+COUNTIFS(Database!$F:$I,CONCATENATE(Q$16,$B25,"W"))</f>
        <v>1</v>
      </c>
      <c r="R25" s="123">
        <f>COUNTIFS(Database!$F:$I,CONCATENATE($B25,R$16,"L"))+COUNTIFS(Database!$F:$I,CONCATENATE(R$16,$B25,"L"))+COUNTIFS(Database!$F:$I,CONCATENATE($B25,R$16,"W"))+COUNTIFS(Database!$F:$I,CONCATENATE(R$16,$B25,"W"))</f>
        <v>0</v>
      </c>
      <c r="S25" s="123">
        <f>COUNTIFS(Database!$F:$I,CONCATENATE($B25,S$16,"L"))+COUNTIFS(Database!$F:$I,CONCATENATE(S$16,$B25,"L"))+COUNTIFS(Database!$F:$I,CONCATENATE($B25,S$16,"W"))+COUNTIFS(Database!$F:$I,CONCATENATE(S$16,$B25,"W"))</f>
        <v>1</v>
      </c>
      <c r="T25" s="123">
        <f>COUNTIFS(Database!$F:$I,CONCATENATE($B25,T$16,"L"))+COUNTIFS(Database!$F:$I,CONCATENATE(T$16,$B25,"L"))+COUNTIFS(Database!$F:$I,CONCATENATE($B25,T$16,"W"))+COUNTIFS(Database!$F:$I,CONCATENATE(T$16,$B25,"W"))</f>
        <v>2</v>
      </c>
      <c r="U25" s="123">
        <f>COUNTIFS(Database!$F:$I,CONCATENATE($B25,U$16,"L"))+COUNTIFS(Database!$F:$I,CONCATENATE(U$16,$B25,"L"))+COUNTIFS(Database!$F:$I,CONCATENATE($B25,U$16,"W"))+COUNTIFS(Database!$F:$I,CONCATENATE(U$16,$B25,"W"))</f>
        <v>0</v>
      </c>
      <c r="V25" s="123">
        <f>COUNTIFS(Database!$F:$I,CONCATENATE($B25,V$16,"L"))+COUNTIFS(Database!$F:$I,CONCATENATE(V$16,$B25,"L"))+COUNTIFS(Database!$F:$I,CONCATENATE($B25,V$16,"W"))+COUNTIFS(Database!$F:$I,CONCATENATE(V$16,$B25,"W"))</f>
        <v>0</v>
      </c>
      <c r="W25" s="123">
        <f>COUNTIFS(Database!$F:$I,CONCATENATE($B25,W$16,"L"))+COUNTIFS(Database!$F:$I,CONCATENATE(W$16,$B25,"L"))+COUNTIFS(Database!$F:$I,CONCATENATE($B25,W$16,"W"))+COUNTIFS(Database!$F:$I,CONCATENATE(W$16,$B25,"W"))</f>
        <v>6</v>
      </c>
      <c r="X25" s="123">
        <f>COUNTIFS(Database!$F:$I,CONCATENATE($B25,X$16,"L"))+COUNTIFS(Database!$F:$I,CONCATENATE(X$16,$B25,"L"))+COUNTIFS(Database!$F:$I,CONCATENATE($B25,X$16,"W"))+COUNTIFS(Database!$F:$I,CONCATENATE(X$16,$B25,"W"))</f>
        <v>0</v>
      </c>
      <c r="Y25" s="123">
        <f>COUNTIFS(Database!$F:$I,CONCATENATE($B25,Y$16,"L"))+COUNTIFS(Database!$F:$I,CONCATENATE(Y$16,$B25,"L"))+COUNTIFS(Database!$F:$I,CONCATENATE($B25,Y$16,"W"))+COUNTIFS(Database!$F:$I,CONCATENATE(Y$16,$B25,"W"))</f>
        <v>2</v>
      </c>
      <c r="Z25" s="123">
        <f>COUNTIFS(Database!$F:$I,CONCATENATE($B25,Z$16,"L"))+COUNTIFS(Database!$F:$I,CONCATENATE(Z$16,$B25,"L"))+COUNTIFS(Database!$F:$I,CONCATENATE($B25,Z$16,"W"))+COUNTIFS(Database!$F:$I,CONCATENATE(Z$16,$B25,"W"))</f>
        <v>0</v>
      </c>
      <c r="AA25" s="123">
        <f>COUNTIFS(Database!$F:$I,CONCATENATE($B25,AA$16,"L"))+COUNTIFS(Database!$F:$I,CONCATENATE(AA$16,$B25,"L"))+COUNTIFS(Database!$F:$I,CONCATENATE($B25,AA$16,"W"))+COUNTIFS(Database!$F:$I,CONCATENATE(AA$16,$B25,"W"))</f>
        <v>0</v>
      </c>
      <c r="AB25" s="123">
        <f>COUNTIFS(Database!$F:$I,CONCATENATE($B25,AB$16,"L"))+COUNTIFS(Database!$F:$I,CONCATENATE(AB$16,$B25,"L"))+COUNTIFS(Database!$F:$I,CONCATENATE($B25,AB$16,"W"))+COUNTIFS(Database!$F:$I,CONCATENATE(AB$16,$B25,"W"))</f>
        <v>8</v>
      </c>
      <c r="AC25" s="123">
        <f>COUNTIFS(Database!$F:$I,CONCATENATE($B25,AC$16,"L"))+COUNTIFS(Database!$F:$I,CONCATENATE(AC$16,$B25,"L"))+COUNTIFS(Database!$F:$I,CONCATENATE($B25,AC$16,"W"))+COUNTIFS(Database!$F:$I,CONCATENATE(AC$16,$B25,"W"))</f>
        <v>7</v>
      </c>
      <c r="AD25" s="123">
        <f>COUNTIFS(Database!$F:$I,CONCATENATE($B25,AD$16,"L"))+COUNTIFS(Database!$F:$I,CONCATENATE(AD$16,$B25,"L"))+COUNTIFS(Database!$F:$I,CONCATENATE($B25,AD$16,"W"))+COUNTIFS(Database!$F:$I,CONCATENATE(AD$16,$B25,"W"))</f>
        <v>0</v>
      </c>
      <c r="AE25" s="123">
        <f>COUNTIFS(Database!$F:$I,CONCATENATE($B25,AE$16,"L"))+COUNTIFS(Database!$F:$I,CONCATENATE(AE$16,$B25,"L"))+COUNTIFS(Database!$F:$I,CONCATENATE($B25,AE$16,"W"))+COUNTIFS(Database!$F:$I,CONCATENATE(AE$16,$B25,"W"))</f>
        <v>0</v>
      </c>
      <c r="AF25" s="123">
        <f>COUNTIFS(Database!$F:$I,CONCATENATE($B25,AF$16,"L"))+COUNTIFS(Database!$F:$I,CONCATENATE(AF$16,$B25,"L"))+COUNTIFS(Database!$F:$I,CONCATENATE($B25,AF$16,"W"))+COUNTIFS(Database!$F:$I,CONCATENATE(AF$16,$B25,"W"))</f>
        <v>1</v>
      </c>
      <c r="AG25" s="123">
        <f>COUNTIFS(Database!$F:$I,CONCATENATE($B25,AG$16,"L"))+COUNTIFS(Database!$F:$I,CONCATENATE(AG$16,$B25,"L"))+COUNTIFS(Database!$F:$I,CONCATENATE($B25,AG$16,"W"))+COUNTIFS(Database!$F:$I,CONCATENATE(AG$16,$B25,"W"))</f>
        <v>1</v>
      </c>
      <c r="AH25" s="123">
        <f>COUNTIFS(Database!$F:$I,CONCATENATE($B25,AH$16,"L"))+COUNTIFS(Database!$F:$I,CONCATENATE(AH$16,$B25,"L"))+COUNTIFS(Database!$F:$I,CONCATENATE($B25,AH$16,"W"))+COUNTIFS(Database!$F:$I,CONCATENATE(AH$16,$B25,"W"))</f>
        <v>0</v>
      </c>
      <c r="AI25" s="123">
        <f>COUNTIFS(Database!$F:$I,CONCATENATE($B25,AI$16,"L"))+COUNTIFS(Database!$F:$I,CONCATENATE(AI$16,$B25,"L"))+COUNTIFS(Database!$F:$I,CONCATENATE($B25,AI$16,"W"))+COUNTIFS(Database!$F:$I,CONCATENATE(AI$16,$B25,"W"))</f>
        <v>2</v>
      </c>
      <c r="AJ25" s="123">
        <f>COUNTIFS(Database!$F:$I,CONCATENATE($B25,AJ$16,"L"))+COUNTIFS(Database!$F:$I,CONCATENATE(AJ$16,$B25,"L"))+COUNTIFS(Database!$F:$I,CONCATENATE($B25,AJ$16,"W"))+COUNTIFS(Database!$F:$I,CONCATENATE(AJ$16,$B25,"W"))</f>
        <v>3</v>
      </c>
      <c r="AK25" s="123">
        <f>COUNTIFS(Database!$F:$I,CONCATENATE($B25,AK$16,"L"))+COUNTIFS(Database!$F:$I,CONCATENATE(AK$16,$B25,"L"))+COUNTIFS(Database!$F:$I,CONCATENATE($B25,AK$16,"W"))+COUNTIFS(Database!$F:$I,CONCATENATE(AK$16,$B25,"W"))</f>
        <v>10</v>
      </c>
      <c r="AL25" s="123">
        <f>COUNTIFS(Database!$F:$I,CONCATENATE($B25,AL$16,"L"))+COUNTIFS(Database!$F:$I,CONCATENATE(AL$16,$B25,"L"))+COUNTIFS(Database!$F:$I,CONCATENATE($B25,AL$16,"W"))+COUNTIFS(Database!$F:$I,CONCATENATE(AL$16,$B25,"W"))</f>
        <v>3</v>
      </c>
      <c r="AM25" s="123">
        <f>COUNTIFS(Database!$F:$I,CONCATENATE($B25,AM$16,"L"))+COUNTIFS(Database!$F:$I,CONCATENATE(AM$16,$B25,"L"))+COUNTIFS(Database!$F:$I,CONCATENATE($B25,AM$16,"W"))+COUNTIFS(Database!$F:$I,CONCATENATE(AM$16,$B25,"W"))</f>
        <v>1</v>
      </c>
      <c r="AN25" s="123">
        <f>COUNTIFS(Database!$F:$I,CONCATENATE($B25,AN$16,"L"))+COUNTIFS(Database!$F:$I,CONCATENATE(AN$16,$B25,"L"))+COUNTIFS(Database!$F:$I,CONCATENATE($B25,AN$16,"W"))+COUNTIFS(Database!$F:$I,CONCATENATE(AN$16,$B25,"W"))</f>
        <v>0</v>
      </c>
      <c r="AO25" s="123">
        <f>COUNTIFS(Database!$F:$I,CONCATENATE($B25,AO$16,"L"))+COUNTIFS(Database!$F:$I,CONCATENATE(AO$16,$B25,"L"))+COUNTIFS(Database!$F:$I,CONCATENATE($B25,AO$16,"W"))+COUNTIFS(Database!$F:$I,CONCATENATE(AO$16,$B25,"W"))</f>
        <v>5</v>
      </c>
      <c r="AP25" s="123">
        <f>COUNTIFS(Database!$F:$I,CONCATENATE($B25,AP$16,"L"))+COUNTIFS(Database!$F:$I,CONCATENATE(AP$16,$B25,"L"))+COUNTIFS(Database!$F:$I,CONCATENATE($B25,AP$16,"W"))+COUNTIFS(Database!$F:$I,CONCATENATE(AP$16,$B25,"W"))</f>
        <v>0</v>
      </c>
      <c r="AQ25" s="123">
        <f>COUNTIFS(Database!$F:$I,CONCATENATE($B25,AQ$16,"L"))+COUNTIFS(Database!$F:$I,CONCATENATE(AQ$16,$B25,"L"))+COUNTIFS(Database!$F:$I,CONCATENATE($B25,AQ$16,"W"))+COUNTIFS(Database!$F:$I,CONCATENATE(AQ$16,$B25,"W"))</f>
        <v>2</v>
      </c>
      <c r="AR25" s="123">
        <f>COUNTIFS(Database!$F:$I,CONCATENATE($B25,AR$16,"L"))+COUNTIFS(Database!$F:$I,CONCATENATE(AR$16,$B25,"L"))+COUNTIFS(Database!$F:$I,CONCATENATE($B25,AR$16,"W"))+COUNTIFS(Database!$F:$I,CONCATENATE(AR$16,$B25,"W"))</f>
        <v>6</v>
      </c>
      <c r="AS25" s="123">
        <f>COUNTIFS(Database!$F:$I,CONCATENATE($B25,AS$16,"L"))+COUNTIFS(Database!$F:$I,CONCATENATE(AS$16,$B25,"L"))+COUNTIFS(Database!$F:$I,CONCATENATE($B25,AS$16,"W"))+COUNTIFS(Database!$F:$I,CONCATENATE(AS$16,$B25,"W"))</f>
        <v>0</v>
      </c>
      <c r="AT25" s="123">
        <f>COUNTIFS(Database!$F:$I,CONCATENATE($B25,AT$16,"L"))+COUNTIFS(Database!$F:$I,CONCATENATE(AT$16,$B25,"L"))+COUNTIFS(Database!$F:$I,CONCATENATE($B25,AT$16,"W"))+COUNTIFS(Database!$F:$I,CONCATENATE(AT$16,$B25,"W"))</f>
        <v>0</v>
      </c>
      <c r="AU25" s="123">
        <f>COUNTIFS(Database!$F:$I,CONCATENATE($B25,AU$16,"L"))+COUNTIFS(Database!$F:$I,CONCATENATE(AU$16,$B25,"L"))+COUNTIFS(Database!$F:$I,CONCATENATE($B25,AU$16,"W"))+COUNTIFS(Database!$F:$I,CONCATENATE(AU$16,$B25,"W"))</f>
        <v>7</v>
      </c>
      <c r="AV25" s="123">
        <f>COUNTIFS(Database!$F:$I,CONCATENATE($B25,AV$16,"L"))+COUNTIFS(Database!$F:$I,CONCATENATE(AV$16,$B25,"L"))+COUNTIFS(Database!$F:$I,CONCATENATE($B25,AV$16,"W"))+COUNTIFS(Database!$F:$I,CONCATENATE(AV$16,$B25,"W"))</f>
        <v>1</v>
      </c>
      <c r="AW25" s="123">
        <f>COUNTIFS(Database!$F:$I,CONCATENATE($B25,AW$16,"L"))+COUNTIFS(Database!$F:$I,CONCATENATE(AW$16,$B25,"L"))+COUNTIFS(Database!$F:$I,CONCATENATE($B25,AW$16,"W"))+COUNTIFS(Database!$F:$I,CONCATENATE(AW$16,$B25,"W"))</f>
        <v>9</v>
      </c>
      <c r="AX25" s="123">
        <f>COUNTIFS(Database!$F:$I,CONCATENATE($B25,AX$16,"L"))+COUNTIFS(Database!$F:$I,CONCATENATE(AX$16,$B25,"L"))+COUNTIFS(Database!$F:$I,CONCATENATE($B25,AX$16,"W"))+COUNTIFS(Database!$F:$I,CONCATENATE(AX$16,$B25,"W"))</f>
        <v>1</v>
      </c>
      <c r="AY25" s="123">
        <f>COUNTIFS(Database!$F:$I,CONCATENATE($B25,AY$16,"L"))+COUNTIFS(Database!$F:$I,CONCATENATE(AY$16,$B25,"L"))+COUNTIFS(Database!$F:$I,CONCATENATE($B25,AY$16,"W"))+COUNTIFS(Database!$F:$I,CONCATENATE(AY$16,$B25,"W"))</f>
        <v>5</v>
      </c>
    </row>
    <row r="26" spans="2:51" x14ac:dyDescent="0.25">
      <c r="B26" s="120" t="s">
        <v>52</v>
      </c>
      <c r="C26" s="123">
        <f>COUNTIFS(Database!$F:$I,CONCATENATE($B26,C$16,"L"))+COUNTIFS(Database!$F:$I,CONCATENATE(C$16,$B26,"L"))+COUNTIFS(Database!$F:$I,CONCATENATE($B26,C$16,"W"))+COUNTIFS(Database!$F:$I,CONCATENATE(C$16,$B26,"W"))</f>
        <v>3</v>
      </c>
      <c r="D26" s="123">
        <f>COUNTIFS(Database!$F:$I,CONCATENATE($B26,D$16,"L"))+COUNTIFS(Database!$F:$I,CONCATENATE(D$16,$B26,"L"))+COUNTIFS(Database!$F:$I,CONCATENATE($B26,D$16,"W"))+COUNTIFS(Database!$F:$I,CONCATENATE(D$16,$B26,"W"))</f>
        <v>0</v>
      </c>
      <c r="E26" s="123">
        <f>COUNTIFS(Database!$F:$I,CONCATENATE($B26,E$16,"L"))+COUNTIFS(Database!$F:$I,CONCATENATE(E$16,$B26,"L"))+COUNTIFS(Database!$F:$I,CONCATENATE($B26,E$16,"W"))+COUNTIFS(Database!$F:$I,CONCATENATE(E$16,$B26,"W"))</f>
        <v>2</v>
      </c>
      <c r="F26" s="123">
        <f>COUNTIFS(Database!$F:$I,CONCATENATE($B26,F$16,"L"))+COUNTIFS(Database!$F:$I,CONCATENATE(F$16,$B26,"L"))+COUNTIFS(Database!$F:$I,CONCATENATE($B26,F$16,"W"))+COUNTIFS(Database!$F:$I,CONCATENATE(F$16,$B26,"W"))</f>
        <v>1</v>
      </c>
      <c r="G26" s="123">
        <f>COUNTIFS(Database!$F:$I,CONCATENATE($B26,G$16,"L"))+COUNTIFS(Database!$F:$I,CONCATENATE(G$16,$B26,"L"))+COUNTIFS(Database!$F:$I,CONCATENATE($B26,G$16,"W"))+COUNTIFS(Database!$F:$I,CONCATENATE(G$16,$B26,"W"))</f>
        <v>0</v>
      </c>
      <c r="H26" s="123">
        <f>COUNTIFS(Database!$F:$I,CONCATENATE($B26,H$16,"L"))+COUNTIFS(Database!$F:$I,CONCATENATE(H$16,$B26,"L"))+COUNTIFS(Database!$F:$I,CONCATENATE($B26,H$16,"W"))+COUNTIFS(Database!$F:$I,CONCATENATE(H$16,$B26,"W"))</f>
        <v>0</v>
      </c>
      <c r="I26" s="123">
        <f>COUNTIFS(Database!$F:$I,CONCATENATE($B26,I$16,"L"))+COUNTIFS(Database!$F:$I,CONCATENATE(I$16,$B26,"L"))+COUNTIFS(Database!$F:$I,CONCATENATE($B26,I$16,"W"))+COUNTIFS(Database!$F:$I,CONCATENATE(I$16,$B26,"W"))</f>
        <v>0</v>
      </c>
      <c r="J26" s="123">
        <f>COUNTIFS(Database!$F:$I,CONCATENATE($B26,J$16,"L"))+COUNTIFS(Database!$F:$I,CONCATENATE(J$16,$B26,"L"))+COUNTIFS(Database!$F:$I,CONCATENATE($B26,J$16,"W"))+COUNTIFS(Database!$F:$I,CONCATENATE(J$16,$B26,"W"))</f>
        <v>2</v>
      </c>
      <c r="K26" s="123">
        <f>COUNTIFS(Database!$F:$I,CONCATENATE($B26,K$16,"L"))+COUNTIFS(Database!$F:$I,CONCATENATE(K$16,$B26,"L"))+COUNTIFS(Database!$F:$I,CONCATENATE($B26,K$16,"W"))+COUNTIFS(Database!$F:$I,CONCATENATE(K$16,$B26,"W"))</f>
        <v>3</v>
      </c>
      <c r="L26" s="123">
        <f>COUNTIFS(Database!$F:$I,CONCATENATE($B26,L$16,"L"))+COUNTIFS(Database!$F:$I,CONCATENATE(L$16,$B26,"L"))+COUNTIFS(Database!$F:$I,CONCATENATE($B26,L$16,"W"))+COUNTIFS(Database!$F:$I,CONCATENATE(L$16,$B26,"W"))</f>
        <v>0</v>
      </c>
      <c r="M26" s="123">
        <f>COUNTIFS(Database!$F:$I,CONCATENATE($B26,M$16,"L"))+COUNTIFS(Database!$F:$I,CONCATENATE(M$16,$B26,"L"))+COUNTIFS(Database!$F:$I,CONCATENATE($B26,M$16,"W"))+COUNTIFS(Database!$F:$I,CONCATENATE(M$16,$B26,"W"))</f>
        <v>0</v>
      </c>
      <c r="N26" s="123">
        <f>COUNTIFS(Database!$F:$I,CONCATENATE($B26,N$16,"L"))+COUNTIFS(Database!$F:$I,CONCATENATE(N$16,$B26,"L"))+COUNTIFS(Database!$F:$I,CONCATENATE($B26,N$16,"W"))+COUNTIFS(Database!$F:$I,CONCATENATE(N$16,$B26,"W"))</f>
        <v>2</v>
      </c>
      <c r="O26" s="123">
        <f>COUNTIFS(Database!$F:$I,CONCATENATE($B26,O$16,"L"))+COUNTIFS(Database!$F:$I,CONCATENATE(O$16,$B26,"L"))+COUNTIFS(Database!$F:$I,CONCATENATE($B26,O$16,"W"))+COUNTIFS(Database!$F:$I,CONCATENATE(O$16,$B26,"W"))</f>
        <v>3</v>
      </c>
      <c r="P26" s="123">
        <f>COUNTIFS(Database!$F:$I,CONCATENATE($B26,P$16,"L"))+COUNTIFS(Database!$F:$I,CONCATENATE(P$16,$B26,"L"))+COUNTIFS(Database!$F:$I,CONCATENATE($B26,P$16,"W"))+COUNTIFS(Database!$F:$I,CONCATENATE(P$16,$B26,"W"))</f>
        <v>1</v>
      </c>
      <c r="Q26" s="123">
        <f>COUNTIFS(Database!$F:$I,CONCATENATE($B26,Q$16,"L"))+COUNTIFS(Database!$F:$I,CONCATENATE(Q$16,$B26,"L"))+COUNTIFS(Database!$F:$I,CONCATENATE($B26,Q$16,"W"))+COUNTIFS(Database!$F:$I,CONCATENATE(Q$16,$B26,"W"))</f>
        <v>0</v>
      </c>
      <c r="R26" s="123">
        <f>COUNTIFS(Database!$F:$I,CONCATENATE($B26,R$16,"L"))+COUNTIFS(Database!$F:$I,CONCATENATE(R$16,$B26,"L"))+COUNTIFS(Database!$F:$I,CONCATENATE($B26,R$16,"W"))+COUNTIFS(Database!$F:$I,CONCATENATE(R$16,$B26,"W"))</f>
        <v>0</v>
      </c>
      <c r="S26" s="123">
        <f>COUNTIFS(Database!$F:$I,CONCATENATE($B26,S$16,"L"))+COUNTIFS(Database!$F:$I,CONCATENATE(S$16,$B26,"L"))+COUNTIFS(Database!$F:$I,CONCATENATE($B26,S$16,"W"))+COUNTIFS(Database!$F:$I,CONCATENATE(S$16,$B26,"W"))</f>
        <v>1</v>
      </c>
      <c r="T26" s="123">
        <f>COUNTIFS(Database!$F:$I,CONCATENATE($B26,T$16,"L"))+COUNTIFS(Database!$F:$I,CONCATENATE(T$16,$B26,"L"))+COUNTIFS(Database!$F:$I,CONCATENATE($B26,T$16,"W"))+COUNTIFS(Database!$F:$I,CONCATENATE(T$16,$B26,"W"))</f>
        <v>0</v>
      </c>
      <c r="U26" s="123">
        <f>COUNTIFS(Database!$F:$I,CONCATENATE($B26,U$16,"L"))+COUNTIFS(Database!$F:$I,CONCATENATE(U$16,$B26,"L"))+COUNTIFS(Database!$F:$I,CONCATENATE($B26,U$16,"W"))+COUNTIFS(Database!$F:$I,CONCATENATE(U$16,$B26,"W"))</f>
        <v>0</v>
      </c>
      <c r="V26" s="123">
        <f>COUNTIFS(Database!$F:$I,CONCATENATE($B26,V$16,"L"))+COUNTIFS(Database!$F:$I,CONCATENATE(V$16,$B26,"L"))+COUNTIFS(Database!$F:$I,CONCATENATE($B26,V$16,"W"))+COUNTIFS(Database!$F:$I,CONCATENATE(V$16,$B26,"W"))</f>
        <v>0</v>
      </c>
      <c r="W26" s="123">
        <f>COUNTIFS(Database!$F:$I,CONCATENATE($B26,W$16,"L"))+COUNTIFS(Database!$F:$I,CONCATENATE(W$16,$B26,"L"))+COUNTIFS(Database!$F:$I,CONCATENATE($B26,W$16,"W"))+COUNTIFS(Database!$F:$I,CONCATENATE(W$16,$B26,"W"))</f>
        <v>3</v>
      </c>
      <c r="X26" s="123">
        <f>COUNTIFS(Database!$F:$I,CONCATENATE($B26,X$16,"L"))+COUNTIFS(Database!$F:$I,CONCATENATE(X$16,$B26,"L"))+COUNTIFS(Database!$F:$I,CONCATENATE($B26,X$16,"W"))+COUNTIFS(Database!$F:$I,CONCATENATE(X$16,$B26,"W"))</f>
        <v>0</v>
      </c>
      <c r="Y26" s="123">
        <f>COUNTIFS(Database!$F:$I,CONCATENATE($B26,Y$16,"L"))+COUNTIFS(Database!$F:$I,CONCATENATE(Y$16,$B26,"L"))+COUNTIFS(Database!$F:$I,CONCATENATE($B26,Y$16,"W"))+COUNTIFS(Database!$F:$I,CONCATENATE(Y$16,$B26,"W"))</f>
        <v>1</v>
      </c>
      <c r="Z26" s="123">
        <f>COUNTIFS(Database!$F:$I,CONCATENATE($B26,Z$16,"L"))+COUNTIFS(Database!$F:$I,CONCATENATE(Z$16,$B26,"L"))+COUNTIFS(Database!$F:$I,CONCATENATE($B26,Z$16,"W"))+COUNTIFS(Database!$F:$I,CONCATENATE(Z$16,$B26,"W"))</f>
        <v>0</v>
      </c>
      <c r="AA26" s="123">
        <f>COUNTIFS(Database!$F:$I,CONCATENATE($B26,AA$16,"L"))+COUNTIFS(Database!$F:$I,CONCATENATE(AA$16,$B26,"L"))+COUNTIFS(Database!$F:$I,CONCATENATE($B26,AA$16,"W"))+COUNTIFS(Database!$F:$I,CONCATENATE(AA$16,$B26,"W"))</f>
        <v>1</v>
      </c>
      <c r="AB26" s="123">
        <f>COUNTIFS(Database!$F:$I,CONCATENATE($B26,AB$16,"L"))+COUNTIFS(Database!$F:$I,CONCATENATE(AB$16,$B26,"L"))+COUNTIFS(Database!$F:$I,CONCATENATE($B26,AB$16,"W"))+COUNTIFS(Database!$F:$I,CONCATENATE(AB$16,$B26,"W"))</f>
        <v>3</v>
      </c>
      <c r="AC26" s="123">
        <f>COUNTIFS(Database!$F:$I,CONCATENATE($B26,AC$16,"L"))+COUNTIFS(Database!$F:$I,CONCATENATE(AC$16,$B26,"L"))+COUNTIFS(Database!$F:$I,CONCATENATE($B26,AC$16,"W"))+COUNTIFS(Database!$F:$I,CONCATENATE(AC$16,$B26,"W"))</f>
        <v>1</v>
      </c>
      <c r="AD26" s="123">
        <f>COUNTIFS(Database!$F:$I,CONCATENATE($B26,AD$16,"L"))+COUNTIFS(Database!$F:$I,CONCATENATE(AD$16,$B26,"L"))+COUNTIFS(Database!$F:$I,CONCATENATE($B26,AD$16,"W"))+COUNTIFS(Database!$F:$I,CONCATENATE(AD$16,$B26,"W"))</f>
        <v>0</v>
      </c>
      <c r="AE26" s="123">
        <f>COUNTIFS(Database!$F:$I,CONCATENATE($B26,AE$16,"L"))+COUNTIFS(Database!$F:$I,CONCATENATE(AE$16,$B26,"L"))+COUNTIFS(Database!$F:$I,CONCATENATE($B26,AE$16,"W"))+COUNTIFS(Database!$F:$I,CONCATENATE(AE$16,$B26,"W"))</f>
        <v>0</v>
      </c>
      <c r="AF26" s="123">
        <f>COUNTIFS(Database!$F:$I,CONCATENATE($B26,AF$16,"L"))+COUNTIFS(Database!$F:$I,CONCATENATE(AF$16,$B26,"L"))+COUNTIFS(Database!$F:$I,CONCATENATE($B26,AF$16,"W"))+COUNTIFS(Database!$F:$I,CONCATENATE(AF$16,$B26,"W"))</f>
        <v>0</v>
      </c>
      <c r="AG26" s="123">
        <f>COUNTIFS(Database!$F:$I,CONCATENATE($B26,AG$16,"L"))+COUNTIFS(Database!$F:$I,CONCATENATE(AG$16,$B26,"L"))+COUNTIFS(Database!$F:$I,CONCATENATE($B26,AG$16,"W"))+COUNTIFS(Database!$F:$I,CONCATENATE(AG$16,$B26,"W"))</f>
        <v>0</v>
      </c>
      <c r="AH26" s="123">
        <f>COUNTIFS(Database!$F:$I,CONCATENATE($B26,AH$16,"L"))+COUNTIFS(Database!$F:$I,CONCATENATE(AH$16,$B26,"L"))+COUNTIFS(Database!$F:$I,CONCATENATE($B26,AH$16,"W"))+COUNTIFS(Database!$F:$I,CONCATENATE(AH$16,$B26,"W"))</f>
        <v>0</v>
      </c>
      <c r="AI26" s="123">
        <f>COUNTIFS(Database!$F:$I,CONCATENATE($B26,AI$16,"L"))+COUNTIFS(Database!$F:$I,CONCATENATE(AI$16,$B26,"L"))+COUNTIFS(Database!$F:$I,CONCATENATE($B26,AI$16,"W"))+COUNTIFS(Database!$F:$I,CONCATENATE(AI$16,$B26,"W"))</f>
        <v>0</v>
      </c>
      <c r="AJ26" s="123">
        <f>COUNTIFS(Database!$F:$I,CONCATENATE($B26,AJ$16,"L"))+COUNTIFS(Database!$F:$I,CONCATENATE(AJ$16,$B26,"L"))+COUNTIFS(Database!$F:$I,CONCATENATE($B26,AJ$16,"W"))+COUNTIFS(Database!$F:$I,CONCATENATE(AJ$16,$B26,"W"))</f>
        <v>1</v>
      </c>
      <c r="AK26" s="123">
        <f>COUNTIFS(Database!$F:$I,CONCATENATE($B26,AK$16,"L"))+COUNTIFS(Database!$F:$I,CONCATENATE(AK$16,$B26,"L"))+COUNTIFS(Database!$F:$I,CONCATENATE($B26,AK$16,"W"))+COUNTIFS(Database!$F:$I,CONCATENATE(AK$16,$B26,"W"))</f>
        <v>4</v>
      </c>
      <c r="AL26" s="123">
        <f>COUNTIFS(Database!$F:$I,CONCATENATE($B26,AL$16,"L"))+COUNTIFS(Database!$F:$I,CONCATENATE(AL$16,$B26,"L"))+COUNTIFS(Database!$F:$I,CONCATENATE($B26,AL$16,"W"))+COUNTIFS(Database!$F:$I,CONCATENATE(AL$16,$B26,"W"))</f>
        <v>0</v>
      </c>
      <c r="AM26" s="123">
        <f>COUNTIFS(Database!$F:$I,CONCATENATE($B26,AM$16,"L"))+COUNTIFS(Database!$F:$I,CONCATENATE(AM$16,$B26,"L"))+COUNTIFS(Database!$F:$I,CONCATENATE($B26,AM$16,"W"))+COUNTIFS(Database!$F:$I,CONCATENATE(AM$16,$B26,"W"))</f>
        <v>0</v>
      </c>
      <c r="AN26" s="123">
        <f>COUNTIFS(Database!$F:$I,CONCATENATE($B26,AN$16,"L"))+COUNTIFS(Database!$F:$I,CONCATENATE(AN$16,$B26,"L"))+COUNTIFS(Database!$F:$I,CONCATENATE($B26,AN$16,"W"))+COUNTIFS(Database!$F:$I,CONCATENATE(AN$16,$B26,"W"))</f>
        <v>0</v>
      </c>
      <c r="AO26" s="123">
        <f>COUNTIFS(Database!$F:$I,CONCATENATE($B26,AO$16,"L"))+COUNTIFS(Database!$F:$I,CONCATENATE(AO$16,$B26,"L"))+COUNTIFS(Database!$F:$I,CONCATENATE($B26,AO$16,"W"))+COUNTIFS(Database!$F:$I,CONCATENATE(AO$16,$B26,"W"))</f>
        <v>0</v>
      </c>
      <c r="AP26" s="123">
        <f>COUNTIFS(Database!$F:$I,CONCATENATE($B26,AP$16,"L"))+COUNTIFS(Database!$F:$I,CONCATENATE(AP$16,$B26,"L"))+COUNTIFS(Database!$F:$I,CONCATENATE($B26,AP$16,"W"))+COUNTIFS(Database!$F:$I,CONCATENATE(AP$16,$B26,"W"))</f>
        <v>0</v>
      </c>
      <c r="AQ26" s="123">
        <f>COUNTIFS(Database!$F:$I,CONCATENATE($B26,AQ$16,"L"))+COUNTIFS(Database!$F:$I,CONCATENATE(AQ$16,$B26,"L"))+COUNTIFS(Database!$F:$I,CONCATENATE($B26,AQ$16,"W"))+COUNTIFS(Database!$F:$I,CONCATENATE(AQ$16,$B26,"W"))</f>
        <v>0</v>
      </c>
      <c r="AR26" s="123">
        <f>COUNTIFS(Database!$F:$I,CONCATENATE($B26,AR$16,"L"))+COUNTIFS(Database!$F:$I,CONCATENATE(AR$16,$B26,"L"))+COUNTIFS(Database!$F:$I,CONCATENATE($B26,AR$16,"W"))+COUNTIFS(Database!$F:$I,CONCATENATE(AR$16,$B26,"W"))</f>
        <v>4</v>
      </c>
      <c r="AS26" s="123">
        <f>COUNTIFS(Database!$F:$I,CONCATENATE($B26,AS$16,"L"))+COUNTIFS(Database!$F:$I,CONCATENATE(AS$16,$B26,"L"))+COUNTIFS(Database!$F:$I,CONCATENATE($B26,AS$16,"W"))+COUNTIFS(Database!$F:$I,CONCATENATE(AS$16,$B26,"W"))</f>
        <v>0</v>
      </c>
      <c r="AT26" s="123">
        <f>COUNTIFS(Database!$F:$I,CONCATENATE($B26,AT$16,"L"))+COUNTIFS(Database!$F:$I,CONCATENATE(AT$16,$B26,"L"))+COUNTIFS(Database!$F:$I,CONCATENATE($B26,AT$16,"W"))+COUNTIFS(Database!$F:$I,CONCATENATE(AT$16,$B26,"W"))</f>
        <v>0</v>
      </c>
      <c r="AU26" s="123">
        <f>COUNTIFS(Database!$F:$I,CONCATENATE($B26,AU$16,"L"))+COUNTIFS(Database!$F:$I,CONCATENATE(AU$16,$B26,"L"))+COUNTIFS(Database!$F:$I,CONCATENATE($B26,AU$16,"W"))+COUNTIFS(Database!$F:$I,CONCATENATE(AU$16,$B26,"W"))</f>
        <v>0</v>
      </c>
      <c r="AV26" s="123">
        <f>COUNTIFS(Database!$F:$I,CONCATENATE($B26,AV$16,"L"))+COUNTIFS(Database!$F:$I,CONCATENATE(AV$16,$B26,"L"))+COUNTIFS(Database!$F:$I,CONCATENATE($B26,AV$16,"W"))+COUNTIFS(Database!$F:$I,CONCATENATE(AV$16,$B26,"W"))</f>
        <v>0</v>
      </c>
      <c r="AW26" s="123">
        <f>COUNTIFS(Database!$F:$I,CONCATENATE($B26,AW$16,"L"))+COUNTIFS(Database!$F:$I,CONCATENATE(AW$16,$B26,"L"))+COUNTIFS(Database!$F:$I,CONCATENATE($B26,AW$16,"W"))+COUNTIFS(Database!$F:$I,CONCATENATE(AW$16,$B26,"W"))</f>
        <v>1</v>
      </c>
      <c r="AX26" s="123">
        <f>COUNTIFS(Database!$F:$I,CONCATENATE($B26,AX$16,"L"))+COUNTIFS(Database!$F:$I,CONCATENATE(AX$16,$B26,"L"))+COUNTIFS(Database!$F:$I,CONCATENATE($B26,AX$16,"W"))+COUNTIFS(Database!$F:$I,CONCATENATE(AX$16,$B26,"W"))</f>
        <v>0</v>
      </c>
      <c r="AY26" s="123">
        <f>COUNTIFS(Database!$F:$I,CONCATENATE($B26,AY$16,"L"))+COUNTIFS(Database!$F:$I,CONCATENATE(AY$16,$B26,"L"))+COUNTIFS(Database!$F:$I,CONCATENATE($B26,AY$16,"W"))+COUNTIFS(Database!$F:$I,CONCATENATE(AY$16,$B26,"W"))</f>
        <v>1</v>
      </c>
    </row>
    <row r="27" spans="2:51" x14ac:dyDescent="0.25">
      <c r="B27" s="120" t="s">
        <v>15</v>
      </c>
      <c r="C27" s="123">
        <f>COUNTIFS(Database!$F:$I,CONCATENATE($B27,C$16,"L"))+COUNTIFS(Database!$F:$I,CONCATENATE(C$16,$B27,"L"))+COUNTIFS(Database!$F:$I,CONCATENATE($B27,C$16,"W"))+COUNTIFS(Database!$F:$I,CONCATENATE(C$16,$B27,"W"))</f>
        <v>1</v>
      </c>
      <c r="D27" s="123">
        <f>COUNTIFS(Database!$F:$I,CONCATENATE($B27,D$16,"L"))+COUNTIFS(Database!$F:$I,CONCATENATE(D$16,$B27,"L"))+COUNTIFS(Database!$F:$I,CONCATENATE($B27,D$16,"W"))+COUNTIFS(Database!$F:$I,CONCATENATE(D$16,$B27,"W"))</f>
        <v>0</v>
      </c>
      <c r="E27" s="123">
        <f>COUNTIFS(Database!$F:$I,CONCATENATE($B27,E$16,"L"))+COUNTIFS(Database!$F:$I,CONCATENATE(E$16,$B27,"L"))+COUNTIFS(Database!$F:$I,CONCATENATE($B27,E$16,"W"))+COUNTIFS(Database!$F:$I,CONCATENATE(E$16,$B27,"W"))</f>
        <v>1</v>
      </c>
      <c r="F27" s="123">
        <f>COUNTIFS(Database!$F:$I,CONCATENATE($B27,F$16,"L"))+COUNTIFS(Database!$F:$I,CONCATENATE(F$16,$B27,"L"))+COUNTIFS(Database!$F:$I,CONCATENATE($B27,F$16,"W"))+COUNTIFS(Database!$F:$I,CONCATENATE(F$16,$B27,"W"))</f>
        <v>0</v>
      </c>
      <c r="G27" s="123">
        <f>COUNTIFS(Database!$F:$I,CONCATENATE($B27,G$16,"L"))+COUNTIFS(Database!$F:$I,CONCATENATE(G$16,$B27,"L"))+COUNTIFS(Database!$F:$I,CONCATENATE($B27,G$16,"W"))+COUNTIFS(Database!$F:$I,CONCATENATE(G$16,$B27,"W"))</f>
        <v>0</v>
      </c>
      <c r="H27" s="123">
        <f>COUNTIFS(Database!$F:$I,CONCATENATE($B27,H$16,"L"))+COUNTIFS(Database!$F:$I,CONCATENATE(H$16,$B27,"L"))+COUNTIFS(Database!$F:$I,CONCATENATE($B27,H$16,"W"))+COUNTIFS(Database!$F:$I,CONCATENATE(H$16,$B27,"W"))</f>
        <v>0</v>
      </c>
      <c r="I27" s="123">
        <f>COUNTIFS(Database!$F:$I,CONCATENATE($B27,I$16,"L"))+COUNTIFS(Database!$F:$I,CONCATENATE(I$16,$B27,"L"))+COUNTIFS(Database!$F:$I,CONCATENATE($B27,I$16,"W"))+COUNTIFS(Database!$F:$I,CONCATENATE(I$16,$B27,"W"))</f>
        <v>0</v>
      </c>
      <c r="J27" s="123">
        <f>COUNTIFS(Database!$F:$I,CONCATENATE($B27,J$16,"L"))+COUNTIFS(Database!$F:$I,CONCATENATE(J$16,$B27,"L"))+COUNTIFS(Database!$F:$I,CONCATENATE($B27,J$16,"W"))+COUNTIFS(Database!$F:$I,CONCATENATE(J$16,$B27,"W"))</f>
        <v>0</v>
      </c>
      <c r="K27" s="123">
        <f>COUNTIFS(Database!$F:$I,CONCATENATE($B27,K$16,"L"))+COUNTIFS(Database!$F:$I,CONCATENATE(K$16,$B27,"L"))+COUNTIFS(Database!$F:$I,CONCATENATE($B27,K$16,"W"))+COUNTIFS(Database!$F:$I,CONCATENATE(K$16,$B27,"W"))</f>
        <v>0</v>
      </c>
      <c r="L27" s="123">
        <f>COUNTIFS(Database!$F:$I,CONCATENATE($B27,L$16,"L"))+COUNTIFS(Database!$F:$I,CONCATENATE(L$16,$B27,"L"))+COUNTIFS(Database!$F:$I,CONCATENATE($B27,L$16,"W"))+COUNTIFS(Database!$F:$I,CONCATENATE(L$16,$B27,"W"))</f>
        <v>0</v>
      </c>
      <c r="M27" s="123">
        <f>COUNTIFS(Database!$F:$I,CONCATENATE($B27,M$16,"L"))+COUNTIFS(Database!$F:$I,CONCATENATE(M$16,$B27,"L"))+COUNTIFS(Database!$F:$I,CONCATENATE($B27,M$16,"W"))+COUNTIFS(Database!$F:$I,CONCATENATE(M$16,$B27,"W"))</f>
        <v>0</v>
      </c>
      <c r="N27" s="123">
        <f>COUNTIFS(Database!$F:$I,CONCATENATE($B27,N$16,"L"))+COUNTIFS(Database!$F:$I,CONCATENATE(N$16,$B27,"L"))+COUNTIFS(Database!$F:$I,CONCATENATE($B27,N$16,"W"))+COUNTIFS(Database!$F:$I,CONCATENATE(N$16,$B27,"W"))</f>
        <v>0</v>
      </c>
      <c r="O27" s="123">
        <f>COUNTIFS(Database!$F:$I,CONCATENATE($B27,O$16,"L"))+COUNTIFS(Database!$F:$I,CONCATENATE(O$16,$B27,"L"))+COUNTIFS(Database!$F:$I,CONCATENATE($B27,O$16,"W"))+COUNTIFS(Database!$F:$I,CONCATENATE(O$16,$B27,"W"))</f>
        <v>2</v>
      </c>
      <c r="P27" s="123">
        <f>COUNTIFS(Database!$F:$I,CONCATENATE($B27,P$16,"L"))+COUNTIFS(Database!$F:$I,CONCATENATE(P$16,$B27,"L"))+COUNTIFS(Database!$F:$I,CONCATENATE($B27,P$16,"W"))+COUNTIFS(Database!$F:$I,CONCATENATE(P$16,$B27,"W"))</f>
        <v>0</v>
      </c>
      <c r="Q27" s="123">
        <f>COUNTIFS(Database!$F:$I,CONCATENATE($B27,Q$16,"L"))+COUNTIFS(Database!$F:$I,CONCATENATE(Q$16,$B27,"L"))+COUNTIFS(Database!$F:$I,CONCATENATE($B27,Q$16,"W"))+COUNTIFS(Database!$F:$I,CONCATENATE(Q$16,$B27,"W"))</f>
        <v>0</v>
      </c>
      <c r="R27" s="123">
        <f>COUNTIFS(Database!$F:$I,CONCATENATE($B27,R$16,"L"))+COUNTIFS(Database!$F:$I,CONCATENATE(R$16,$B27,"L"))+COUNTIFS(Database!$F:$I,CONCATENATE($B27,R$16,"W"))+COUNTIFS(Database!$F:$I,CONCATENATE(R$16,$B27,"W"))</f>
        <v>0</v>
      </c>
      <c r="S27" s="123">
        <f>COUNTIFS(Database!$F:$I,CONCATENATE($B27,S$16,"L"))+COUNTIFS(Database!$F:$I,CONCATENATE(S$16,$B27,"L"))+COUNTIFS(Database!$F:$I,CONCATENATE($B27,S$16,"W"))+COUNTIFS(Database!$F:$I,CONCATENATE(S$16,$B27,"W"))</f>
        <v>0</v>
      </c>
      <c r="T27" s="123">
        <f>COUNTIFS(Database!$F:$I,CONCATENATE($B27,T$16,"L"))+COUNTIFS(Database!$F:$I,CONCATENATE(T$16,$B27,"L"))+COUNTIFS(Database!$F:$I,CONCATENATE($B27,T$16,"W"))+COUNTIFS(Database!$F:$I,CONCATENATE(T$16,$B27,"W"))</f>
        <v>0</v>
      </c>
      <c r="U27" s="123">
        <f>COUNTIFS(Database!$F:$I,CONCATENATE($B27,U$16,"L"))+COUNTIFS(Database!$F:$I,CONCATENATE(U$16,$B27,"L"))+COUNTIFS(Database!$F:$I,CONCATENATE($B27,U$16,"W"))+COUNTIFS(Database!$F:$I,CONCATENATE(U$16,$B27,"W"))</f>
        <v>0</v>
      </c>
      <c r="V27" s="123">
        <f>COUNTIFS(Database!$F:$I,CONCATENATE($B27,V$16,"L"))+COUNTIFS(Database!$F:$I,CONCATENATE(V$16,$B27,"L"))+COUNTIFS(Database!$F:$I,CONCATENATE($B27,V$16,"W"))+COUNTIFS(Database!$F:$I,CONCATENATE(V$16,$B27,"W"))</f>
        <v>0</v>
      </c>
      <c r="W27" s="123">
        <f>COUNTIFS(Database!$F:$I,CONCATENATE($B27,W$16,"L"))+COUNTIFS(Database!$F:$I,CONCATENATE(W$16,$B27,"L"))+COUNTIFS(Database!$F:$I,CONCATENATE($B27,W$16,"W"))+COUNTIFS(Database!$F:$I,CONCATENATE(W$16,$B27,"W"))</f>
        <v>0</v>
      </c>
      <c r="X27" s="123">
        <f>COUNTIFS(Database!$F:$I,CONCATENATE($B27,X$16,"L"))+COUNTIFS(Database!$F:$I,CONCATENATE(X$16,$B27,"L"))+COUNTIFS(Database!$F:$I,CONCATENATE($B27,X$16,"W"))+COUNTIFS(Database!$F:$I,CONCATENATE(X$16,$B27,"W"))</f>
        <v>0</v>
      </c>
      <c r="Y27" s="123">
        <f>COUNTIFS(Database!$F:$I,CONCATENATE($B27,Y$16,"L"))+COUNTIFS(Database!$F:$I,CONCATENATE(Y$16,$B27,"L"))+COUNTIFS(Database!$F:$I,CONCATENATE($B27,Y$16,"W"))+COUNTIFS(Database!$F:$I,CONCATENATE(Y$16,$B27,"W"))</f>
        <v>0</v>
      </c>
      <c r="Z27" s="123">
        <f>COUNTIFS(Database!$F:$I,CONCATENATE($B27,Z$16,"L"))+COUNTIFS(Database!$F:$I,CONCATENATE(Z$16,$B27,"L"))+COUNTIFS(Database!$F:$I,CONCATENATE($B27,Z$16,"W"))+COUNTIFS(Database!$F:$I,CONCATENATE(Z$16,$B27,"W"))</f>
        <v>0</v>
      </c>
      <c r="AA27" s="123">
        <f>COUNTIFS(Database!$F:$I,CONCATENATE($B27,AA$16,"L"))+COUNTIFS(Database!$F:$I,CONCATENATE(AA$16,$B27,"L"))+COUNTIFS(Database!$F:$I,CONCATENATE($B27,AA$16,"W"))+COUNTIFS(Database!$F:$I,CONCATENATE(AA$16,$B27,"W"))</f>
        <v>0</v>
      </c>
      <c r="AB27" s="123">
        <f>COUNTIFS(Database!$F:$I,CONCATENATE($B27,AB$16,"L"))+COUNTIFS(Database!$F:$I,CONCATENATE(AB$16,$B27,"L"))+COUNTIFS(Database!$F:$I,CONCATENATE($B27,AB$16,"W"))+COUNTIFS(Database!$F:$I,CONCATENATE(AB$16,$B27,"W"))</f>
        <v>1</v>
      </c>
      <c r="AC27" s="123">
        <f>COUNTIFS(Database!$F:$I,CONCATENATE($B27,AC$16,"L"))+COUNTIFS(Database!$F:$I,CONCATENATE(AC$16,$B27,"L"))+COUNTIFS(Database!$F:$I,CONCATENATE($B27,AC$16,"W"))+COUNTIFS(Database!$F:$I,CONCATENATE(AC$16,$B27,"W"))</f>
        <v>0</v>
      </c>
      <c r="AD27" s="123">
        <f>COUNTIFS(Database!$F:$I,CONCATENATE($B27,AD$16,"L"))+COUNTIFS(Database!$F:$I,CONCATENATE(AD$16,$B27,"L"))+COUNTIFS(Database!$F:$I,CONCATENATE($B27,AD$16,"W"))+COUNTIFS(Database!$F:$I,CONCATENATE(AD$16,$B27,"W"))</f>
        <v>0</v>
      </c>
      <c r="AE27" s="123">
        <f>COUNTIFS(Database!$F:$I,CONCATENATE($B27,AE$16,"L"))+COUNTIFS(Database!$F:$I,CONCATENATE(AE$16,$B27,"L"))+COUNTIFS(Database!$F:$I,CONCATENATE($B27,AE$16,"W"))+COUNTIFS(Database!$F:$I,CONCATENATE(AE$16,$B27,"W"))</f>
        <v>0</v>
      </c>
      <c r="AF27" s="123">
        <f>COUNTIFS(Database!$F:$I,CONCATENATE($B27,AF$16,"L"))+COUNTIFS(Database!$F:$I,CONCATENATE(AF$16,$B27,"L"))+COUNTIFS(Database!$F:$I,CONCATENATE($B27,AF$16,"W"))+COUNTIFS(Database!$F:$I,CONCATENATE(AF$16,$B27,"W"))</f>
        <v>0</v>
      </c>
      <c r="AG27" s="123">
        <f>COUNTIFS(Database!$F:$I,CONCATENATE($B27,AG$16,"L"))+COUNTIFS(Database!$F:$I,CONCATENATE(AG$16,$B27,"L"))+COUNTIFS(Database!$F:$I,CONCATENATE($B27,AG$16,"W"))+COUNTIFS(Database!$F:$I,CONCATENATE(AG$16,$B27,"W"))</f>
        <v>0</v>
      </c>
      <c r="AH27" s="123">
        <f>COUNTIFS(Database!$F:$I,CONCATENATE($B27,AH$16,"L"))+COUNTIFS(Database!$F:$I,CONCATENATE(AH$16,$B27,"L"))+COUNTIFS(Database!$F:$I,CONCATENATE($B27,AH$16,"W"))+COUNTIFS(Database!$F:$I,CONCATENATE(AH$16,$B27,"W"))</f>
        <v>0</v>
      </c>
      <c r="AI27" s="123">
        <f>COUNTIFS(Database!$F:$I,CONCATENATE($B27,AI$16,"L"))+COUNTIFS(Database!$F:$I,CONCATENATE(AI$16,$B27,"L"))+COUNTIFS(Database!$F:$I,CONCATENATE($B27,AI$16,"W"))+COUNTIFS(Database!$F:$I,CONCATENATE(AI$16,$B27,"W"))</f>
        <v>0</v>
      </c>
      <c r="AJ27" s="123">
        <f>COUNTIFS(Database!$F:$I,CONCATENATE($B27,AJ$16,"L"))+COUNTIFS(Database!$F:$I,CONCATENATE(AJ$16,$B27,"L"))+COUNTIFS(Database!$F:$I,CONCATENATE($B27,AJ$16,"W"))+COUNTIFS(Database!$F:$I,CONCATENATE(AJ$16,$B27,"W"))</f>
        <v>0</v>
      </c>
      <c r="AK27" s="123">
        <f>COUNTIFS(Database!$F:$I,CONCATENATE($B27,AK$16,"L"))+COUNTIFS(Database!$F:$I,CONCATENATE(AK$16,$B27,"L"))+COUNTIFS(Database!$F:$I,CONCATENATE($B27,AK$16,"W"))+COUNTIFS(Database!$F:$I,CONCATENATE(AK$16,$B27,"W"))</f>
        <v>2</v>
      </c>
      <c r="AL27" s="123">
        <f>COUNTIFS(Database!$F:$I,CONCATENATE($B27,AL$16,"L"))+COUNTIFS(Database!$F:$I,CONCATENATE(AL$16,$B27,"L"))+COUNTIFS(Database!$F:$I,CONCATENATE($B27,AL$16,"W"))+COUNTIFS(Database!$F:$I,CONCATENATE(AL$16,$B27,"W"))</f>
        <v>0</v>
      </c>
      <c r="AM27" s="123">
        <f>COUNTIFS(Database!$F:$I,CONCATENATE($B27,AM$16,"L"))+COUNTIFS(Database!$F:$I,CONCATENATE(AM$16,$B27,"L"))+COUNTIFS(Database!$F:$I,CONCATENATE($B27,AM$16,"W"))+COUNTIFS(Database!$F:$I,CONCATENATE(AM$16,$B27,"W"))</f>
        <v>0</v>
      </c>
      <c r="AN27" s="123">
        <f>COUNTIFS(Database!$F:$I,CONCATENATE($B27,AN$16,"L"))+COUNTIFS(Database!$F:$I,CONCATENATE(AN$16,$B27,"L"))+COUNTIFS(Database!$F:$I,CONCATENATE($B27,AN$16,"W"))+COUNTIFS(Database!$F:$I,CONCATENATE(AN$16,$B27,"W"))</f>
        <v>0</v>
      </c>
      <c r="AO27" s="123">
        <f>COUNTIFS(Database!$F:$I,CONCATENATE($B27,AO$16,"L"))+COUNTIFS(Database!$F:$I,CONCATENATE(AO$16,$B27,"L"))+COUNTIFS(Database!$F:$I,CONCATENATE($B27,AO$16,"W"))+COUNTIFS(Database!$F:$I,CONCATENATE(AO$16,$B27,"W"))</f>
        <v>0</v>
      </c>
      <c r="AP27" s="123">
        <f>COUNTIFS(Database!$F:$I,CONCATENATE($B27,AP$16,"L"))+COUNTIFS(Database!$F:$I,CONCATENATE(AP$16,$B27,"L"))+COUNTIFS(Database!$F:$I,CONCATENATE($B27,AP$16,"W"))+COUNTIFS(Database!$F:$I,CONCATENATE(AP$16,$B27,"W"))</f>
        <v>0</v>
      </c>
      <c r="AQ27" s="123">
        <f>COUNTIFS(Database!$F:$I,CONCATENATE($B27,AQ$16,"L"))+COUNTIFS(Database!$F:$I,CONCATENATE(AQ$16,$B27,"L"))+COUNTIFS(Database!$F:$I,CONCATENATE($B27,AQ$16,"W"))+COUNTIFS(Database!$F:$I,CONCATENATE(AQ$16,$B27,"W"))</f>
        <v>0</v>
      </c>
      <c r="AR27" s="123">
        <f>COUNTIFS(Database!$F:$I,CONCATENATE($B27,AR$16,"L"))+COUNTIFS(Database!$F:$I,CONCATENATE(AR$16,$B27,"L"))+COUNTIFS(Database!$F:$I,CONCATENATE($B27,AR$16,"W"))+COUNTIFS(Database!$F:$I,CONCATENATE(AR$16,$B27,"W"))</f>
        <v>1</v>
      </c>
      <c r="AS27" s="123">
        <f>COUNTIFS(Database!$F:$I,CONCATENATE($B27,AS$16,"L"))+COUNTIFS(Database!$F:$I,CONCATENATE(AS$16,$B27,"L"))+COUNTIFS(Database!$F:$I,CONCATENATE($B27,AS$16,"W"))+COUNTIFS(Database!$F:$I,CONCATENATE(AS$16,$B27,"W"))</f>
        <v>0</v>
      </c>
      <c r="AT27" s="123">
        <f>COUNTIFS(Database!$F:$I,CONCATENATE($B27,AT$16,"L"))+COUNTIFS(Database!$F:$I,CONCATENATE(AT$16,$B27,"L"))+COUNTIFS(Database!$F:$I,CONCATENATE($B27,AT$16,"W"))+COUNTIFS(Database!$F:$I,CONCATENATE(AT$16,$B27,"W"))</f>
        <v>2</v>
      </c>
      <c r="AU27" s="123">
        <f>COUNTIFS(Database!$F:$I,CONCATENATE($B27,AU$16,"L"))+COUNTIFS(Database!$F:$I,CONCATENATE(AU$16,$B27,"L"))+COUNTIFS(Database!$F:$I,CONCATENATE($B27,AU$16,"W"))+COUNTIFS(Database!$F:$I,CONCATENATE(AU$16,$B27,"W"))</f>
        <v>2</v>
      </c>
      <c r="AV27" s="123">
        <f>COUNTIFS(Database!$F:$I,CONCATENATE($B27,AV$16,"L"))+COUNTIFS(Database!$F:$I,CONCATENATE(AV$16,$B27,"L"))+COUNTIFS(Database!$F:$I,CONCATENATE($B27,AV$16,"W"))+COUNTIFS(Database!$F:$I,CONCATENATE(AV$16,$B27,"W"))</f>
        <v>0</v>
      </c>
      <c r="AW27" s="123">
        <f>COUNTIFS(Database!$F:$I,CONCATENATE($B27,AW$16,"L"))+COUNTIFS(Database!$F:$I,CONCATENATE(AW$16,$B27,"L"))+COUNTIFS(Database!$F:$I,CONCATENATE($B27,AW$16,"W"))+COUNTIFS(Database!$F:$I,CONCATENATE(AW$16,$B27,"W"))</f>
        <v>0</v>
      </c>
      <c r="AX27" s="123">
        <f>COUNTIFS(Database!$F:$I,CONCATENATE($B27,AX$16,"L"))+COUNTIFS(Database!$F:$I,CONCATENATE(AX$16,$B27,"L"))+COUNTIFS(Database!$F:$I,CONCATENATE($B27,AX$16,"W"))+COUNTIFS(Database!$F:$I,CONCATENATE(AX$16,$B27,"W"))</f>
        <v>0</v>
      </c>
      <c r="AY27" s="123">
        <f>COUNTIFS(Database!$F:$I,CONCATENATE($B27,AY$16,"L"))+COUNTIFS(Database!$F:$I,CONCATENATE(AY$16,$B27,"L"))+COUNTIFS(Database!$F:$I,CONCATENATE($B27,AY$16,"W"))+COUNTIFS(Database!$F:$I,CONCATENATE(AY$16,$B27,"W"))</f>
        <v>0</v>
      </c>
    </row>
    <row r="28" spans="2:51" x14ac:dyDescent="0.25">
      <c r="B28" s="120" t="s">
        <v>28</v>
      </c>
      <c r="C28" s="123">
        <f>COUNTIFS(Database!$F:$I,CONCATENATE($B28,C$16,"L"))+COUNTIFS(Database!$F:$I,CONCATENATE(C$16,$B28,"L"))+COUNTIFS(Database!$F:$I,CONCATENATE($B28,C$16,"W"))+COUNTIFS(Database!$F:$I,CONCATENATE(C$16,$B28,"W"))</f>
        <v>1</v>
      </c>
      <c r="D28" s="123">
        <f>COUNTIFS(Database!$F:$I,CONCATENATE($B28,D$16,"L"))+COUNTIFS(Database!$F:$I,CONCATENATE(D$16,$B28,"L"))+COUNTIFS(Database!$F:$I,CONCATENATE($B28,D$16,"W"))+COUNTIFS(Database!$F:$I,CONCATENATE(D$16,$B28,"W"))</f>
        <v>0</v>
      </c>
      <c r="E28" s="123">
        <f>COUNTIFS(Database!$F:$I,CONCATENATE($B28,E$16,"L"))+COUNTIFS(Database!$F:$I,CONCATENATE(E$16,$B28,"L"))+COUNTIFS(Database!$F:$I,CONCATENATE($B28,E$16,"W"))+COUNTIFS(Database!$F:$I,CONCATENATE(E$16,$B28,"W"))</f>
        <v>2</v>
      </c>
      <c r="F28" s="123">
        <f>COUNTIFS(Database!$F:$I,CONCATENATE($B28,F$16,"L"))+COUNTIFS(Database!$F:$I,CONCATENATE(F$16,$B28,"L"))+COUNTIFS(Database!$F:$I,CONCATENATE($B28,F$16,"W"))+COUNTIFS(Database!$F:$I,CONCATENATE(F$16,$B28,"W"))</f>
        <v>1</v>
      </c>
      <c r="G28" s="123">
        <f>COUNTIFS(Database!$F:$I,CONCATENATE($B28,G$16,"L"))+COUNTIFS(Database!$F:$I,CONCATENATE(G$16,$B28,"L"))+COUNTIFS(Database!$F:$I,CONCATENATE($B28,G$16,"W"))+COUNTIFS(Database!$F:$I,CONCATENATE(G$16,$B28,"W"))</f>
        <v>1</v>
      </c>
      <c r="H28" s="123">
        <f>COUNTIFS(Database!$F:$I,CONCATENATE($B28,H$16,"L"))+COUNTIFS(Database!$F:$I,CONCATENATE(H$16,$B28,"L"))+COUNTIFS(Database!$F:$I,CONCATENATE($B28,H$16,"W"))+COUNTIFS(Database!$F:$I,CONCATENATE(H$16,$B28,"W"))</f>
        <v>0</v>
      </c>
      <c r="I28" s="123">
        <f>COUNTIFS(Database!$F:$I,CONCATENATE($B28,I$16,"L"))+COUNTIFS(Database!$F:$I,CONCATENATE(I$16,$B28,"L"))+COUNTIFS(Database!$F:$I,CONCATENATE($B28,I$16,"W"))+COUNTIFS(Database!$F:$I,CONCATENATE(I$16,$B28,"W"))</f>
        <v>0</v>
      </c>
      <c r="J28" s="123">
        <f>COUNTIFS(Database!$F:$I,CONCATENATE($B28,J$16,"L"))+COUNTIFS(Database!$F:$I,CONCATENATE(J$16,$B28,"L"))+COUNTIFS(Database!$F:$I,CONCATENATE($B28,J$16,"W"))+COUNTIFS(Database!$F:$I,CONCATENATE(J$16,$B28,"W"))</f>
        <v>3</v>
      </c>
      <c r="K28" s="123">
        <f>COUNTIFS(Database!$F:$I,CONCATENATE($B28,K$16,"L"))+COUNTIFS(Database!$F:$I,CONCATENATE(K$16,$B28,"L"))+COUNTIFS(Database!$F:$I,CONCATENATE($B28,K$16,"W"))+COUNTIFS(Database!$F:$I,CONCATENATE(K$16,$B28,"W"))</f>
        <v>0</v>
      </c>
      <c r="L28" s="123">
        <f>COUNTIFS(Database!$F:$I,CONCATENATE($B28,L$16,"L"))+COUNTIFS(Database!$F:$I,CONCATENATE(L$16,$B28,"L"))+COUNTIFS(Database!$F:$I,CONCATENATE($B28,L$16,"W"))+COUNTIFS(Database!$F:$I,CONCATENATE(L$16,$B28,"W"))</f>
        <v>2</v>
      </c>
      <c r="M28" s="123">
        <f>COUNTIFS(Database!$F:$I,CONCATENATE($B28,M$16,"L"))+COUNTIFS(Database!$F:$I,CONCATENATE(M$16,$B28,"L"))+COUNTIFS(Database!$F:$I,CONCATENATE($B28,M$16,"W"))+COUNTIFS(Database!$F:$I,CONCATENATE(M$16,$B28,"W"))</f>
        <v>0</v>
      </c>
      <c r="N28" s="123">
        <f>COUNTIFS(Database!$F:$I,CONCATENATE($B28,N$16,"L"))+COUNTIFS(Database!$F:$I,CONCATENATE(N$16,$B28,"L"))+COUNTIFS(Database!$F:$I,CONCATENATE($B28,N$16,"W"))+COUNTIFS(Database!$F:$I,CONCATENATE(N$16,$B28,"W"))</f>
        <v>0</v>
      </c>
      <c r="O28" s="123">
        <f>COUNTIFS(Database!$F:$I,CONCATENATE($B28,O$16,"L"))+COUNTIFS(Database!$F:$I,CONCATENATE(O$16,$B28,"L"))+COUNTIFS(Database!$F:$I,CONCATENATE($B28,O$16,"W"))+COUNTIFS(Database!$F:$I,CONCATENATE(O$16,$B28,"W"))</f>
        <v>8</v>
      </c>
      <c r="P28" s="123">
        <f>COUNTIFS(Database!$F:$I,CONCATENATE($B28,P$16,"L"))+COUNTIFS(Database!$F:$I,CONCATENATE(P$16,$B28,"L"))+COUNTIFS(Database!$F:$I,CONCATENATE($B28,P$16,"W"))+COUNTIFS(Database!$F:$I,CONCATENATE(P$16,$B28,"W"))</f>
        <v>1</v>
      </c>
      <c r="Q28" s="123">
        <f>COUNTIFS(Database!$F:$I,CONCATENATE($B28,Q$16,"L"))+COUNTIFS(Database!$F:$I,CONCATENATE(Q$16,$B28,"L"))+COUNTIFS(Database!$F:$I,CONCATENATE($B28,Q$16,"W"))+COUNTIFS(Database!$F:$I,CONCATENATE(Q$16,$B28,"W"))</f>
        <v>1</v>
      </c>
      <c r="R28" s="123">
        <f>COUNTIFS(Database!$F:$I,CONCATENATE($B28,R$16,"L"))+COUNTIFS(Database!$F:$I,CONCATENATE(R$16,$B28,"L"))+COUNTIFS(Database!$F:$I,CONCATENATE($B28,R$16,"W"))+COUNTIFS(Database!$F:$I,CONCATENATE(R$16,$B28,"W"))</f>
        <v>0</v>
      </c>
      <c r="S28" s="123">
        <f>COUNTIFS(Database!$F:$I,CONCATENATE($B28,S$16,"L"))+COUNTIFS(Database!$F:$I,CONCATENATE(S$16,$B28,"L"))+COUNTIFS(Database!$F:$I,CONCATENATE($B28,S$16,"W"))+COUNTIFS(Database!$F:$I,CONCATENATE(S$16,$B28,"W"))</f>
        <v>0</v>
      </c>
      <c r="T28" s="123">
        <f>COUNTIFS(Database!$F:$I,CONCATENATE($B28,T$16,"L"))+COUNTIFS(Database!$F:$I,CONCATENATE(T$16,$B28,"L"))+COUNTIFS(Database!$F:$I,CONCATENATE($B28,T$16,"W"))+COUNTIFS(Database!$F:$I,CONCATENATE(T$16,$B28,"W"))</f>
        <v>1</v>
      </c>
      <c r="U28" s="123">
        <f>COUNTIFS(Database!$F:$I,CONCATENATE($B28,U$16,"L"))+COUNTIFS(Database!$F:$I,CONCATENATE(U$16,$B28,"L"))+COUNTIFS(Database!$F:$I,CONCATENATE($B28,U$16,"W"))+COUNTIFS(Database!$F:$I,CONCATENATE(U$16,$B28,"W"))</f>
        <v>0</v>
      </c>
      <c r="V28" s="123">
        <f>COUNTIFS(Database!$F:$I,CONCATENATE($B28,V$16,"L"))+COUNTIFS(Database!$F:$I,CONCATENATE(V$16,$B28,"L"))+COUNTIFS(Database!$F:$I,CONCATENATE($B28,V$16,"W"))+COUNTIFS(Database!$F:$I,CONCATENATE(V$16,$B28,"W"))</f>
        <v>0</v>
      </c>
      <c r="W28" s="123">
        <f>COUNTIFS(Database!$F:$I,CONCATENATE($B28,W$16,"L"))+COUNTIFS(Database!$F:$I,CONCATENATE(W$16,$B28,"L"))+COUNTIFS(Database!$F:$I,CONCATENATE($B28,W$16,"W"))+COUNTIFS(Database!$F:$I,CONCATENATE(W$16,$B28,"W"))</f>
        <v>2</v>
      </c>
      <c r="X28" s="123">
        <f>COUNTIFS(Database!$F:$I,CONCATENATE($B28,X$16,"L"))+COUNTIFS(Database!$F:$I,CONCATENATE(X$16,$B28,"L"))+COUNTIFS(Database!$F:$I,CONCATENATE($B28,X$16,"W"))+COUNTIFS(Database!$F:$I,CONCATENATE(X$16,$B28,"W"))</f>
        <v>0</v>
      </c>
      <c r="Y28" s="123">
        <f>COUNTIFS(Database!$F:$I,CONCATENATE($B28,Y$16,"L"))+COUNTIFS(Database!$F:$I,CONCATENATE(Y$16,$B28,"L"))+COUNTIFS(Database!$F:$I,CONCATENATE($B28,Y$16,"W"))+COUNTIFS(Database!$F:$I,CONCATENATE(Y$16,$B28,"W"))</f>
        <v>0</v>
      </c>
      <c r="Z28" s="123">
        <f>COUNTIFS(Database!$F:$I,CONCATENATE($B28,Z$16,"L"))+COUNTIFS(Database!$F:$I,CONCATENATE(Z$16,$B28,"L"))+COUNTIFS(Database!$F:$I,CONCATENATE($B28,Z$16,"W"))+COUNTIFS(Database!$F:$I,CONCATENATE(Z$16,$B28,"W"))</f>
        <v>1</v>
      </c>
      <c r="AA28" s="123">
        <f>COUNTIFS(Database!$F:$I,CONCATENATE($B28,AA$16,"L"))+COUNTIFS(Database!$F:$I,CONCATENATE(AA$16,$B28,"L"))+COUNTIFS(Database!$F:$I,CONCATENATE($B28,AA$16,"W"))+COUNTIFS(Database!$F:$I,CONCATENATE(AA$16,$B28,"W"))</f>
        <v>0</v>
      </c>
      <c r="AB28" s="123">
        <f>COUNTIFS(Database!$F:$I,CONCATENATE($B28,AB$16,"L"))+COUNTIFS(Database!$F:$I,CONCATENATE(AB$16,$B28,"L"))+COUNTIFS(Database!$F:$I,CONCATENATE($B28,AB$16,"W"))+COUNTIFS(Database!$F:$I,CONCATENATE(AB$16,$B28,"W"))</f>
        <v>5</v>
      </c>
      <c r="AC28" s="123">
        <f>COUNTIFS(Database!$F:$I,CONCATENATE($B28,AC$16,"L"))+COUNTIFS(Database!$F:$I,CONCATENATE(AC$16,$B28,"L"))+COUNTIFS(Database!$F:$I,CONCATENATE($B28,AC$16,"W"))+COUNTIFS(Database!$F:$I,CONCATENATE(AC$16,$B28,"W"))</f>
        <v>3</v>
      </c>
      <c r="AD28" s="123">
        <f>COUNTIFS(Database!$F:$I,CONCATENATE($B28,AD$16,"L"))+COUNTIFS(Database!$F:$I,CONCATENATE(AD$16,$B28,"L"))+COUNTIFS(Database!$F:$I,CONCATENATE($B28,AD$16,"W"))+COUNTIFS(Database!$F:$I,CONCATENATE(AD$16,$B28,"W"))</f>
        <v>0</v>
      </c>
      <c r="AE28" s="123">
        <f>COUNTIFS(Database!$F:$I,CONCATENATE($B28,AE$16,"L"))+COUNTIFS(Database!$F:$I,CONCATENATE(AE$16,$B28,"L"))+COUNTIFS(Database!$F:$I,CONCATENATE($B28,AE$16,"W"))+COUNTIFS(Database!$F:$I,CONCATENATE(AE$16,$B28,"W"))</f>
        <v>0</v>
      </c>
      <c r="AF28" s="123">
        <f>COUNTIFS(Database!$F:$I,CONCATENATE($B28,AF$16,"L"))+COUNTIFS(Database!$F:$I,CONCATENATE(AF$16,$B28,"L"))+COUNTIFS(Database!$F:$I,CONCATENATE($B28,AF$16,"W"))+COUNTIFS(Database!$F:$I,CONCATENATE(AF$16,$B28,"W"))</f>
        <v>0</v>
      </c>
      <c r="AG28" s="123">
        <f>COUNTIFS(Database!$F:$I,CONCATENATE($B28,AG$16,"L"))+COUNTIFS(Database!$F:$I,CONCATENATE(AG$16,$B28,"L"))+COUNTIFS(Database!$F:$I,CONCATENATE($B28,AG$16,"W"))+COUNTIFS(Database!$F:$I,CONCATENATE(AG$16,$B28,"W"))</f>
        <v>0</v>
      </c>
      <c r="AH28" s="123">
        <f>COUNTIFS(Database!$F:$I,CONCATENATE($B28,AH$16,"L"))+COUNTIFS(Database!$F:$I,CONCATENATE(AH$16,$B28,"L"))+COUNTIFS(Database!$F:$I,CONCATENATE($B28,AH$16,"W"))+COUNTIFS(Database!$F:$I,CONCATENATE(AH$16,$B28,"W"))</f>
        <v>0</v>
      </c>
      <c r="AI28" s="123">
        <f>COUNTIFS(Database!$F:$I,CONCATENATE($B28,AI$16,"L"))+COUNTIFS(Database!$F:$I,CONCATENATE(AI$16,$B28,"L"))+COUNTIFS(Database!$F:$I,CONCATENATE($B28,AI$16,"W"))+COUNTIFS(Database!$F:$I,CONCATENATE(AI$16,$B28,"W"))</f>
        <v>0</v>
      </c>
      <c r="AJ28" s="123">
        <f>COUNTIFS(Database!$F:$I,CONCATENATE($B28,AJ$16,"L"))+COUNTIFS(Database!$F:$I,CONCATENATE(AJ$16,$B28,"L"))+COUNTIFS(Database!$F:$I,CONCATENATE($B28,AJ$16,"W"))+COUNTIFS(Database!$F:$I,CONCATENATE(AJ$16,$B28,"W"))</f>
        <v>0</v>
      </c>
      <c r="AK28" s="123">
        <f>COUNTIFS(Database!$F:$I,CONCATENATE($B28,AK$16,"L"))+COUNTIFS(Database!$F:$I,CONCATENATE(AK$16,$B28,"L"))+COUNTIFS(Database!$F:$I,CONCATENATE($B28,AK$16,"W"))+COUNTIFS(Database!$F:$I,CONCATENATE(AK$16,$B28,"W"))</f>
        <v>1</v>
      </c>
      <c r="AL28" s="123">
        <f>COUNTIFS(Database!$F:$I,CONCATENATE($B28,AL$16,"L"))+COUNTIFS(Database!$F:$I,CONCATENATE(AL$16,$B28,"L"))+COUNTIFS(Database!$F:$I,CONCATENATE($B28,AL$16,"W"))+COUNTIFS(Database!$F:$I,CONCATENATE(AL$16,$B28,"W"))</f>
        <v>1</v>
      </c>
      <c r="AM28" s="123">
        <f>COUNTIFS(Database!$F:$I,CONCATENATE($B28,AM$16,"L"))+COUNTIFS(Database!$F:$I,CONCATENATE(AM$16,$B28,"L"))+COUNTIFS(Database!$F:$I,CONCATENATE($B28,AM$16,"W"))+COUNTIFS(Database!$F:$I,CONCATENATE(AM$16,$B28,"W"))</f>
        <v>0</v>
      </c>
      <c r="AN28" s="123">
        <f>COUNTIFS(Database!$F:$I,CONCATENATE($B28,AN$16,"L"))+COUNTIFS(Database!$F:$I,CONCATENATE(AN$16,$B28,"L"))+COUNTIFS(Database!$F:$I,CONCATENATE($B28,AN$16,"W"))+COUNTIFS(Database!$F:$I,CONCATENATE(AN$16,$B28,"W"))</f>
        <v>0</v>
      </c>
      <c r="AO28" s="123">
        <f>COUNTIFS(Database!$F:$I,CONCATENATE($B28,AO$16,"L"))+COUNTIFS(Database!$F:$I,CONCATENATE(AO$16,$B28,"L"))+COUNTIFS(Database!$F:$I,CONCATENATE($B28,AO$16,"W"))+COUNTIFS(Database!$F:$I,CONCATENATE(AO$16,$B28,"W"))</f>
        <v>1</v>
      </c>
      <c r="AP28" s="123">
        <f>COUNTIFS(Database!$F:$I,CONCATENATE($B28,AP$16,"L"))+COUNTIFS(Database!$F:$I,CONCATENATE(AP$16,$B28,"L"))+COUNTIFS(Database!$F:$I,CONCATENATE($B28,AP$16,"W"))+COUNTIFS(Database!$F:$I,CONCATENATE(AP$16,$B28,"W"))</f>
        <v>0</v>
      </c>
      <c r="AQ28" s="123">
        <f>COUNTIFS(Database!$F:$I,CONCATENATE($B28,AQ$16,"L"))+COUNTIFS(Database!$F:$I,CONCATENATE(AQ$16,$B28,"L"))+COUNTIFS(Database!$F:$I,CONCATENATE($B28,AQ$16,"W"))+COUNTIFS(Database!$F:$I,CONCATENATE(AQ$16,$B28,"W"))</f>
        <v>2</v>
      </c>
      <c r="AR28" s="123">
        <f>COUNTIFS(Database!$F:$I,CONCATENATE($B28,AR$16,"L"))+COUNTIFS(Database!$F:$I,CONCATENATE(AR$16,$B28,"L"))+COUNTIFS(Database!$F:$I,CONCATENATE($B28,AR$16,"W"))+COUNTIFS(Database!$F:$I,CONCATENATE(AR$16,$B28,"W"))</f>
        <v>0</v>
      </c>
      <c r="AS28" s="123">
        <f>COUNTIFS(Database!$F:$I,CONCATENATE($B28,AS$16,"L"))+COUNTIFS(Database!$F:$I,CONCATENATE(AS$16,$B28,"L"))+COUNTIFS(Database!$F:$I,CONCATENATE($B28,AS$16,"W"))+COUNTIFS(Database!$F:$I,CONCATENATE(AS$16,$B28,"W"))</f>
        <v>0</v>
      </c>
      <c r="AT28" s="123">
        <f>COUNTIFS(Database!$F:$I,CONCATENATE($B28,AT$16,"L"))+COUNTIFS(Database!$F:$I,CONCATENATE(AT$16,$B28,"L"))+COUNTIFS(Database!$F:$I,CONCATENATE($B28,AT$16,"W"))+COUNTIFS(Database!$F:$I,CONCATENATE(AT$16,$B28,"W"))</f>
        <v>0</v>
      </c>
      <c r="AU28" s="123">
        <f>COUNTIFS(Database!$F:$I,CONCATENATE($B28,AU$16,"L"))+COUNTIFS(Database!$F:$I,CONCATENATE(AU$16,$B28,"L"))+COUNTIFS(Database!$F:$I,CONCATENATE($B28,AU$16,"W"))+COUNTIFS(Database!$F:$I,CONCATENATE(AU$16,$B28,"W"))</f>
        <v>0</v>
      </c>
      <c r="AV28" s="123">
        <f>COUNTIFS(Database!$F:$I,CONCATENATE($B28,AV$16,"L"))+COUNTIFS(Database!$F:$I,CONCATENATE(AV$16,$B28,"L"))+COUNTIFS(Database!$F:$I,CONCATENATE($B28,AV$16,"W"))+COUNTIFS(Database!$F:$I,CONCATENATE(AV$16,$B28,"W"))</f>
        <v>0</v>
      </c>
      <c r="AW28" s="123">
        <f>COUNTIFS(Database!$F:$I,CONCATENATE($B28,AW$16,"L"))+COUNTIFS(Database!$F:$I,CONCATENATE(AW$16,$B28,"L"))+COUNTIFS(Database!$F:$I,CONCATENATE($B28,AW$16,"W"))+COUNTIFS(Database!$F:$I,CONCATENATE(AW$16,$B28,"W"))</f>
        <v>0</v>
      </c>
      <c r="AX28" s="123">
        <f>COUNTIFS(Database!$F:$I,CONCATENATE($B28,AX$16,"L"))+COUNTIFS(Database!$F:$I,CONCATENATE(AX$16,$B28,"L"))+COUNTIFS(Database!$F:$I,CONCATENATE($B28,AX$16,"W"))+COUNTIFS(Database!$F:$I,CONCATENATE(AX$16,$B28,"W"))</f>
        <v>0</v>
      </c>
      <c r="AY28" s="123">
        <f>COUNTIFS(Database!$F:$I,CONCATENATE($B28,AY$16,"L"))+COUNTIFS(Database!$F:$I,CONCATENATE(AY$16,$B28,"L"))+COUNTIFS(Database!$F:$I,CONCATENATE($B28,AY$16,"W"))+COUNTIFS(Database!$F:$I,CONCATENATE(AY$16,$B28,"W"))</f>
        <v>3</v>
      </c>
    </row>
    <row r="29" spans="2:51" x14ac:dyDescent="0.25">
      <c r="B29" s="120" t="s">
        <v>35</v>
      </c>
      <c r="C29" s="123">
        <f>COUNTIFS(Database!$F:$I,CONCATENATE($B29,C$16,"L"))+COUNTIFS(Database!$F:$I,CONCATENATE(C$16,$B29,"L"))+COUNTIFS(Database!$F:$I,CONCATENATE($B29,C$16,"W"))+COUNTIFS(Database!$F:$I,CONCATENATE(C$16,$B29,"W"))</f>
        <v>12</v>
      </c>
      <c r="D29" s="123">
        <f>COUNTIFS(Database!$F:$I,CONCATENATE($B29,D$16,"L"))+COUNTIFS(Database!$F:$I,CONCATENATE(D$16,$B29,"L"))+COUNTIFS(Database!$F:$I,CONCATENATE($B29,D$16,"W"))+COUNTIFS(Database!$F:$I,CONCATENATE(D$16,$B29,"W"))</f>
        <v>0</v>
      </c>
      <c r="E29" s="123">
        <f>COUNTIFS(Database!$F:$I,CONCATENATE($B29,E$16,"L"))+COUNTIFS(Database!$F:$I,CONCATENATE(E$16,$B29,"L"))+COUNTIFS(Database!$F:$I,CONCATENATE($B29,E$16,"W"))+COUNTIFS(Database!$F:$I,CONCATENATE(E$16,$B29,"W"))</f>
        <v>7</v>
      </c>
      <c r="F29" s="123">
        <f>COUNTIFS(Database!$F:$I,CONCATENATE($B29,F$16,"L"))+COUNTIFS(Database!$F:$I,CONCATENATE(F$16,$B29,"L"))+COUNTIFS(Database!$F:$I,CONCATENATE($B29,F$16,"W"))+COUNTIFS(Database!$F:$I,CONCATENATE(F$16,$B29,"W"))</f>
        <v>5</v>
      </c>
      <c r="G29" s="123">
        <f>COUNTIFS(Database!$F:$I,CONCATENATE($B29,G$16,"L"))+COUNTIFS(Database!$F:$I,CONCATENATE(G$16,$B29,"L"))+COUNTIFS(Database!$F:$I,CONCATENATE($B29,G$16,"W"))+COUNTIFS(Database!$F:$I,CONCATENATE(G$16,$B29,"W"))</f>
        <v>1</v>
      </c>
      <c r="H29" s="123">
        <f>COUNTIFS(Database!$F:$I,CONCATENATE($B29,H$16,"L"))+COUNTIFS(Database!$F:$I,CONCATENATE(H$16,$B29,"L"))+COUNTIFS(Database!$F:$I,CONCATENATE($B29,H$16,"W"))+COUNTIFS(Database!$F:$I,CONCATENATE(H$16,$B29,"W"))</f>
        <v>0</v>
      </c>
      <c r="I29" s="123">
        <f>COUNTIFS(Database!$F:$I,CONCATENATE($B29,I$16,"L"))+COUNTIFS(Database!$F:$I,CONCATENATE(I$16,$B29,"L"))+COUNTIFS(Database!$F:$I,CONCATENATE($B29,I$16,"W"))+COUNTIFS(Database!$F:$I,CONCATENATE(I$16,$B29,"W"))</f>
        <v>0</v>
      </c>
      <c r="J29" s="123">
        <f>COUNTIFS(Database!$F:$I,CONCATENATE($B29,J$16,"L"))+COUNTIFS(Database!$F:$I,CONCATENATE(J$16,$B29,"L"))+COUNTIFS(Database!$F:$I,CONCATENATE($B29,J$16,"W"))+COUNTIFS(Database!$F:$I,CONCATENATE(J$16,$B29,"W"))</f>
        <v>5</v>
      </c>
      <c r="K29" s="123">
        <f>COUNTIFS(Database!$F:$I,CONCATENATE($B29,K$16,"L"))+COUNTIFS(Database!$F:$I,CONCATENATE(K$16,$B29,"L"))+COUNTIFS(Database!$F:$I,CONCATENATE($B29,K$16,"W"))+COUNTIFS(Database!$F:$I,CONCATENATE(K$16,$B29,"W"))</f>
        <v>7</v>
      </c>
      <c r="L29" s="123">
        <f>COUNTIFS(Database!$F:$I,CONCATENATE($B29,L$16,"L"))+COUNTIFS(Database!$F:$I,CONCATENATE(L$16,$B29,"L"))+COUNTIFS(Database!$F:$I,CONCATENATE($B29,L$16,"W"))+COUNTIFS(Database!$F:$I,CONCATENATE(L$16,$B29,"W"))</f>
        <v>3</v>
      </c>
      <c r="M29" s="123">
        <f>COUNTIFS(Database!$F:$I,CONCATENATE($B29,M$16,"L"))+COUNTIFS(Database!$F:$I,CONCATENATE(M$16,$B29,"L"))+COUNTIFS(Database!$F:$I,CONCATENATE($B29,M$16,"W"))+COUNTIFS(Database!$F:$I,CONCATENATE(M$16,$B29,"W"))</f>
        <v>2</v>
      </c>
      <c r="N29" s="123">
        <f>COUNTIFS(Database!$F:$I,CONCATENATE($B29,N$16,"L"))+COUNTIFS(Database!$F:$I,CONCATENATE(N$16,$B29,"L"))+COUNTIFS(Database!$F:$I,CONCATENATE($B29,N$16,"W"))+COUNTIFS(Database!$F:$I,CONCATENATE(N$16,$B29,"W"))</f>
        <v>8</v>
      </c>
      <c r="O29" s="123">
        <f>COUNTIFS(Database!$F:$I,CONCATENATE($B29,O$16,"L"))+COUNTIFS(Database!$F:$I,CONCATENATE(O$16,$B29,"L"))+COUNTIFS(Database!$F:$I,CONCATENATE($B29,O$16,"W"))+COUNTIFS(Database!$F:$I,CONCATENATE(O$16,$B29,"W"))</f>
        <v>0</v>
      </c>
      <c r="P29" s="123">
        <f>COUNTIFS(Database!$F:$I,CONCATENATE($B29,P$16,"L"))+COUNTIFS(Database!$F:$I,CONCATENATE(P$16,$B29,"L"))+COUNTIFS(Database!$F:$I,CONCATENATE($B29,P$16,"W"))+COUNTIFS(Database!$F:$I,CONCATENATE(P$16,$B29,"W"))</f>
        <v>1</v>
      </c>
      <c r="Q29" s="123">
        <f>COUNTIFS(Database!$F:$I,CONCATENATE($B29,Q$16,"L"))+COUNTIFS(Database!$F:$I,CONCATENATE(Q$16,$B29,"L"))+COUNTIFS(Database!$F:$I,CONCATENATE($B29,Q$16,"W"))+COUNTIFS(Database!$F:$I,CONCATENATE(Q$16,$B29,"W"))</f>
        <v>1</v>
      </c>
      <c r="R29" s="123">
        <f>COUNTIFS(Database!$F:$I,CONCATENATE($B29,R$16,"L"))+COUNTIFS(Database!$F:$I,CONCATENATE(R$16,$B29,"L"))+COUNTIFS(Database!$F:$I,CONCATENATE($B29,R$16,"W"))+COUNTIFS(Database!$F:$I,CONCATENATE(R$16,$B29,"W"))</f>
        <v>2</v>
      </c>
      <c r="S29" s="123">
        <f>COUNTIFS(Database!$F:$I,CONCATENATE($B29,S$16,"L"))+COUNTIFS(Database!$F:$I,CONCATENATE(S$16,$B29,"L"))+COUNTIFS(Database!$F:$I,CONCATENATE($B29,S$16,"W"))+COUNTIFS(Database!$F:$I,CONCATENATE(S$16,$B29,"W"))</f>
        <v>2</v>
      </c>
      <c r="T29" s="123">
        <f>COUNTIFS(Database!$F:$I,CONCATENATE($B29,T$16,"L"))+COUNTIFS(Database!$F:$I,CONCATENATE(T$16,$B29,"L"))+COUNTIFS(Database!$F:$I,CONCATENATE($B29,T$16,"W"))+COUNTIFS(Database!$F:$I,CONCATENATE(T$16,$B29,"W"))</f>
        <v>3</v>
      </c>
      <c r="U29" s="123">
        <f>COUNTIFS(Database!$F:$I,CONCATENATE($B29,U$16,"L"))+COUNTIFS(Database!$F:$I,CONCATENATE(U$16,$B29,"L"))+COUNTIFS(Database!$F:$I,CONCATENATE($B29,U$16,"W"))+COUNTIFS(Database!$F:$I,CONCATENATE(U$16,$B29,"W"))</f>
        <v>0</v>
      </c>
      <c r="V29" s="123">
        <f>COUNTIFS(Database!$F:$I,CONCATENATE($B29,V$16,"L"))+COUNTIFS(Database!$F:$I,CONCATENATE(V$16,$B29,"L"))+COUNTIFS(Database!$F:$I,CONCATENATE($B29,V$16,"W"))+COUNTIFS(Database!$F:$I,CONCATENATE(V$16,$B29,"W"))</f>
        <v>0</v>
      </c>
      <c r="W29" s="123">
        <f>COUNTIFS(Database!$F:$I,CONCATENATE($B29,W$16,"L"))+COUNTIFS(Database!$F:$I,CONCATENATE(W$16,$B29,"L"))+COUNTIFS(Database!$F:$I,CONCATENATE($B29,W$16,"W"))+COUNTIFS(Database!$F:$I,CONCATENATE(W$16,$B29,"W"))</f>
        <v>8</v>
      </c>
      <c r="X29" s="123">
        <f>COUNTIFS(Database!$F:$I,CONCATENATE($B29,X$16,"L"))+COUNTIFS(Database!$F:$I,CONCATENATE(X$16,$B29,"L"))+COUNTIFS(Database!$F:$I,CONCATENATE($B29,X$16,"W"))+COUNTIFS(Database!$F:$I,CONCATENATE(X$16,$B29,"W"))</f>
        <v>0</v>
      </c>
      <c r="Y29" s="123">
        <f>COUNTIFS(Database!$F:$I,CONCATENATE($B29,Y$16,"L"))+COUNTIFS(Database!$F:$I,CONCATENATE(Y$16,$B29,"L"))+COUNTIFS(Database!$F:$I,CONCATENATE($B29,Y$16,"W"))+COUNTIFS(Database!$F:$I,CONCATENATE(Y$16,$B29,"W"))</f>
        <v>2</v>
      </c>
      <c r="Z29" s="123">
        <f>COUNTIFS(Database!$F:$I,CONCATENATE($B29,Z$16,"L"))+COUNTIFS(Database!$F:$I,CONCATENATE(Z$16,$B29,"L"))+COUNTIFS(Database!$F:$I,CONCATENATE($B29,Z$16,"W"))+COUNTIFS(Database!$F:$I,CONCATENATE(Z$16,$B29,"W"))</f>
        <v>2</v>
      </c>
      <c r="AA29" s="123">
        <f>COUNTIFS(Database!$F:$I,CONCATENATE($B29,AA$16,"L"))+COUNTIFS(Database!$F:$I,CONCATENATE(AA$16,$B29,"L"))+COUNTIFS(Database!$F:$I,CONCATENATE($B29,AA$16,"W"))+COUNTIFS(Database!$F:$I,CONCATENATE(AA$16,$B29,"W"))</f>
        <v>0</v>
      </c>
      <c r="AB29" s="123">
        <f>COUNTIFS(Database!$F:$I,CONCATENATE($B29,AB$16,"L"))+COUNTIFS(Database!$F:$I,CONCATENATE(AB$16,$B29,"L"))+COUNTIFS(Database!$F:$I,CONCATENATE($B29,AB$16,"W"))+COUNTIFS(Database!$F:$I,CONCATENATE(AB$16,$B29,"W"))</f>
        <v>8</v>
      </c>
      <c r="AC29" s="123">
        <f>COUNTIFS(Database!$F:$I,CONCATENATE($B29,AC$16,"L"))+COUNTIFS(Database!$F:$I,CONCATENATE(AC$16,$B29,"L"))+COUNTIFS(Database!$F:$I,CONCATENATE($B29,AC$16,"W"))+COUNTIFS(Database!$F:$I,CONCATENATE(AC$16,$B29,"W"))</f>
        <v>8</v>
      </c>
      <c r="AD29" s="123">
        <f>COUNTIFS(Database!$F:$I,CONCATENATE($B29,AD$16,"L"))+COUNTIFS(Database!$F:$I,CONCATENATE(AD$16,$B29,"L"))+COUNTIFS(Database!$F:$I,CONCATENATE($B29,AD$16,"W"))+COUNTIFS(Database!$F:$I,CONCATENATE(AD$16,$B29,"W"))</f>
        <v>0</v>
      </c>
      <c r="AE29" s="123">
        <f>COUNTIFS(Database!$F:$I,CONCATENATE($B29,AE$16,"L"))+COUNTIFS(Database!$F:$I,CONCATENATE(AE$16,$B29,"L"))+COUNTIFS(Database!$F:$I,CONCATENATE($B29,AE$16,"W"))+COUNTIFS(Database!$F:$I,CONCATENATE(AE$16,$B29,"W"))</f>
        <v>0</v>
      </c>
      <c r="AF29" s="123">
        <f>COUNTIFS(Database!$F:$I,CONCATENATE($B29,AF$16,"L"))+COUNTIFS(Database!$F:$I,CONCATENATE(AF$16,$B29,"L"))+COUNTIFS(Database!$F:$I,CONCATENATE($B29,AF$16,"W"))+COUNTIFS(Database!$F:$I,CONCATENATE(AF$16,$B29,"W"))</f>
        <v>1</v>
      </c>
      <c r="AG29" s="123">
        <f>COUNTIFS(Database!$F:$I,CONCATENATE($B29,AG$16,"L"))+COUNTIFS(Database!$F:$I,CONCATENATE(AG$16,$B29,"L"))+COUNTIFS(Database!$F:$I,CONCATENATE($B29,AG$16,"W"))+COUNTIFS(Database!$F:$I,CONCATENATE(AG$16,$B29,"W"))</f>
        <v>1</v>
      </c>
      <c r="AH29" s="123">
        <f>COUNTIFS(Database!$F:$I,CONCATENATE($B29,AH$16,"L"))+COUNTIFS(Database!$F:$I,CONCATENATE(AH$16,$B29,"L"))+COUNTIFS(Database!$F:$I,CONCATENATE($B29,AH$16,"W"))+COUNTIFS(Database!$F:$I,CONCATENATE(AH$16,$B29,"W"))</f>
        <v>0</v>
      </c>
      <c r="AI29" s="123">
        <f>COUNTIFS(Database!$F:$I,CONCATENATE($B29,AI$16,"L"))+COUNTIFS(Database!$F:$I,CONCATENATE(AI$16,$B29,"L"))+COUNTIFS(Database!$F:$I,CONCATENATE($B29,AI$16,"W"))+COUNTIFS(Database!$F:$I,CONCATENATE(AI$16,$B29,"W"))</f>
        <v>1</v>
      </c>
      <c r="AJ29" s="123">
        <f>COUNTIFS(Database!$F:$I,CONCATENATE($B29,AJ$16,"L"))+COUNTIFS(Database!$F:$I,CONCATENATE(AJ$16,$B29,"L"))+COUNTIFS(Database!$F:$I,CONCATENATE($B29,AJ$16,"W"))+COUNTIFS(Database!$F:$I,CONCATENATE(AJ$16,$B29,"W"))</f>
        <v>2</v>
      </c>
      <c r="AK29" s="123">
        <f>COUNTIFS(Database!$F:$I,CONCATENATE($B29,AK$16,"L"))+COUNTIFS(Database!$F:$I,CONCATENATE(AK$16,$B29,"L"))+COUNTIFS(Database!$F:$I,CONCATENATE($B29,AK$16,"W"))+COUNTIFS(Database!$F:$I,CONCATENATE(AK$16,$B29,"W"))</f>
        <v>8</v>
      </c>
      <c r="AL29" s="123">
        <f>COUNTIFS(Database!$F:$I,CONCATENATE($B29,AL$16,"L"))+COUNTIFS(Database!$F:$I,CONCATENATE(AL$16,$B29,"L"))+COUNTIFS(Database!$F:$I,CONCATENATE($B29,AL$16,"W"))+COUNTIFS(Database!$F:$I,CONCATENATE(AL$16,$B29,"W"))</f>
        <v>3</v>
      </c>
      <c r="AM29" s="123">
        <f>COUNTIFS(Database!$F:$I,CONCATENATE($B29,AM$16,"L"))+COUNTIFS(Database!$F:$I,CONCATENATE(AM$16,$B29,"L"))+COUNTIFS(Database!$F:$I,CONCATENATE($B29,AM$16,"W"))+COUNTIFS(Database!$F:$I,CONCATENATE(AM$16,$B29,"W"))</f>
        <v>0</v>
      </c>
      <c r="AN29" s="123">
        <f>COUNTIFS(Database!$F:$I,CONCATENATE($B29,AN$16,"L"))+COUNTIFS(Database!$F:$I,CONCATENATE(AN$16,$B29,"L"))+COUNTIFS(Database!$F:$I,CONCATENATE($B29,AN$16,"W"))+COUNTIFS(Database!$F:$I,CONCATENATE(AN$16,$B29,"W"))</f>
        <v>0</v>
      </c>
      <c r="AO29" s="123">
        <f>COUNTIFS(Database!$F:$I,CONCATENATE($B29,AO$16,"L"))+COUNTIFS(Database!$F:$I,CONCATENATE(AO$16,$B29,"L"))+COUNTIFS(Database!$F:$I,CONCATENATE($B29,AO$16,"W"))+COUNTIFS(Database!$F:$I,CONCATENATE(AO$16,$B29,"W"))</f>
        <v>3</v>
      </c>
      <c r="AP29" s="123">
        <f>COUNTIFS(Database!$F:$I,CONCATENATE($B29,AP$16,"L"))+COUNTIFS(Database!$F:$I,CONCATENATE(AP$16,$B29,"L"))+COUNTIFS(Database!$F:$I,CONCATENATE($B29,AP$16,"W"))+COUNTIFS(Database!$F:$I,CONCATENATE(AP$16,$B29,"W"))</f>
        <v>1</v>
      </c>
      <c r="AQ29" s="123">
        <f>COUNTIFS(Database!$F:$I,CONCATENATE($B29,AQ$16,"L"))+COUNTIFS(Database!$F:$I,CONCATENATE(AQ$16,$B29,"L"))+COUNTIFS(Database!$F:$I,CONCATENATE($B29,AQ$16,"W"))+COUNTIFS(Database!$F:$I,CONCATENATE(AQ$16,$B29,"W"))</f>
        <v>3</v>
      </c>
      <c r="AR29" s="123">
        <f>COUNTIFS(Database!$F:$I,CONCATENATE($B29,AR$16,"L"))+COUNTIFS(Database!$F:$I,CONCATENATE(AR$16,$B29,"L"))+COUNTIFS(Database!$F:$I,CONCATENATE($B29,AR$16,"W"))+COUNTIFS(Database!$F:$I,CONCATENATE(AR$16,$B29,"W"))</f>
        <v>6</v>
      </c>
      <c r="AS29" s="123">
        <f>COUNTIFS(Database!$F:$I,CONCATENATE($B29,AS$16,"L"))+COUNTIFS(Database!$F:$I,CONCATENATE(AS$16,$B29,"L"))+COUNTIFS(Database!$F:$I,CONCATENATE($B29,AS$16,"W"))+COUNTIFS(Database!$F:$I,CONCATENATE(AS$16,$B29,"W"))</f>
        <v>0</v>
      </c>
      <c r="AT29" s="123">
        <f>COUNTIFS(Database!$F:$I,CONCATENATE($B29,AT$16,"L"))+COUNTIFS(Database!$F:$I,CONCATENATE(AT$16,$B29,"L"))+COUNTIFS(Database!$F:$I,CONCATENATE($B29,AT$16,"W"))+COUNTIFS(Database!$F:$I,CONCATENATE(AT$16,$B29,"W"))</f>
        <v>2</v>
      </c>
      <c r="AU29" s="123">
        <f>COUNTIFS(Database!$F:$I,CONCATENATE($B29,AU$16,"L"))+COUNTIFS(Database!$F:$I,CONCATENATE(AU$16,$B29,"L"))+COUNTIFS(Database!$F:$I,CONCATENATE($B29,AU$16,"W"))+COUNTIFS(Database!$F:$I,CONCATENATE(AU$16,$B29,"W"))</f>
        <v>7</v>
      </c>
      <c r="AV29" s="123">
        <f>COUNTIFS(Database!$F:$I,CONCATENATE($B29,AV$16,"L"))+COUNTIFS(Database!$F:$I,CONCATENATE(AV$16,$B29,"L"))+COUNTIFS(Database!$F:$I,CONCATENATE($B29,AV$16,"W"))+COUNTIFS(Database!$F:$I,CONCATENATE(AV$16,$B29,"W"))</f>
        <v>2</v>
      </c>
      <c r="AW29" s="123">
        <f>COUNTIFS(Database!$F:$I,CONCATENATE($B29,AW$16,"L"))+COUNTIFS(Database!$F:$I,CONCATENATE(AW$16,$B29,"L"))+COUNTIFS(Database!$F:$I,CONCATENATE($B29,AW$16,"W"))+COUNTIFS(Database!$F:$I,CONCATENATE(AW$16,$B29,"W"))</f>
        <v>5</v>
      </c>
      <c r="AX29" s="123">
        <f>COUNTIFS(Database!$F:$I,CONCATENATE($B29,AX$16,"L"))+COUNTIFS(Database!$F:$I,CONCATENATE(AX$16,$B29,"L"))+COUNTIFS(Database!$F:$I,CONCATENATE($B29,AX$16,"W"))+COUNTIFS(Database!$F:$I,CONCATENATE(AX$16,$B29,"W"))</f>
        <v>1</v>
      </c>
      <c r="AY29" s="123">
        <f>COUNTIFS(Database!$F:$I,CONCATENATE($B29,AY$16,"L"))+COUNTIFS(Database!$F:$I,CONCATENATE(AY$16,$B29,"L"))+COUNTIFS(Database!$F:$I,CONCATENATE($B29,AY$16,"W"))+COUNTIFS(Database!$F:$I,CONCATENATE(AY$16,$B29,"W"))</f>
        <v>9</v>
      </c>
    </row>
    <row r="30" spans="2:51" x14ac:dyDescent="0.25">
      <c r="B30" s="120" t="s">
        <v>16</v>
      </c>
      <c r="C30" s="123">
        <f>COUNTIFS(Database!$F:$I,CONCATENATE($B30,C$16,"L"))+COUNTIFS(Database!$F:$I,CONCATENATE(C$16,$B30,"L"))+COUNTIFS(Database!$F:$I,CONCATENATE($B30,C$16,"W"))+COUNTIFS(Database!$F:$I,CONCATENATE(C$16,$B30,"W"))</f>
        <v>0</v>
      </c>
      <c r="D30" s="123">
        <f>COUNTIFS(Database!$F:$I,CONCATENATE($B30,D$16,"L"))+COUNTIFS(Database!$F:$I,CONCATENATE(D$16,$B30,"L"))+COUNTIFS(Database!$F:$I,CONCATENATE($B30,D$16,"W"))+COUNTIFS(Database!$F:$I,CONCATENATE(D$16,$B30,"W"))</f>
        <v>0</v>
      </c>
      <c r="E30" s="123">
        <f>COUNTIFS(Database!$F:$I,CONCATENATE($B30,E$16,"L"))+COUNTIFS(Database!$F:$I,CONCATENATE(E$16,$B30,"L"))+COUNTIFS(Database!$F:$I,CONCATENATE($B30,E$16,"W"))+COUNTIFS(Database!$F:$I,CONCATENATE(E$16,$B30,"W"))</f>
        <v>1</v>
      </c>
      <c r="F30" s="123">
        <f>COUNTIFS(Database!$F:$I,CONCATENATE($B30,F$16,"L"))+COUNTIFS(Database!$F:$I,CONCATENATE(F$16,$B30,"L"))+COUNTIFS(Database!$F:$I,CONCATENATE($B30,F$16,"W"))+COUNTIFS(Database!$F:$I,CONCATENATE(F$16,$B30,"W"))</f>
        <v>1</v>
      </c>
      <c r="G30" s="123">
        <f>COUNTIFS(Database!$F:$I,CONCATENATE($B30,G$16,"L"))+COUNTIFS(Database!$F:$I,CONCATENATE(G$16,$B30,"L"))+COUNTIFS(Database!$F:$I,CONCATENATE($B30,G$16,"W"))+COUNTIFS(Database!$F:$I,CONCATENATE(G$16,$B30,"W"))</f>
        <v>0</v>
      </c>
      <c r="H30" s="123">
        <f>COUNTIFS(Database!$F:$I,CONCATENATE($B30,H$16,"L"))+COUNTIFS(Database!$F:$I,CONCATENATE(H$16,$B30,"L"))+COUNTIFS(Database!$F:$I,CONCATENATE($B30,H$16,"W"))+COUNTIFS(Database!$F:$I,CONCATENATE(H$16,$B30,"W"))</f>
        <v>0</v>
      </c>
      <c r="I30" s="123">
        <f>COUNTIFS(Database!$F:$I,CONCATENATE($B30,I$16,"L"))+COUNTIFS(Database!$F:$I,CONCATENATE(I$16,$B30,"L"))+COUNTIFS(Database!$F:$I,CONCATENATE($B30,I$16,"W"))+COUNTIFS(Database!$F:$I,CONCATENATE(I$16,$B30,"W"))</f>
        <v>1</v>
      </c>
      <c r="J30" s="123">
        <f>COUNTIFS(Database!$F:$I,CONCATENATE($B30,J$16,"L"))+COUNTIFS(Database!$F:$I,CONCATENATE(J$16,$B30,"L"))+COUNTIFS(Database!$F:$I,CONCATENATE($B30,J$16,"W"))+COUNTIFS(Database!$F:$I,CONCATENATE(J$16,$B30,"W"))</f>
        <v>0</v>
      </c>
      <c r="K30" s="123">
        <f>COUNTIFS(Database!$F:$I,CONCATENATE($B30,K$16,"L"))+COUNTIFS(Database!$F:$I,CONCATENATE(K$16,$B30,"L"))+COUNTIFS(Database!$F:$I,CONCATENATE($B30,K$16,"W"))+COUNTIFS(Database!$F:$I,CONCATENATE(K$16,$B30,"W"))</f>
        <v>2</v>
      </c>
      <c r="L30" s="123">
        <f>COUNTIFS(Database!$F:$I,CONCATENATE($B30,L$16,"L"))+COUNTIFS(Database!$F:$I,CONCATENATE(L$16,$B30,"L"))+COUNTIFS(Database!$F:$I,CONCATENATE($B30,L$16,"W"))+COUNTIFS(Database!$F:$I,CONCATENATE(L$16,$B30,"W"))</f>
        <v>1</v>
      </c>
      <c r="M30" s="123">
        <f>COUNTIFS(Database!$F:$I,CONCATENATE($B30,M$16,"L"))+COUNTIFS(Database!$F:$I,CONCATENATE(M$16,$B30,"L"))+COUNTIFS(Database!$F:$I,CONCATENATE($B30,M$16,"W"))+COUNTIFS(Database!$F:$I,CONCATENATE(M$16,$B30,"W"))</f>
        <v>0</v>
      </c>
      <c r="N30" s="123">
        <f>COUNTIFS(Database!$F:$I,CONCATENATE($B30,N$16,"L"))+COUNTIFS(Database!$F:$I,CONCATENATE(N$16,$B30,"L"))+COUNTIFS(Database!$F:$I,CONCATENATE($B30,N$16,"W"))+COUNTIFS(Database!$F:$I,CONCATENATE(N$16,$B30,"W"))</f>
        <v>1</v>
      </c>
      <c r="O30" s="123">
        <f>COUNTIFS(Database!$F:$I,CONCATENATE($B30,O$16,"L"))+COUNTIFS(Database!$F:$I,CONCATENATE(O$16,$B30,"L"))+COUNTIFS(Database!$F:$I,CONCATENATE($B30,O$16,"W"))+COUNTIFS(Database!$F:$I,CONCATENATE(O$16,$B30,"W"))</f>
        <v>1</v>
      </c>
      <c r="P30" s="123">
        <f>COUNTIFS(Database!$F:$I,CONCATENATE($B30,P$16,"L"))+COUNTIFS(Database!$F:$I,CONCATENATE(P$16,$B30,"L"))+COUNTIFS(Database!$F:$I,CONCATENATE($B30,P$16,"W"))+COUNTIFS(Database!$F:$I,CONCATENATE(P$16,$B30,"W"))</f>
        <v>0</v>
      </c>
      <c r="Q30" s="123">
        <f>COUNTIFS(Database!$F:$I,CONCATENATE($B30,Q$16,"L"))+COUNTIFS(Database!$F:$I,CONCATENATE(Q$16,$B30,"L"))+COUNTIFS(Database!$F:$I,CONCATENATE($B30,Q$16,"W"))+COUNTIFS(Database!$F:$I,CONCATENATE(Q$16,$B30,"W"))</f>
        <v>0</v>
      </c>
      <c r="R30" s="123">
        <f>COUNTIFS(Database!$F:$I,CONCATENATE($B30,R$16,"L"))+COUNTIFS(Database!$F:$I,CONCATENATE(R$16,$B30,"L"))+COUNTIFS(Database!$F:$I,CONCATENATE($B30,R$16,"W"))+COUNTIFS(Database!$F:$I,CONCATENATE(R$16,$B30,"W"))</f>
        <v>0</v>
      </c>
      <c r="S30" s="123">
        <f>COUNTIFS(Database!$F:$I,CONCATENATE($B30,S$16,"L"))+COUNTIFS(Database!$F:$I,CONCATENATE(S$16,$B30,"L"))+COUNTIFS(Database!$F:$I,CONCATENATE($B30,S$16,"W"))+COUNTIFS(Database!$F:$I,CONCATENATE(S$16,$B30,"W"))</f>
        <v>0</v>
      </c>
      <c r="T30" s="123">
        <f>COUNTIFS(Database!$F:$I,CONCATENATE($B30,T$16,"L"))+COUNTIFS(Database!$F:$I,CONCATENATE(T$16,$B30,"L"))+COUNTIFS(Database!$F:$I,CONCATENATE($B30,T$16,"W"))+COUNTIFS(Database!$F:$I,CONCATENATE(T$16,$B30,"W"))</f>
        <v>2</v>
      </c>
      <c r="U30" s="123">
        <f>COUNTIFS(Database!$F:$I,CONCATENATE($B30,U$16,"L"))+COUNTIFS(Database!$F:$I,CONCATENATE(U$16,$B30,"L"))+COUNTIFS(Database!$F:$I,CONCATENATE($B30,U$16,"W"))+COUNTIFS(Database!$F:$I,CONCATENATE(U$16,$B30,"W"))</f>
        <v>0</v>
      </c>
      <c r="V30" s="123">
        <f>COUNTIFS(Database!$F:$I,CONCATENATE($B30,V$16,"L"))+COUNTIFS(Database!$F:$I,CONCATENATE(V$16,$B30,"L"))+COUNTIFS(Database!$F:$I,CONCATENATE($B30,V$16,"W"))+COUNTIFS(Database!$F:$I,CONCATENATE(V$16,$B30,"W"))</f>
        <v>0</v>
      </c>
      <c r="W30" s="123">
        <f>COUNTIFS(Database!$F:$I,CONCATENATE($B30,W$16,"L"))+COUNTIFS(Database!$F:$I,CONCATENATE(W$16,$B30,"L"))+COUNTIFS(Database!$F:$I,CONCATENATE($B30,W$16,"W"))+COUNTIFS(Database!$F:$I,CONCATENATE(W$16,$B30,"W"))</f>
        <v>1</v>
      </c>
      <c r="X30" s="123">
        <f>COUNTIFS(Database!$F:$I,CONCATENATE($B30,X$16,"L"))+COUNTIFS(Database!$F:$I,CONCATENATE(X$16,$B30,"L"))+COUNTIFS(Database!$F:$I,CONCATENATE($B30,X$16,"W"))+COUNTIFS(Database!$F:$I,CONCATENATE(X$16,$B30,"W"))</f>
        <v>0</v>
      </c>
      <c r="Y30" s="123">
        <f>COUNTIFS(Database!$F:$I,CONCATENATE($B30,Y$16,"L"))+COUNTIFS(Database!$F:$I,CONCATENATE(Y$16,$B30,"L"))+COUNTIFS(Database!$F:$I,CONCATENATE($B30,Y$16,"W"))+COUNTIFS(Database!$F:$I,CONCATENATE(Y$16,$B30,"W"))</f>
        <v>0</v>
      </c>
      <c r="Z30" s="123">
        <f>COUNTIFS(Database!$F:$I,CONCATENATE($B30,Z$16,"L"))+COUNTIFS(Database!$F:$I,CONCATENATE(Z$16,$B30,"L"))+COUNTIFS(Database!$F:$I,CONCATENATE($B30,Z$16,"W"))+COUNTIFS(Database!$F:$I,CONCATENATE(Z$16,$B30,"W"))</f>
        <v>0</v>
      </c>
      <c r="AA30" s="123">
        <f>COUNTIFS(Database!$F:$I,CONCATENATE($B30,AA$16,"L"))+COUNTIFS(Database!$F:$I,CONCATENATE(AA$16,$B30,"L"))+COUNTIFS(Database!$F:$I,CONCATENATE($B30,AA$16,"W"))+COUNTIFS(Database!$F:$I,CONCATENATE(AA$16,$B30,"W"))</f>
        <v>0</v>
      </c>
      <c r="AB30" s="123">
        <f>COUNTIFS(Database!$F:$I,CONCATENATE($B30,AB$16,"L"))+COUNTIFS(Database!$F:$I,CONCATENATE(AB$16,$B30,"L"))+COUNTIFS(Database!$F:$I,CONCATENATE($B30,AB$16,"W"))+COUNTIFS(Database!$F:$I,CONCATENATE(AB$16,$B30,"W"))</f>
        <v>2</v>
      </c>
      <c r="AC30" s="123">
        <f>COUNTIFS(Database!$F:$I,CONCATENATE($B30,AC$16,"L"))+COUNTIFS(Database!$F:$I,CONCATENATE(AC$16,$B30,"L"))+COUNTIFS(Database!$F:$I,CONCATENATE($B30,AC$16,"W"))+COUNTIFS(Database!$F:$I,CONCATENATE(AC$16,$B30,"W"))</f>
        <v>0</v>
      </c>
      <c r="AD30" s="123">
        <f>COUNTIFS(Database!$F:$I,CONCATENATE($B30,AD$16,"L"))+COUNTIFS(Database!$F:$I,CONCATENATE(AD$16,$B30,"L"))+COUNTIFS(Database!$F:$I,CONCATENATE($B30,AD$16,"W"))+COUNTIFS(Database!$F:$I,CONCATENATE(AD$16,$B30,"W"))</f>
        <v>0</v>
      </c>
      <c r="AE30" s="123">
        <f>COUNTIFS(Database!$F:$I,CONCATENATE($B30,AE$16,"L"))+COUNTIFS(Database!$F:$I,CONCATENATE(AE$16,$B30,"L"))+COUNTIFS(Database!$F:$I,CONCATENATE($B30,AE$16,"W"))+COUNTIFS(Database!$F:$I,CONCATENATE(AE$16,$B30,"W"))</f>
        <v>0</v>
      </c>
      <c r="AF30" s="123">
        <f>COUNTIFS(Database!$F:$I,CONCATENATE($B30,AF$16,"L"))+COUNTIFS(Database!$F:$I,CONCATENATE(AF$16,$B30,"L"))+COUNTIFS(Database!$F:$I,CONCATENATE($B30,AF$16,"W"))+COUNTIFS(Database!$F:$I,CONCATENATE(AF$16,$B30,"W"))</f>
        <v>0</v>
      </c>
      <c r="AG30" s="123">
        <f>COUNTIFS(Database!$F:$I,CONCATENATE($B30,AG$16,"L"))+COUNTIFS(Database!$F:$I,CONCATENATE(AG$16,$B30,"L"))+COUNTIFS(Database!$F:$I,CONCATENATE($B30,AG$16,"W"))+COUNTIFS(Database!$F:$I,CONCATENATE(AG$16,$B30,"W"))</f>
        <v>0</v>
      </c>
      <c r="AH30" s="123">
        <f>COUNTIFS(Database!$F:$I,CONCATENATE($B30,AH$16,"L"))+COUNTIFS(Database!$F:$I,CONCATENATE(AH$16,$B30,"L"))+COUNTIFS(Database!$F:$I,CONCATENATE($B30,AH$16,"W"))+COUNTIFS(Database!$F:$I,CONCATENATE(AH$16,$B30,"W"))</f>
        <v>0</v>
      </c>
      <c r="AI30" s="123">
        <f>COUNTIFS(Database!$F:$I,CONCATENATE($B30,AI$16,"L"))+COUNTIFS(Database!$F:$I,CONCATENATE(AI$16,$B30,"L"))+COUNTIFS(Database!$F:$I,CONCATENATE($B30,AI$16,"W"))+COUNTIFS(Database!$F:$I,CONCATENATE(AI$16,$B30,"W"))</f>
        <v>0</v>
      </c>
      <c r="AJ30" s="123">
        <f>COUNTIFS(Database!$F:$I,CONCATENATE($B30,AJ$16,"L"))+COUNTIFS(Database!$F:$I,CONCATENATE(AJ$16,$B30,"L"))+COUNTIFS(Database!$F:$I,CONCATENATE($B30,AJ$16,"W"))+COUNTIFS(Database!$F:$I,CONCATENATE(AJ$16,$B30,"W"))</f>
        <v>0</v>
      </c>
      <c r="AK30" s="123">
        <f>COUNTIFS(Database!$F:$I,CONCATENATE($B30,AK$16,"L"))+COUNTIFS(Database!$F:$I,CONCATENATE(AK$16,$B30,"L"))+COUNTIFS(Database!$F:$I,CONCATENATE($B30,AK$16,"W"))+COUNTIFS(Database!$F:$I,CONCATENATE(AK$16,$B30,"W"))</f>
        <v>0</v>
      </c>
      <c r="AL30" s="123">
        <f>COUNTIFS(Database!$F:$I,CONCATENATE($B30,AL$16,"L"))+COUNTIFS(Database!$F:$I,CONCATENATE(AL$16,$B30,"L"))+COUNTIFS(Database!$F:$I,CONCATENATE($B30,AL$16,"W"))+COUNTIFS(Database!$F:$I,CONCATENATE(AL$16,$B30,"W"))</f>
        <v>0</v>
      </c>
      <c r="AM30" s="123">
        <f>COUNTIFS(Database!$F:$I,CONCATENATE($B30,AM$16,"L"))+COUNTIFS(Database!$F:$I,CONCATENATE(AM$16,$B30,"L"))+COUNTIFS(Database!$F:$I,CONCATENATE($B30,AM$16,"W"))+COUNTIFS(Database!$F:$I,CONCATENATE(AM$16,$B30,"W"))</f>
        <v>0</v>
      </c>
      <c r="AN30" s="123">
        <f>COUNTIFS(Database!$F:$I,CONCATENATE($B30,AN$16,"L"))+COUNTIFS(Database!$F:$I,CONCATENATE(AN$16,$B30,"L"))+COUNTIFS(Database!$F:$I,CONCATENATE($B30,AN$16,"W"))+COUNTIFS(Database!$F:$I,CONCATENATE(AN$16,$B30,"W"))</f>
        <v>0</v>
      </c>
      <c r="AO30" s="123">
        <f>COUNTIFS(Database!$F:$I,CONCATENATE($B30,AO$16,"L"))+COUNTIFS(Database!$F:$I,CONCATENATE(AO$16,$B30,"L"))+COUNTIFS(Database!$F:$I,CONCATENATE($B30,AO$16,"W"))+COUNTIFS(Database!$F:$I,CONCATENATE(AO$16,$B30,"W"))</f>
        <v>0</v>
      </c>
      <c r="AP30" s="123">
        <f>COUNTIFS(Database!$F:$I,CONCATENATE($B30,AP$16,"L"))+COUNTIFS(Database!$F:$I,CONCATENATE(AP$16,$B30,"L"))+COUNTIFS(Database!$F:$I,CONCATENATE($B30,AP$16,"W"))+COUNTIFS(Database!$F:$I,CONCATENATE(AP$16,$B30,"W"))</f>
        <v>0</v>
      </c>
      <c r="AQ30" s="123">
        <f>COUNTIFS(Database!$F:$I,CONCATENATE($B30,AQ$16,"L"))+COUNTIFS(Database!$F:$I,CONCATENATE(AQ$16,$B30,"L"))+COUNTIFS(Database!$F:$I,CONCATENATE($B30,AQ$16,"W"))+COUNTIFS(Database!$F:$I,CONCATENATE(AQ$16,$B30,"W"))</f>
        <v>0</v>
      </c>
      <c r="AR30" s="123">
        <f>COUNTIFS(Database!$F:$I,CONCATENATE($B30,AR$16,"L"))+COUNTIFS(Database!$F:$I,CONCATENATE(AR$16,$B30,"L"))+COUNTIFS(Database!$F:$I,CONCATENATE($B30,AR$16,"W"))+COUNTIFS(Database!$F:$I,CONCATENATE(AR$16,$B30,"W"))</f>
        <v>0</v>
      </c>
      <c r="AS30" s="123">
        <f>COUNTIFS(Database!$F:$I,CONCATENATE($B30,AS$16,"L"))+COUNTIFS(Database!$F:$I,CONCATENATE(AS$16,$B30,"L"))+COUNTIFS(Database!$F:$I,CONCATENATE($B30,AS$16,"W"))+COUNTIFS(Database!$F:$I,CONCATENATE(AS$16,$B30,"W"))</f>
        <v>0</v>
      </c>
      <c r="AT30" s="123">
        <f>COUNTIFS(Database!$F:$I,CONCATENATE($B30,AT$16,"L"))+COUNTIFS(Database!$F:$I,CONCATENATE(AT$16,$B30,"L"))+COUNTIFS(Database!$F:$I,CONCATENATE($B30,AT$16,"W"))+COUNTIFS(Database!$F:$I,CONCATENATE(AT$16,$B30,"W"))</f>
        <v>0</v>
      </c>
      <c r="AU30" s="123">
        <f>COUNTIFS(Database!$F:$I,CONCATENATE($B30,AU$16,"L"))+COUNTIFS(Database!$F:$I,CONCATENATE(AU$16,$B30,"L"))+COUNTIFS(Database!$F:$I,CONCATENATE($B30,AU$16,"W"))+COUNTIFS(Database!$F:$I,CONCATENATE(AU$16,$B30,"W"))</f>
        <v>0</v>
      </c>
      <c r="AV30" s="123">
        <f>COUNTIFS(Database!$F:$I,CONCATENATE($B30,AV$16,"L"))+COUNTIFS(Database!$F:$I,CONCATENATE(AV$16,$B30,"L"))+COUNTIFS(Database!$F:$I,CONCATENATE($B30,AV$16,"W"))+COUNTIFS(Database!$F:$I,CONCATENATE(AV$16,$B30,"W"))</f>
        <v>0</v>
      </c>
      <c r="AW30" s="123">
        <f>COUNTIFS(Database!$F:$I,CONCATENATE($B30,AW$16,"L"))+COUNTIFS(Database!$F:$I,CONCATENATE(AW$16,$B30,"L"))+COUNTIFS(Database!$F:$I,CONCATENATE($B30,AW$16,"W"))+COUNTIFS(Database!$F:$I,CONCATENATE(AW$16,$B30,"W"))</f>
        <v>1</v>
      </c>
      <c r="AX30" s="123">
        <f>COUNTIFS(Database!$F:$I,CONCATENATE($B30,AX$16,"L"))+COUNTIFS(Database!$F:$I,CONCATENATE(AX$16,$B30,"L"))+COUNTIFS(Database!$F:$I,CONCATENATE($B30,AX$16,"W"))+COUNTIFS(Database!$F:$I,CONCATENATE(AX$16,$B30,"W"))</f>
        <v>0</v>
      </c>
      <c r="AY30" s="123">
        <f>COUNTIFS(Database!$F:$I,CONCATENATE($B30,AY$16,"L"))+COUNTIFS(Database!$F:$I,CONCATENATE(AY$16,$B30,"L"))+COUNTIFS(Database!$F:$I,CONCATENATE($B30,AY$16,"W"))+COUNTIFS(Database!$F:$I,CONCATENATE(AY$16,$B30,"W"))</f>
        <v>1</v>
      </c>
    </row>
    <row r="31" spans="2:51" x14ac:dyDescent="0.25">
      <c r="B31" s="120" t="s">
        <v>23</v>
      </c>
      <c r="C31" s="123">
        <f>COUNTIFS(Database!$F:$I,CONCATENATE($B31,C$16,"L"))+COUNTIFS(Database!$F:$I,CONCATENATE(C$16,$B31,"L"))+COUNTIFS(Database!$F:$I,CONCATENATE($B31,C$16,"W"))+COUNTIFS(Database!$F:$I,CONCATENATE(C$16,$B31,"W"))</f>
        <v>0</v>
      </c>
      <c r="D31" s="123">
        <f>COUNTIFS(Database!$F:$I,CONCATENATE($B31,D$16,"L"))+COUNTIFS(Database!$F:$I,CONCATENATE(D$16,$B31,"L"))+COUNTIFS(Database!$F:$I,CONCATENATE($B31,D$16,"W"))+COUNTIFS(Database!$F:$I,CONCATENATE(D$16,$B31,"W"))</f>
        <v>0</v>
      </c>
      <c r="E31" s="123">
        <f>COUNTIFS(Database!$F:$I,CONCATENATE($B31,E$16,"L"))+COUNTIFS(Database!$F:$I,CONCATENATE(E$16,$B31,"L"))+COUNTIFS(Database!$F:$I,CONCATENATE($B31,E$16,"W"))+COUNTIFS(Database!$F:$I,CONCATENATE(E$16,$B31,"W"))</f>
        <v>1</v>
      </c>
      <c r="F31" s="123">
        <f>COUNTIFS(Database!$F:$I,CONCATENATE($B31,F$16,"L"))+COUNTIFS(Database!$F:$I,CONCATENATE(F$16,$B31,"L"))+COUNTIFS(Database!$F:$I,CONCATENATE($B31,F$16,"W"))+COUNTIFS(Database!$F:$I,CONCATENATE(F$16,$B31,"W"))</f>
        <v>1</v>
      </c>
      <c r="G31" s="123">
        <f>COUNTIFS(Database!$F:$I,CONCATENATE($B31,G$16,"L"))+COUNTIFS(Database!$F:$I,CONCATENATE(G$16,$B31,"L"))+COUNTIFS(Database!$F:$I,CONCATENATE($B31,G$16,"W"))+COUNTIFS(Database!$F:$I,CONCATENATE(G$16,$B31,"W"))</f>
        <v>0</v>
      </c>
      <c r="H31" s="123">
        <f>COUNTIFS(Database!$F:$I,CONCATENATE($B31,H$16,"L"))+COUNTIFS(Database!$F:$I,CONCATENATE(H$16,$B31,"L"))+COUNTIFS(Database!$F:$I,CONCATENATE($B31,H$16,"W"))+COUNTIFS(Database!$F:$I,CONCATENATE(H$16,$B31,"W"))</f>
        <v>0</v>
      </c>
      <c r="I31" s="123">
        <f>COUNTIFS(Database!$F:$I,CONCATENATE($B31,I$16,"L"))+COUNTIFS(Database!$F:$I,CONCATENATE(I$16,$B31,"L"))+COUNTIFS(Database!$F:$I,CONCATENATE($B31,I$16,"W"))+COUNTIFS(Database!$F:$I,CONCATENATE(I$16,$B31,"W"))</f>
        <v>0</v>
      </c>
      <c r="J31" s="123">
        <f>COUNTIFS(Database!$F:$I,CONCATENATE($B31,J$16,"L"))+COUNTIFS(Database!$F:$I,CONCATENATE(J$16,$B31,"L"))+COUNTIFS(Database!$F:$I,CONCATENATE($B31,J$16,"W"))+COUNTIFS(Database!$F:$I,CONCATENATE(J$16,$B31,"W"))</f>
        <v>1</v>
      </c>
      <c r="K31" s="123">
        <f>COUNTIFS(Database!$F:$I,CONCATENATE($B31,K$16,"L"))+COUNTIFS(Database!$F:$I,CONCATENATE(K$16,$B31,"L"))+COUNTIFS(Database!$F:$I,CONCATENATE($B31,K$16,"W"))+COUNTIFS(Database!$F:$I,CONCATENATE(K$16,$B31,"W"))</f>
        <v>1</v>
      </c>
      <c r="L31" s="123">
        <f>COUNTIFS(Database!$F:$I,CONCATENATE($B31,L$16,"L"))+COUNTIFS(Database!$F:$I,CONCATENATE(L$16,$B31,"L"))+COUNTIFS(Database!$F:$I,CONCATENATE($B31,L$16,"W"))+COUNTIFS(Database!$F:$I,CONCATENATE(L$16,$B31,"W"))</f>
        <v>0</v>
      </c>
      <c r="M31" s="123">
        <f>COUNTIFS(Database!$F:$I,CONCATENATE($B31,M$16,"L"))+COUNTIFS(Database!$F:$I,CONCATENATE(M$16,$B31,"L"))+COUNTIFS(Database!$F:$I,CONCATENATE($B31,M$16,"W"))+COUNTIFS(Database!$F:$I,CONCATENATE(M$16,$B31,"W"))</f>
        <v>0</v>
      </c>
      <c r="N31" s="123">
        <f>COUNTIFS(Database!$F:$I,CONCATENATE($B31,N$16,"L"))+COUNTIFS(Database!$F:$I,CONCATENATE(N$16,$B31,"L"))+COUNTIFS(Database!$F:$I,CONCATENATE($B31,N$16,"W"))+COUNTIFS(Database!$F:$I,CONCATENATE(N$16,$B31,"W"))</f>
        <v>1</v>
      </c>
      <c r="O31" s="123">
        <f>COUNTIFS(Database!$F:$I,CONCATENATE($B31,O$16,"L"))+COUNTIFS(Database!$F:$I,CONCATENATE(O$16,$B31,"L"))+COUNTIFS(Database!$F:$I,CONCATENATE($B31,O$16,"W"))+COUNTIFS(Database!$F:$I,CONCATENATE(O$16,$B31,"W"))</f>
        <v>1</v>
      </c>
      <c r="P31" s="123">
        <f>COUNTIFS(Database!$F:$I,CONCATENATE($B31,P$16,"L"))+COUNTIFS(Database!$F:$I,CONCATENATE(P$16,$B31,"L"))+COUNTIFS(Database!$F:$I,CONCATENATE($B31,P$16,"W"))+COUNTIFS(Database!$F:$I,CONCATENATE(P$16,$B31,"W"))</f>
        <v>0</v>
      </c>
      <c r="Q31" s="123">
        <f>COUNTIFS(Database!$F:$I,CONCATENATE($B31,Q$16,"L"))+COUNTIFS(Database!$F:$I,CONCATENATE(Q$16,$B31,"L"))+COUNTIFS(Database!$F:$I,CONCATENATE($B31,Q$16,"W"))+COUNTIFS(Database!$F:$I,CONCATENATE(Q$16,$B31,"W"))</f>
        <v>0</v>
      </c>
      <c r="R31" s="123">
        <f>COUNTIFS(Database!$F:$I,CONCATENATE($B31,R$16,"L"))+COUNTIFS(Database!$F:$I,CONCATENATE(R$16,$B31,"L"))+COUNTIFS(Database!$F:$I,CONCATENATE($B31,R$16,"W"))+COUNTIFS(Database!$F:$I,CONCATENATE(R$16,$B31,"W"))</f>
        <v>0</v>
      </c>
      <c r="S31" s="123">
        <f>COUNTIFS(Database!$F:$I,CONCATENATE($B31,S$16,"L"))+COUNTIFS(Database!$F:$I,CONCATENATE(S$16,$B31,"L"))+COUNTIFS(Database!$F:$I,CONCATENATE($B31,S$16,"W"))+COUNTIFS(Database!$F:$I,CONCATENATE(S$16,$B31,"W"))</f>
        <v>0</v>
      </c>
      <c r="T31" s="123">
        <f>COUNTIFS(Database!$F:$I,CONCATENATE($B31,T$16,"L"))+COUNTIFS(Database!$F:$I,CONCATENATE(T$16,$B31,"L"))+COUNTIFS(Database!$F:$I,CONCATENATE($B31,T$16,"W"))+COUNTIFS(Database!$F:$I,CONCATENATE(T$16,$B31,"W"))</f>
        <v>0</v>
      </c>
      <c r="U31" s="123">
        <f>COUNTIFS(Database!$F:$I,CONCATENATE($B31,U$16,"L"))+COUNTIFS(Database!$F:$I,CONCATENATE(U$16,$B31,"L"))+COUNTIFS(Database!$F:$I,CONCATENATE($B31,U$16,"W"))+COUNTIFS(Database!$F:$I,CONCATENATE(U$16,$B31,"W"))</f>
        <v>0</v>
      </c>
      <c r="V31" s="123">
        <f>COUNTIFS(Database!$F:$I,CONCATENATE($B31,V$16,"L"))+COUNTIFS(Database!$F:$I,CONCATENATE(V$16,$B31,"L"))+COUNTIFS(Database!$F:$I,CONCATENATE($B31,V$16,"W"))+COUNTIFS(Database!$F:$I,CONCATENATE(V$16,$B31,"W"))</f>
        <v>0</v>
      </c>
      <c r="W31" s="123">
        <f>COUNTIFS(Database!$F:$I,CONCATENATE($B31,W$16,"L"))+COUNTIFS(Database!$F:$I,CONCATENATE(W$16,$B31,"L"))+COUNTIFS(Database!$F:$I,CONCATENATE($B31,W$16,"W"))+COUNTIFS(Database!$F:$I,CONCATENATE(W$16,$B31,"W"))</f>
        <v>0</v>
      </c>
      <c r="X31" s="123">
        <f>COUNTIFS(Database!$F:$I,CONCATENATE($B31,X$16,"L"))+COUNTIFS(Database!$F:$I,CONCATENATE(X$16,$B31,"L"))+COUNTIFS(Database!$F:$I,CONCATENATE($B31,X$16,"W"))+COUNTIFS(Database!$F:$I,CONCATENATE(X$16,$B31,"W"))</f>
        <v>0</v>
      </c>
      <c r="Y31" s="123">
        <f>COUNTIFS(Database!$F:$I,CONCATENATE($B31,Y$16,"L"))+COUNTIFS(Database!$F:$I,CONCATENATE(Y$16,$B31,"L"))+COUNTIFS(Database!$F:$I,CONCATENATE($B31,Y$16,"W"))+COUNTIFS(Database!$F:$I,CONCATENATE(Y$16,$B31,"W"))</f>
        <v>0</v>
      </c>
      <c r="Z31" s="123">
        <f>COUNTIFS(Database!$F:$I,CONCATENATE($B31,Z$16,"L"))+COUNTIFS(Database!$F:$I,CONCATENATE(Z$16,$B31,"L"))+COUNTIFS(Database!$F:$I,CONCATENATE($B31,Z$16,"W"))+COUNTIFS(Database!$F:$I,CONCATENATE(Z$16,$B31,"W"))</f>
        <v>0</v>
      </c>
      <c r="AA31" s="123">
        <f>COUNTIFS(Database!$F:$I,CONCATENATE($B31,AA$16,"L"))+COUNTIFS(Database!$F:$I,CONCATENATE(AA$16,$B31,"L"))+COUNTIFS(Database!$F:$I,CONCATENATE($B31,AA$16,"W"))+COUNTIFS(Database!$F:$I,CONCATENATE(AA$16,$B31,"W"))</f>
        <v>0</v>
      </c>
      <c r="AB31" s="123">
        <f>COUNTIFS(Database!$F:$I,CONCATENATE($B31,AB$16,"L"))+COUNTIFS(Database!$F:$I,CONCATENATE(AB$16,$B31,"L"))+COUNTIFS(Database!$F:$I,CONCATENATE($B31,AB$16,"W"))+COUNTIFS(Database!$F:$I,CONCATENATE(AB$16,$B31,"W"))</f>
        <v>0</v>
      </c>
      <c r="AC31" s="123">
        <f>COUNTIFS(Database!$F:$I,CONCATENATE($B31,AC$16,"L"))+COUNTIFS(Database!$F:$I,CONCATENATE(AC$16,$B31,"L"))+COUNTIFS(Database!$F:$I,CONCATENATE($B31,AC$16,"W"))+COUNTIFS(Database!$F:$I,CONCATENATE(AC$16,$B31,"W"))</f>
        <v>1</v>
      </c>
      <c r="AD31" s="123">
        <f>COUNTIFS(Database!$F:$I,CONCATENATE($B31,AD$16,"L"))+COUNTIFS(Database!$F:$I,CONCATENATE(AD$16,$B31,"L"))+COUNTIFS(Database!$F:$I,CONCATENATE($B31,AD$16,"W"))+COUNTIFS(Database!$F:$I,CONCATENATE(AD$16,$B31,"W"))</f>
        <v>0</v>
      </c>
      <c r="AE31" s="123">
        <f>COUNTIFS(Database!$F:$I,CONCATENATE($B31,AE$16,"L"))+COUNTIFS(Database!$F:$I,CONCATENATE(AE$16,$B31,"L"))+COUNTIFS(Database!$F:$I,CONCATENATE($B31,AE$16,"W"))+COUNTIFS(Database!$F:$I,CONCATENATE(AE$16,$B31,"W"))</f>
        <v>0</v>
      </c>
      <c r="AF31" s="123">
        <f>COUNTIFS(Database!$F:$I,CONCATENATE($B31,AF$16,"L"))+COUNTIFS(Database!$F:$I,CONCATENATE(AF$16,$B31,"L"))+COUNTIFS(Database!$F:$I,CONCATENATE($B31,AF$16,"W"))+COUNTIFS(Database!$F:$I,CONCATENATE(AF$16,$B31,"W"))</f>
        <v>0</v>
      </c>
      <c r="AG31" s="123">
        <f>COUNTIFS(Database!$F:$I,CONCATENATE($B31,AG$16,"L"))+COUNTIFS(Database!$F:$I,CONCATENATE(AG$16,$B31,"L"))+COUNTIFS(Database!$F:$I,CONCATENATE($B31,AG$16,"W"))+COUNTIFS(Database!$F:$I,CONCATENATE(AG$16,$B31,"W"))</f>
        <v>0</v>
      </c>
      <c r="AH31" s="123">
        <f>COUNTIFS(Database!$F:$I,CONCATENATE($B31,AH$16,"L"))+COUNTIFS(Database!$F:$I,CONCATENATE(AH$16,$B31,"L"))+COUNTIFS(Database!$F:$I,CONCATENATE($B31,AH$16,"W"))+COUNTIFS(Database!$F:$I,CONCATENATE(AH$16,$B31,"W"))</f>
        <v>0</v>
      </c>
      <c r="AI31" s="123">
        <f>COUNTIFS(Database!$F:$I,CONCATENATE($B31,AI$16,"L"))+COUNTIFS(Database!$F:$I,CONCATENATE(AI$16,$B31,"L"))+COUNTIFS(Database!$F:$I,CONCATENATE($B31,AI$16,"W"))+COUNTIFS(Database!$F:$I,CONCATENATE(AI$16,$B31,"W"))</f>
        <v>0</v>
      </c>
      <c r="AJ31" s="123">
        <f>COUNTIFS(Database!$F:$I,CONCATENATE($B31,AJ$16,"L"))+COUNTIFS(Database!$F:$I,CONCATENATE(AJ$16,$B31,"L"))+COUNTIFS(Database!$F:$I,CONCATENATE($B31,AJ$16,"W"))+COUNTIFS(Database!$F:$I,CONCATENATE(AJ$16,$B31,"W"))</f>
        <v>0</v>
      </c>
      <c r="AK31" s="123">
        <f>COUNTIFS(Database!$F:$I,CONCATENATE($B31,AK$16,"L"))+COUNTIFS(Database!$F:$I,CONCATENATE(AK$16,$B31,"L"))+COUNTIFS(Database!$F:$I,CONCATENATE($B31,AK$16,"W"))+COUNTIFS(Database!$F:$I,CONCATENATE(AK$16,$B31,"W"))</f>
        <v>0</v>
      </c>
      <c r="AL31" s="123">
        <f>COUNTIFS(Database!$F:$I,CONCATENATE($B31,AL$16,"L"))+COUNTIFS(Database!$F:$I,CONCATENATE(AL$16,$B31,"L"))+COUNTIFS(Database!$F:$I,CONCATENATE($B31,AL$16,"W"))+COUNTIFS(Database!$F:$I,CONCATENATE(AL$16,$B31,"W"))</f>
        <v>0</v>
      </c>
      <c r="AM31" s="123">
        <f>COUNTIFS(Database!$F:$I,CONCATENATE($B31,AM$16,"L"))+COUNTIFS(Database!$F:$I,CONCATENATE(AM$16,$B31,"L"))+COUNTIFS(Database!$F:$I,CONCATENATE($B31,AM$16,"W"))+COUNTIFS(Database!$F:$I,CONCATENATE(AM$16,$B31,"W"))</f>
        <v>0</v>
      </c>
      <c r="AN31" s="123">
        <f>COUNTIFS(Database!$F:$I,CONCATENATE($B31,AN$16,"L"))+COUNTIFS(Database!$F:$I,CONCATENATE(AN$16,$B31,"L"))+COUNTIFS(Database!$F:$I,CONCATENATE($B31,AN$16,"W"))+COUNTIFS(Database!$F:$I,CONCATENATE(AN$16,$B31,"W"))</f>
        <v>0</v>
      </c>
      <c r="AO31" s="123">
        <f>COUNTIFS(Database!$F:$I,CONCATENATE($B31,AO$16,"L"))+COUNTIFS(Database!$F:$I,CONCATENATE(AO$16,$B31,"L"))+COUNTIFS(Database!$F:$I,CONCATENATE($B31,AO$16,"W"))+COUNTIFS(Database!$F:$I,CONCATENATE(AO$16,$B31,"W"))</f>
        <v>0</v>
      </c>
      <c r="AP31" s="123">
        <f>COUNTIFS(Database!$F:$I,CONCATENATE($B31,AP$16,"L"))+COUNTIFS(Database!$F:$I,CONCATENATE(AP$16,$B31,"L"))+COUNTIFS(Database!$F:$I,CONCATENATE($B31,AP$16,"W"))+COUNTIFS(Database!$F:$I,CONCATENATE(AP$16,$B31,"W"))</f>
        <v>0</v>
      </c>
      <c r="AQ31" s="123">
        <f>COUNTIFS(Database!$F:$I,CONCATENATE($B31,AQ$16,"L"))+COUNTIFS(Database!$F:$I,CONCATENATE(AQ$16,$B31,"L"))+COUNTIFS(Database!$F:$I,CONCATENATE($B31,AQ$16,"W"))+COUNTIFS(Database!$F:$I,CONCATENATE(AQ$16,$B31,"W"))</f>
        <v>0</v>
      </c>
      <c r="AR31" s="123">
        <f>COUNTIFS(Database!$F:$I,CONCATENATE($B31,AR$16,"L"))+COUNTIFS(Database!$F:$I,CONCATENATE(AR$16,$B31,"L"))+COUNTIFS(Database!$F:$I,CONCATENATE($B31,AR$16,"W"))+COUNTIFS(Database!$F:$I,CONCATENATE(AR$16,$B31,"W"))</f>
        <v>0</v>
      </c>
      <c r="AS31" s="123">
        <f>COUNTIFS(Database!$F:$I,CONCATENATE($B31,AS$16,"L"))+COUNTIFS(Database!$F:$I,CONCATENATE(AS$16,$B31,"L"))+COUNTIFS(Database!$F:$I,CONCATENATE($B31,AS$16,"W"))+COUNTIFS(Database!$F:$I,CONCATENATE(AS$16,$B31,"W"))</f>
        <v>0</v>
      </c>
      <c r="AT31" s="123">
        <f>COUNTIFS(Database!$F:$I,CONCATENATE($B31,AT$16,"L"))+COUNTIFS(Database!$F:$I,CONCATENATE(AT$16,$B31,"L"))+COUNTIFS(Database!$F:$I,CONCATENATE($B31,AT$16,"W"))+COUNTIFS(Database!$F:$I,CONCATENATE(AT$16,$B31,"W"))</f>
        <v>0</v>
      </c>
      <c r="AU31" s="123">
        <f>COUNTIFS(Database!$F:$I,CONCATENATE($B31,AU$16,"L"))+COUNTIFS(Database!$F:$I,CONCATENATE(AU$16,$B31,"L"))+COUNTIFS(Database!$F:$I,CONCATENATE($B31,AU$16,"W"))+COUNTIFS(Database!$F:$I,CONCATENATE(AU$16,$B31,"W"))</f>
        <v>0</v>
      </c>
      <c r="AV31" s="123">
        <f>COUNTIFS(Database!$F:$I,CONCATENATE($B31,AV$16,"L"))+COUNTIFS(Database!$F:$I,CONCATENATE(AV$16,$B31,"L"))+COUNTIFS(Database!$F:$I,CONCATENATE($B31,AV$16,"W"))+COUNTIFS(Database!$F:$I,CONCATENATE(AV$16,$B31,"W"))</f>
        <v>0</v>
      </c>
      <c r="AW31" s="123">
        <f>COUNTIFS(Database!$F:$I,CONCATENATE($B31,AW$16,"L"))+COUNTIFS(Database!$F:$I,CONCATENATE(AW$16,$B31,"L"))+COUNTIFS(Database!$F:$I,CONCATENATE($B31,AW$16,"W"))+COUNTIFS(Database!$F:$I,CONCATENATE(AW$16,$B31,"W"))</f>
        <v>1</v>
      </c>
      <c r="AX31" s="123">
        <f>COUNTIFS(Database!$F:$I,CONCATENATE($B31,AX$16,"L"))+COUNTIFS(Database!$F:$I,CONCATENATE(AX$16,$B31,"L"))+COUNTIFS(Database!$F:$I,CONCATENATE($B31,AX$16,"W"))+COUNTIFS(Database!$F:$I,CONCATENATE(AX$16,$B31,"W"))</f>
        <v>0</v>
      </c>
      <c r="AY31" s="123">
        <f>COUNTIFS(Database!$F:$I,CONCATENATE($B31,AY$16,"L"))+COUNTIFS(Database!$F:$I,CONCATENATE(AY$16,$B31,"L"))+COUNTIFS(Database!$F:$I,CONCATENATE($B31,AY$16,"W"))+COUNTIFS(Database!$F:$I,CONCATENATE(AY$16,$B31,"W"))</f>
        <v>0</v>
      </c>
    </row>
    <row r="32" spans="2:51" x14ac:dyDescent="0.25">
      <c r="B32" s="120" t="s">
        <v>41</v>
      </c>
      <c r="C32" s="123">
        <f>COUNTIFS(Database!$F:$I,CONCATENATE($B32,C$16,"L"))+COUNTIFS(Database!$F:$I,CONCATENATE(C$16,$B32,"L"))+COUNTIFS(Database!$F:$I,CONCATENATE($B32,C$16,"W"))+COUNTIFS(Database!$F:$I,CONCATENATE(C$16,$B32,"W"))</f>
        <v>2</v>
      </c>
      <c r="D32" s="123">
        <f>COUNTIFS(Database!$F:$I,CONCATENATE($B32,D$16,"L"))+COUNTIFS(Database!$F:$I,CONCATENATE(D$16,$B32,"L"))+COUNTIFS(Database!$F:$I,CONCATENATE($B32,D$16,"W"))+COUNTIFS(Database!$F:$I,CONCATENATE(D$16,$B32,"W"))</f>
        <v>0</v>
      </c>
      <c r="E32" s="123">
        <f>COUNTIFS(Database!$F:$I,CONCATENATE($B32,E$16,"L"))+COUNTIFS(Database!$F:$I,CONCATENATE(E$16,$B32,"L"))+COUNTIFS(Database!$F:$I,CONCATENATE($B32,E$16,"W"))+COUNTIFS(Database!$F:$I,CONCATENATE(E$16,$B32,"W"))</f>
        <v>1</v>
      </c>
      <c r="F32" s="123">
        <f>COUNTIFS(Database!$F:$I,CONCATENATE($B32,F$16,"L"))+COUNTIFS(Database!$F:$I,CONCATENATE(F$16,$B32,"L"))+COUNTIFS(Database!$F:$I,CONCATENATE($B32,F$16,"W"))+COUNTIFS(Database!$F:$I,CONCATENATE(F$16,$B32,"W"))</f>
        <v>3</v>
      </c>
      <c r="G32" s="123">
        <f>COUNTIFS(Database!$F:$I,CONCATENATE($B32,G$16,"L"))+COUNTIFS(Database!$F:$I,CONCATENATE(G$16,$B32,"L"))+COUNTIFS(Database!$F:$I,CONCATENATE($B32,G$16,"W"))+COUNTIFS(Database!$F:$I,CONCATENATE(G$16,$B32,"W"))</f>
        <v>0</v>
      </c>
      <c r="H32" s="123">
        <f>COUNTIFS(Database!$F:$I,CONCATENATE($B32,H$16,"L"))+COUNTIFS(Database!$F:$I,CONCATENATE(H$16,$B32,"L"))+COUNTIFS(Database!$F:$I,CONCATENATE($B32,H$16,"W"))+COUNTIFS(Database!$F:$I,CONCATENATE(H$16,$B32,"W"))</f>
        <v>0</v>
      </c>
      <c r="I32" s="123">
        <f>COUNTIFS(Database!$F:$I,CONCATENATE($B32,I$16,"L"))+COUNTIFS(Database!$F:$I,CONCATENATE(I$16,$B32,"L"))+COUNTIFS(Database!$F:$I,CONCATENATE($B32,I$16,"W"))+COUNTIFS(Database!$F:$I,CONCATENATE(I$16,$B32,"W"))</f>
        <v>0</v>
      </c>
      <c r="J32" s="123">
        <f>COUNTIFS(Database!$F:$I,CONCATENATE($B32,J$16,"L"))+COUNTIFS(Database!$F:$I,CONCATENATE(J$16,$B32,"L"))+COUNTIFS(Database!$F:$I,CONCATENATE($B32,J$16,"W"))+COUNTIFS(Database!$F:$I,CONCATENATE(J$16,$B32,"W"))</f>
        <v>0</v>
      </c>
      <c r="K32" s="123">
        <f>COUNTIFS(Database!$F:$I,CONCATENATE($B32,K$16,"L"))+COUNTIFS(Database!$F:$I,CONCATENATE(K$16,$B32,"L"))+COUNTIFS(Database!$F:$I,CONCATENATE($B32,K$16,"W"))+COUNTIFS(Database!$F:$I,CONCATENATE(K$16,$B32,"W"))</f>
        <v>0</v>
      </c>
      <c r="L32" s="123">
        <f>COUNTIFS(Database!$F:$I,CONCATENATE($B32,L$16,"L"))+COUNTIFS(Database!$F:$I,CONCATENATE(L$16,$B32,"L"))+COUNTIFS(Database!$F:$I,CONCATENATE($B32,L$16,"W"))+COUNTIFS(Database!$F:$I,CONCATENATE(L$16,$B32,"W"))</f>
        <v>0</v>
      </c>
      <c r="M32" s="123">
        <f>COUNTIFS(Database!$F:$I,CONCATENATE($B32,M$16,"L"))+COUNTIFS(Database!$F:$I,CONCATENATE(M$16,$B32,"L"))+COUNTIFS(Database!$F:$I,CONCATENATE($B32,M$16,"W"))+COUNTIFS(Database!$F:$I,CONCATENATE(M$16,$B32,"W"))</f>
        <v>0</v>
      </c>
      <c r="N32" s="123">
        <f>COUNTIFS(Database!$F:$I,CONCATENATE($B32,N$16,"L"))+COUNTIFS(Database!$F:$I,CONCATENATE(N$16,$B32,"L"))+COUNTIFS(Database!$F:$I,CONCATENATE($B32,N$16,"W"))+COUNTIFS(Database!$F:$I,CONCATENATE(N$16,$B32,"W"))</f>
        <v>0</v>
      </c>
      <c r="O32" s="123">
        <f>COUNTIFS(Database!$F:$I,CONCATENATE($B32,O$16,"L"))+COUNTIFS(Database!$F:$I,CONCATENATE(O$16,$B32,"L"))+COUNTIFS(Database!$F:$I,CONCATENATE($B32,O$16,"W"))+COUNTIFS(Database!$F:$I,CONCATENATE(O$16,$B32,"W"))</f>
        <v>2</v>
      </c>
      <c r="P32" s="123">
        <f>COUNTIFS(Database!$F:$I,CONCATENATE($B32,P$16,"L"))+COUNTIFS(Database!$F:$I,CONCATENATE(P$16,$B32,"L"))+COUNTIFS(Database!$F:$I,CONCATENATE($B32,P$16,"W"))+COUNTIFS(Database!$F:$I,CONCATENATE(P$16,$B32,"W"))</f>
        <v>0</v>
      </c>
      <c r="Q32" s="123">
        <f>COUNTIFS(Database!$F:$I,CONCATENATE($B32,Q$16,"L"))+COUNTIFS(Database!$F:$I,CONCATENATE(Q$16,$B32,"L"))+COUNTIFS(Database!$F:$I,CONCATENATE($B32,Q$16,"W"))+COUNTIFS(Database!$F:$I,CONCATENATE(Q$16,$B32,"W"))</f>
        <v>0</v>
      </c>
      <c r="R32" s="123">
        <f>COUNTIFS(Database!$F:$I,CONCATENATE($B32,R$16,"L"))+COUNTIFS(Database!$F:$I,CONCATENATE(R$16,$B32,"L"))+COUNTIFS(Database!$F:$I,CONCATENATE($B32,R$16,"W"))+COUNTIFS(Database!$F:$I,CONCATENATE(R$16,$B32,"W"))</f>
        <v>0</v>
      </c>
      <c r="S32" s="123">
        <f>COUNTIFS(Database!$F:$I,CONCATENATE($B32,S$16,"L"))+COUNTIFS(Database!$F:$I,CONCATENATE(S$16,$B32,"L"))+COUNTIFS(Database!$F:$I,CONCATENATE($B32,S$16,"W"))+COUNTIFS(Database!$F:$I,CONCATENATE(S$16,$B32,"W"))</f>
        <v>0</v>
      </c>
      <c r="T32" s="123">
        <f>COUNTIFS(Database!$F:$I,CONCATENATE($B32,T$16,"L"))+COUNTIFS(Database!$F:$I,CONCATENATE(T$16,$B32,"L"))+COUNTIFS(Database!$F:$I,CONCATENATE($B32,T$16,"W"))+COUNTIFS(Database!$F:$I,CONCATENATE(T$16,$B32,"W"))</f>
        <v>0</v>
      </c>
      <c r="U32" s="123">
        <f>COUNTIFS(Database!$F:$I,CONCATENATE($B32,U$16,"L"))+COUNTIFS(Database!$F:$I,CONCATENATE(U$16,$B32,"L"))+COUNTIFS(Database!$F:$I,CONCATENATE($B32,U$16,"W"))+COUNTIFS(Database!$F:$I,CONCATENATE(U$16,$B32,"W"))</f>
        <v>0</v>
      </c>
      <c r="V32" s="123">
        <f>COUNTIFS(Database!$F:$I,CONCATENATE($B32,V$16,"L"))+COUNTIFS(Database!$F:$I,CONCATENATE(V$16,$B32,"L"))+COUNTIFS(Database!$F:$I,CONCATENATE($B32,V$16,"W"))+COUNTIFS(Database!$F:$I,CONCATENATE(V$16,$B32,"W"))</f>
        <v>0</v>
      </c>
      <c r="W32" s="123">
        <f>COUNTIFS(Database!$F:$I,CONCATENATE($B32,W$16,"L"))+COUNTIFS(Database!$F:$I,CONCATENATE(W$16,$B32,"L"))+COUNTIFS(Database!$F:$I,CONCATENATE($B32,W$16,"W"))+COUNTIFS(Database!$F:$I,CONCATENATE(W$16,$B32,"W"))</f>
        <v>0</v>
      </c>
      <c r="X32" s="123">
        <f>COUNTIFS(Database!$F:$I,CONCATENATE($B32,X$16,"L"))+COUNTIFS(Database!$F:$I,CONCATENATE(X$16,$B32,"L"))+COUNTIFS(Database!$F:$I,CONCATENATE($B32,X$16,"W"))+COUNTIFS(Database!$F:$I,CONCATENATE(X$16,$B32,"W"))</f>
        <v>0</v>
      </c>
      <c r="Y32" s="123">
        <f>COUNTIFS(Database!$F:$I,CONCATENATE($B32,Y$16,"L"))+COUNTIFS(Database!$F:$I,CONCATENATE(Y$16,$B32,"L"))+COUNTIFS(Database!$F:$I,CONCATENATE($B32,Y$16,"W"))+COUNTIFS(Database!$F:$I,CONCATENATE(Y$16,$B32,"W"))</f>
        <v>0</v>
      </c>
      <c r="Z32" s="123">
        <f>COUNTIFS(Database!$F:$I,CONCATENATE($B32,Z$16,"L"))+COUNTIFS(Database!$F:$I,CONCATENATE(Z$16,$B32,"L"))+COUNTIFS(Database!$F:$I,CONCATENATE($B32,Z$16,"W"))+COUNTIFS(Database!$F:$I,CONCATENATE(Z$16,$B32,"W"))</f>
        <v>0</v>
      </c>
      <c r="AA32" s="123">
        <f>COUNTIFS(Database!$F:$I,CONCATENATE($B32,AA$16,"L"))+COUNTIFS(Database!$F:$I,CONCATENATE(AA$16,$B32,"L"))+COUNTIFS(Database!$F:$I,CONCATENATE($B32,AA$16,"W"))+COUNTIFS(Database!$F:$I,CONCATENATE(AA$16,$B32,"W"))</f>
        <v>0</v>
      </c>
      <c r="AB32" s="123">
        <f>COUNTIFS(Database!$F:$I,CONCATENATE($B32,AB$16,"L"))+COUNTIFS(Database!$F:$I,CONCATENATE(AB$16,$B32,"L"))+COUNTIFS(Database!$F:$I,CONCATENATE($B32,AB$16,"W"))+COUNTIFS(Database!$F:$I,CONCATENATE(AB$16,$B32,"W"))</f>
        <v>1</v>
      </c>
      <c r="AC32" s="123">
        <f>COUNTIFS(Database!$F:$I,CONCATENATE($B32,AC$16,"L"))+COUNTIFS(Database!$F:$I,CONCATENATE(AC$16,$B32,"L"))+COUNTIFS(Database!$F:$I,CONCATENATE($B32,AC$16,"W"))+COUNTIFS(Database!$F:$I,CONCATENATE(AC$16,$B32,"W"))</f>
        <v>0</v>
      </c>
      <c r="AD32" s="123">
        <f>COUNTIFS(Database!$F:$I,CONCATENATE($B32,AD$16,"L"))+COUNTIFS(Database!$F:$I,CONCATENATE(AD$16,$B32,"L"))+COUNTIFS(Database!$F:$I,CONCATENATE($B32,AD$16,"W"))+COUNTIFS(Database!$F:$I,CONCATENATE(AD$16,$B32,"W"))</f>
        <v>0</v>
      </c>
      <c r="AE32" s="123">
        <f>COUNTIFS(Database!$F:$I,CONCATENATE($B32,AE$16,"L"))+COUNTIFS(Database!$F:$I,CONCATENATE(AE$16,$B32,"L"))+COUNTIFS(Database!$F:$I,CONCATENATE($B32,AE$16,"W"))+COUNTIFS(Database!$F:$I,CONCATENATE(AE$16,$B32,"W"))</f>
        <v>0</v>
      </c>
      <c r="AF32" s="123">
        <f>COUNTIFS(Database!$F:$I,CONCATENATE($B32,AF$16,"L"))+COUNTIFS(Database!$F:$I,CONCATENATE(AF$16,$B32,"L"))+COUNTIFS(Database!$F:$I,CONCATENATE($B32,AF$16,"W"))+COUNTIFS(Database!$F:$I,CONCATENATE(AF$16,$B32,"W"))</f>
        <v>0</v>
      </c>
      <c r="AG32" s="123">
        <f>COUNTIFS(Database!$F:$I,CONCATENATE($B32,AG$16,"L"))+COUNTIFS(Database!$F:$I,CONCATENATE(AG$16,$B32,"L"))+COUNTIFS(Database!$F:$I,CONCATENATE($B32,AG$16,"W"))+COUNTIFS(Database!$F:$I,CONCATENATE(AG$16,$B32,"W"))</f>
        <v>0</v>
      </c>
      <c r="AH32" s="123">
        <f>COUNTIFS(Database!$F:$I,CONCATENATE($B32,AH$16,"L"))+COUNTIFS(Database!$F:$I,CONCATENATE(AH$16,$B32,"L"))+COUNTIFS(Database!$F:$I,CONCATENATE($B32,AH$16,"W"))+COUNTIFS(Database!$F:$I,CONCATENATE(AH$16,$B32,"W"))</f>
        <v>0</v>
      </c>
      <c r="AI32" s="123">
        <f>COUNTIFS(Database!$F:$I,CONCATENATE($B32,AI$16,"L"))+COUNTIFS(Database!$F:$I,CONCATENATE(AI$16,$B32,"L"))+COUNTIFS(Database!$F:$I,CONCATENATE($B32,AI$16,"W"))+COUNTIFS(Database!$F:$I,CONCATENATE(AI$16,$B32,"W"))</f>
        <v>0</v>
      </c>
      <c r="AJ32" s="123">
        <f>COUNTIFS(Database!$F:$I,CONCATENATE($B32,AJ$16,"L"))+COUNTIFS(Database!$F:$I,CONCATENATE(AJ$16,$B32,"L"))+COUNTIFS(Database!$F:$I,CONCATENATE($B32,AJ$16,"W"))+COUNTIFS(Database!$F:$I,CONCATENATE(AJ$16,$B32,"W"))</f>
        <v>0</v>
      </c>
      <c r="AK32" s="123">
        <f>COUNTIFS(Database!$F:$I,CONCATENATE($B32,AK$16,"L"))+COUNTIFS(Database!$F:$I,CONCATENATE(AK$16,$B32,"L"))+COUNTIFS(Database!$F:$I,CONCATENATE($B32,AK$16,"W"))+COUNTIFS(Database!$F:$I,CONCATENATE(AK$16,$B32,"W"))</f>
        <v>1</v>
      </c>
      <c r="AL32" s="123">
        <f>COUNTIFS(Database!$F:$I,CONCATENATE($B32,AL$16,"L"))+COUNTIFS(Database!$F:$I,CONCATENATE(AL$16,$B32,"L"))+COUNTIFS(Database!$F:$I,CONCATENATE($B32,AL$16,"W"))+COUNTIFS(Database!$F:$I,CONCATENATE(AL$16,$B32,"W"))</f>
        <v>0</v>
      </c>
      <c r="AM32" s="123">
        <f>COUNTIFS(Database!$F:$I,CONCATENATE($B32,AM$16,"L"))+COUNTIFS(Database!$F:$I,CONCATENATE(AM$16,$B32,"L"))+COUNTIFS(Database!$F:$I,CONCATENATE($B32,AM$16,"W"))+COUNTIFS(Database!$F:$I,CONCATENATE(AM$16,$B32,"W"))</f>
        <v>0</v>
      </c>
      <c r="AN32" s="123">
        <f>COUNTIFS(Database!$F:$I,CONCATENATE($B32,AN$16,"L"))+COUNTIFS(Database!$F:$I,CONCATENATE(AN$16,$B32,"L"))+COUNTIFS(Database!$F:$I,CONCATENATE($B32,AN$16,"W"))+COUNTIFS(Database!$F:$I,CONCATENATE(AN$16,$B32,"W"))</f>
        <v>0</v>
      </c>
      <c r="AO32" s="123">
        <f>COUNTIFS(Database!$F:$I,CONCATENATE($B32,AO$16,"L"))+COUNTIFS(Database!$F:$I,CONCATENATE(AO$16,$B32,"L"))+COUNTIFS(Database!$F:$I,CONCATENATE($B32,AO$16,"W"))+COUNTIFS(Database!$F:$I,CONCATENATE(AO$16,$B32,"W"))</f>
        <v>0</v>
      </c>
      <c r="AP32" s="123">
        <f>COUNTIFS(Database!$F:$I,CONCATENATE($B32,AP$16,"L"))+COUNTIFS(Database!$F:$I,CONCATENATE(AP$16,$B32,"L"))+COUNTIFS(Database!$F:$I,CONCATENATE($B32,AP$16,"W"))+COUNTIFS(Database!$F:$I,CONCATENATE(AP$16,$B32,"W"))</f>
        <v>0</v>
      </c>
      <c r="AQ32" s="123">
        <f>COUNTIFS(Database!$F:$I,CONCATENATE($B32,AQ$16,"L"))+COUNTIFS(Database!$F:$I,CONCATENATE(AQ$16,$B32,"L"))+COUNTIFS(Database!$F:$I,CONCATENATE($B32,AQ$16,"W"))+COUNTIFS(Database!$F:$I,CONCATENATE(AQ$16,$B32,"W"))</f>
        <v>0</v>
      </c>
      <c r="AR32" s="123">
        <f>COUNTIFS(Database!$F:$I,CONCATENATE($B32,AR$16,"L"))+COUNTIFS(Database!$F:$I,CONCATENATE(AR$16,$B32,"L"))+COUNTIFS(Database!$F:$I,CONCATENATE($B32,AR$16,"W"))+COUNTIFS(Database!$F:$I,CONCATENATE(AR$16,$B32,"W"))</f>
        <v>0</v>
      </c>
      <c r="AS32" s="123">
        <f>COUNTIFS(Database!$F:$I,CONCATENATE($B32,AS$16,"L"))+COUNTIFS(Database!$F:$I,CONCATENATE(AS$16,$B32,"L"))+COUNTIFS(Database!$F:$I,CONCATENATE($B32,AS$16,"W"))+COUNTIFS(Database!$F:$I,CONCATENATE(AS$16,$B32,"W"))</f>
        <v>0</v>
      </c>
      <c r="AT32" s="123">
        <f>COUNTIFS(Database!$F:$I,CONCATENATE($B32,AT$16,"L"))+COUNTIFS(Database!$F:$I,CONCATENATE(AT$16,$B32,"L"))+COUNTIFS(Database!$F:$I,CONCATENATE($B32,AT$16,"W"))+COUNTIFS(Database!$F:$I,CONCATENATE(AT$16,$B32,"W"))</f>
        <v>0</v>
      </c>
      <c r="AU32" s="123">
        <f>COUNTIFS(Database!$F:$I,CONCATENATE($B32,AU$16,"L"))+COUNTIFS(Database!$F:$I,CONCATENATE(AU$16,$B32,"L"))+COUNTIFS(Database!$F:$I,CONCATENATE($B32,AU$16,"W"))+COUNTIFS(Database!$F:$I,CONCATENATE(AU$16,$B32,"W"))</f>
        <v>0</v>
      </c>
      <c r="AV32" s="123">
        <f>COUNTIFS(Database!$F:$I,CONCATENATE($B32,AV$16,"L"))+COUNTIFS(Database!$F:$I,CONCATENATE(AV$16,$B32,"L"))+COUNTIFS(Database!$F:$I,CONCATENATE($B32,AV$16,"W"))+COUNTIFS(Database!$F:$I,CONCATENATE(AV$16,$B32,"W"))</f>
        <v>0</v>
      </c>
      <c r="AW32" s="123">
        <f>COUNTIFS(Database!$F:$I,CONCATENATE($B32,AW$16,"L"))+COUNTIFS(Database!$F:$I,CONCATENATE(AW$16,$B32,"L"))+COUNTIFS(Database!$F:$I,CONCATENATE($B32,AW$16,"W"))+COUNTIFS(Database!$F:$I,CONCATENATE(AW$16,$B32,"W"))</f>
        <v>2</v>
      </c>
      <c r="AX32" s="123">
        <f>COUNTIFS(Database!$F:$I,CONCATENATE($B32,AX$16,"L"))+COUNTIFS(Database!$F:$I,CONCATENATE(AX$16,$B32,"L"))+COUNTIFS(Database!$F:$I,CONCATENATE($B32,AX$16,"W"))+COUNTIFS(Database!$F:$I,CONCATENATE(AX$16,$B32,"W"))</f>
        <v>0</v>
      </c>
      <c r="AY32" s="123">
        <f>COUNTIFS(Database!$F:$I,CONCATENATE($B32,AY$16,"L"))+COUNTIFS(Database!$F:$I,CONCATENATE(AY$16,$B32,"L"))+COUNTIFS(Database!$F:$I,CONCATENATE($B32,AY$16,"W"))+COUNTIFS(Database!$F:$I,CONCATENATE(AY$16,$B32,"W"))</f>
        <v>0</v>
      </c>
    </row>
    <row r="33" spans="2:51" x14ac:dyDescent="0.25">
      <c r="B33" s="120" t="s">
        <v>59</v>
      </c>
      <c r="C33" s="123">
        <f>COUNTIFS(Database!$F:$I,CONCATENATE($B33,C$16,"L"))+COUNTIFS(Database!$F:$I,CONCATENATE(C$16,$B33,"L"))+COUNTIFS(Database!$F:$I,CONCATENATE($B33,C$16,"W"))+COUNTIFS(Database!$F:$I,CONCATENATE(C$16,$B33,"W"))</f>
        <v>5</v>
      </c>
      <c r="D33" s="123">
        <f>COUNTIFS(Database!$F:$I,CONCATENATE($B33,D$16,"L"))+COUNTIFS(Database!$F:$I,CONCATENATE(D$16,$B33,"L"))+COUNTIFS(Database!$F:$I,CONCATENATE($B33,D$16,"W"))+COUNTIFS(Database!$F:$I,CONCATENATE(D$16,$B33,"W"))</f>
        <v>0</v>
      </c>
      <c r="E33" s="123">
        <f>COUNTIFS(Database!$F:$I,CONCATENATE($B33,E$16,"L"))+COUNTIFS(Database!$F:$I,CONCATENATE(E$16,$B33,"L"))+COUNTIFS(Database!$F:$I,CONCATENATE($B33,E$16,"W"))+COUNTIFS(Database!$F:$I,CONCATENATE(E$16,$B33,"W"))</f>
        <v>6</v>
      </c>
      <c r="F33" s="123">
        <f>COUNTIFS(Database!$F:$I,CONCATENATE($B33,F$16,"L"))+COUNTIFS(Database!$F:$I,CONCATENATE(F$16,$B33,"L"))+COUNTIFS(Database!$F:$I,CONCATENATE($B33,F$16,"W"))+COUNTIFS(Database!$F:$I,CONCATENATE(F$16,$B33,"W"))</f>
        <v>2</v>
      </c>
      <c r="G33" s="123">
        <f>COUNTIFS(Database!$F:$I,CONCATENATE($B33,G$16,"L"))+COUNTIFS(Database!$F:$I,CONCATENATE(G$16,$B33,"L"))+COUNTIFS(Database!$F:$I,CONCATENATE($B33,G$16,"W"))+COUNTIFS(Database!$F:$I,CONCATENATE(G$16,$B33,"W"))</f>
        <v>0</v>
      </c>
      <c r="H33" s="123">
        <f>COUNTIFS(Database!$F:$I,CONCATENATE($B33,H$16,"L"))+COUNTIFS(Database!$F:$I,CONCATENATE(H$16,$B33,"L"))+COUNTIFS(Database!$F:$I,CONCATENATE($B33,H$16,"W"))+COUNTIFS(Database!$F:$I,CONCATENATE(H$16,$B33,"W"))</f>
        <v>0</v>
      </c>
      <c r="I33" s="123">
        <f>COUNTIFS(Database!$F:$I,CONCATENATE($B33,I$16,"L"))+COUNTIFS(Database!$F:$I,CONCATENATE(I$16,$B33,"L"))+COUNTIFS(Database!$F:$I,CONCATENATE($B33,I$16,"W"))+COUNTIFS(Database!$F:$I,CONCATENATE(I$16,$B33,"W"))</f>
        <v>0</v>
      </c>
      <c r="J33" s="123">
        <f>COUNTIFS(Database!$F:$I,CONCATENATE($B33,J$16,"L"))+COUNTIFS(Database!$F:$I,CONCATENATE(J$16,$B33,"L"))+COUNTIFS(Database!$F:$I,CONCATENATE($B33,J$16,"W"))+COUNTIFS(Database!$F:$I,CONCATENATE(J$16,$B33,"W"))</f>
        <v>2</v>
      </c>
      <c r="K33" s="123">
        <f>COUNTIFS(Database!$F:$I,CONCATENATE($B33,K$16,"L"))+COUNTIFS(Database!$F:$I,CONCATENATE(K$16,$B33,"L"))+COUNTIFS(Database!$F:$I,CONCATENATE($B33,K$16,"W"))+COUNTIFS(Database!$F:$I,CONCATENATE(K$16,$B33,"W"))</f>
        <v>1</v>
      </c>
      <c r="L33" s="123">
        <f>COUNTIFS(Database!$F:$I,CONCATENATE($B33,L$16,"L"))+COUNTIFS(Database!$F:$I,CONCATENATE(L$16,$B33,"L"))+COUNTIFS(Database!$F:$I,CONCATENATE($B33,L$16,"W"))+COUNTIFS(Database!$F:$I,CONCATENATE(L$16,$B33,"W"))</f>
        <v>1</v>
      </c>
      <c r="M33" s="123">
        <f>COUNTIFS(Database!$F:$I,CONCATENATE($B33,M$16,"L"))+COUNTIFS(Database!$F:$I,CONCATENATE(M$16,$B33,"L"))+COUNTIFS(Database!$F:$I,CONCATENATE($B33,M$16,"W"))+COUNTIFS(Database!$F:$I,CONCATENATE(M$16,$B33,"W"))</f>
        <v>0</v>
      </c>
      <c r="N33" s="123">
        <f>COUNTIFS(Database!$F:$I,CONCATENATE($B33,N$16,"L"))+COUNTIFS(Database!$F:$I,CONCATENATE(N$16,$B33,"L"))+COUNTIFS(Database!$F:$I,CONCATENATE($B33,N$16,"W"))+COUNTIFS(Database!$F:$I,CONCATENATE(N$16,$B33,"W"))</f>
        <v>0</v>
      </c>
      <c r="O33" s="123">
        <f>COUNTIFS(Database!$F:$I,CONCATENATE($B33,O$16,"L"))+COUNTIFS(Database!$F:$I,CONCATENATE(O$16,$B33,"L"))+COUNTIFS(Database!$F:$I,CONCATENATE($B33,O$16,"W"))+COUNTIFS(Database!$F:$I,CONCATENATE(O$16,$B33,"W"))</f>
        <v>2</v>
      </c>
      <c r="P33" s="123">
        <f>COUNTIFS(Database!$F:$I,CONCATENATE($B33,P$16,"L"))+COUNTIFS(Database!$F:$I,CONCATENATE(P$16,$B33,"L"))+COUNTIFS(Database!$F:$I,CONCATENATE($B33,P$16,"W"))+COUNTIFS(Database!$F:$I,CONCATENATE(P$16,$B33,"W"))</f>
        <v>0</v>
      </c>
      <c r="Q33" s="123">
        <f>COUNTIFS(Database!$F:$I,CONCATENATE($B33,Q$16,"L"))+COUNTIFS(Database!$F:$I,CONCATENATE(Q$16,$B33,"L"))+COUNTIFS(Database!$F:$I,CONCATENATE($B33,Q$16,"W"))+COUNTIFS(Database!$F:$I,CONCATENATE(Q$16,$B33,"W"))</f>
        <v>0</v>
      </c>
      <c r="R33" s="123">
        <f>COUNTIFS(Database!$F:$I,CONCATENATE($B33,R$16,"L"))+COUNTIFS(Database!$F:$I,CONCATENATE(R$16,$B33,"L"))+COUNTIFS(Database!$F:$I,CONCATENATE($B33,R$16,"W"))+COUNTIFS(Database!$F:$I,CONCATENATE(R$16,$B33,"W"))</f>
        <v>0</v>
      </c>
      <c r="S33" s="123">
        <f>COUNTIFS(Database!$F:$I,CONCATENATE($B33,S$16,"L"))+COUNTIFS(Database!$F:$I,CONCATENATE(S$16,$B33,"L"))+COUNTIFS(Database!$F:$I,CONCATENATE($B33,S$16,"W"))+COUNTIFS(Database!$F:$I,CONCATENATE(S$16,$B33,"W"))</f>
        <v>0</v>
      </c>
      <c r="T33" s="123">
        <f>COUNTIFS(Database!$F:$I,CONCATENATE($B33,T$16,"L"))+COUNTIFS(Database!$F:$I,CONCATENATE(T$16,$B33,"L"))+COUNTIFS(Database!$F:$I,CONCATENATE($B33,T$16,"W"))+COUNTIFS(Database!$F:$I,CONCATENATE(T$16,$B33,"W"))</f>
        <v>0</v>
      </c>
      <c r="U33" s="123">
        <f>COUNTIFS(Database!$F:$I,CONCATENATE($B33,U$16,"L"))+COUNTIFS(Database!$F:$I,CONCATENATE(U$16,$B33,"L"))+COUNTIFS(Database!$F:$I,CONCATENATE($B33,U$16,"W"))+COUNTIFS(Database!$F:$I,CONCATENATE(U$16,$B33,"W"))</f>
        <v>0</v>
      </c>
      <c r="V33" s="123">
        <f>COUNTIFS(Database!$F:$I,CONCATENATE($B33,V$16,"L"))+COUNTIFS(Database!$F:$I,CONCATENATE(V$16,$B33,"L"))+COUNTIFS(Database!$F:$I,CONCATENATE($B33,V$16,"W"))+COUNTIFS(Database!$F:$I,CONCATENATE(V$16,$B33,"W"))</f>
        <v>1</v>
      </c>
      <c r="W33" s="123">
        <f>COUNTIFS(Database!$F:$I,CONCATENATE($B33,W$16,"L"))+COUNTIFS(Database!$F:$I,CONCATENATE(W$16,$B33,"L"))+COUNTIFS(Database!$F:$I,CONCATENATE($B33,W$16,"W"))+COUNTIFS(Database!$F:$I,CONCATENATE(W$16,$B33,"W"))</f>
        <v>2</v>
      </c>
      <c r="X33" s="123">
        <f>COUNTIFS(Database!$F:$I,CONCATENATE($B33,X$16,"L"))+COUNTIFS(Database!$F:$I,CONCATENATE(X$16,$B33,"L"))+COUNTIFS(Database!$F:$I,CONCATENATE($B33,X$16,"W"))+COUNTIFS(Database!$F:$I,CONCATENATE(X$16,$B33,"W"))</f>
        <v>1</v>
      </c>
      <c r="Y33" s="123">
        <f>COUNTIFS(Database!$F:$I,CONCATENATE($B33,Y$16,"L"))+COUNTIFS(Database!$F:$I,CONCATENATE(Y$16,$B33,"L"))+COUNTIFS(Database!$F:$I,CONCATENATE($B33,Y$16,"W"))+COUNTIFS(Database!$F:$I,CONCATENATE(Y$16,$B33,"W"))</f>
        <v>0</v>
      </c>
      <c r="Z33" s="123">
        <f>COUNTIFS(Database!$F:$I,CONCATENATE($B33,Z$16,"L"))+COUNTIFS(Database!$F:$I,CONCATENATE(Z$16,$B33,"L"))+COUNTIFS(Database!$F:$I,CONCATENATE($B33,Z$16,"W"))+COUNTIFS(Database!$F:$I,CONCATENATE(Z$16,$B33,"W"))</f>
        <v>0</v>
      </c>
      <c r="AA33" s="123">
        <f>COUNTIFS(Database!$F:$I,CONCATENATE($B33,AA$16,"L"))+COUNTIFS(Database!$F:$I,CONCATENATE(AA$16,$B33,"L"))+COUNTIFS(Database!$F:$I,CONCATENATE($B33,AA$16,"W"))+COUNTIFS(Database!$F:$I,CONCATENATE(AA$16,$B33,"W"))</f>
        <v>1</v>
      </c>
      <c r="AB33" s="123">
        <f>COUNTIFS(Database!$F:$I,CONCATENATE($B33,AB$16,"L"))+COUNTIFS(Database!$F:$I,CONCATENATE(AB$16,$B33,"L"))+COUNTIFS(Database!$F:$I,CONCATENATE($B33,AB$16,"W"))+COUNTIFS(Database!$F:$I,CONCATENATE(AB$16,$B33,"W"))</f>
        <v>2</v>
      </c>
      <c r="AC33" s="123">
        <f>COUNTIFS(Database!$F:$I,CONCATENATE($B33,AC$16,"L"))+COUNTIFS(Database!$F:$I,CONCATENATE(AC$16,$B33,"L"))+COUNTIFS(Database!$F:$I,CONCATENATE($B33,AC$16,"W"))+COUNTIFS(Database!$F:$I,CONCATENATE(AC$16,$B33,"W"))</f>
        <v>2</v>
      </c>
      <c r="AD33" s="123">
        <f>COUNTIFS(Database!$F:$I,CONCATENATE($B33,AD$16,"L"))+COUNTIFS(Database!$F:$I,CONCATENATE(AD$16,$B33,"L"))+COUNTIFS(Database!$F:$I,CONCATENATE($B33,AD$16,"W"))+COUNTIFS(Database!$F:$I,CONCATENATE(AD$16,$B33,"W"))</f>
        <v>0</v>
      </c>
      <c r="AE33" s="123">
        <f>COUNTIFS(Database!$F:$I,CONCATENATE($B33,AE$16,"L"))+COUNTIFS(Database!$F:$I,CONCATENATE(AE$16,$B33,"L"))+COUNTIFS(Database!$F:$I,CONCATENATE($B33,AE$16,"W"))+COUNTIFS(Database!$F:$I,CONCATENATE(AE$16,$B33,"W"))</f>
        <v>0</v>
      </c>
      <c r="AF33" s="123">
        <f>COUNTIFS(Database!$F:$I,CONCATENATE($B33,AF$16,"L"))+COUNTIFS(Database!$F:$I,CONCATENATE(AF$16,$B33,"L"))+COUNTIFS(Database!$F:$I,CONCATENATE($B33,AF$16,"W"))+COUNTIFS(Database!$F:$I,CONCATENATE(AF$16,$B33,"W"))</f>
        <v>1</v>
      </c>
      <c r="AG33" s="123">
        <f>COUNTIFS(Database!$F:$I,CONCATENATE($B33,AG$16,"L"))+COUNTIFS(Database!$F:$I,CONCATENATE(AG$16,$B33,"L"))+COUNTIFS(Database!$F:$I,CONCATENATE($B33,AG$16,"W"))+COUNTIFS(Database!$F:$I,CONCATENATE(AG$16,$B33,"W"))</f>
        <v>0</v>
      </c>
      <c r="AH33" s="123">
        <f>COUNTIFS(Database!$F:$I,CONCATENATE($B33,AH$16,"L"))+COUNTIFS(Database!$F:$I,CONCATENATE(AH$16,$B33,"L"))+COUNTIFS(Database!$F:$I,CONCATENATE($B33,AH$16,"W"))+COUNTIFS(Database!$F:$I,CONCATENATE(AH$16,$B33,"W"))</f>
        <v>0</v>
      </c>
      <c r="AI33" s="123">
        <f>COUNTIFS(Database!$F:$I,CONCATENATE($B33,AI$16,"L"))+COUNTIFS(Database!$F:$I,CONCATENATE(AI$16,$B33,"L"))+COUNTIFS(Database!$F:$I,CONCATENATE($B33,AI$16,"W"))+COUNTIFS(Database!$F:$I,CONCATENATE(AI$16,$B33,"W"))</f>
        <v>1</v>
      </c>
      <c r="AJ33" s="123">
        <f>COUNTIFS(Database!$F:$I,CONCATENATE($B33,AJ$16,"L"))+COUNTIFS(Database!$F:$I,CONCATENATE(AJ$16,$B33,"L"))+COUNTIFS(Database!$F:$I,CONCATENATE($B33,AJ$16,"W"))+COUNTIFS(Database!$F:$I,CONCATENATE(AJ$16,$B33,"W"))</f>
        <v>2</v>
      </c>
      <c r="AK33" s="123">
        <f>COUNTIFS(Database!$F:$I,CONCATENATE($B33,AK$16,"L"))+COUNTIFS(Database!$F:$I,CONCATENATE(AK$16,$B33,"L"))+COUNTIFS(Database!$F:$I,CONCATENATE($B33,AK$16,"W"))+COUNTIFS(Database!$F:$I,CONCATENATE(AK$16,$B33,"W"))</f>
        <v>3</v>
      </c>
      <c r="AL33" s="123">
        <f>COUNTIFS(Database!$F:$I,CONCATENATE($B33,AL$16,"L"))+COUNTIFS(Database!$F:$I,CONCATENATE(AL$16,$B33,"L"))+COUNTIFS(Database!$F:$I,CONCATENATE($B33,AL$16,"W"))+COUNTIFS(Database!$F:$I,CONCATENATE(AL$16,$B33,"W"))</f>
        <v>0</v>
      </c>
      <c r="AM33" s="123">
        <f>COUNTIFS(Database!$F:$I,CONCATENATE($B33,AM$16,"L"))+COUNTIFS(Database!$F:$I,CONCATENATE(AM$16,$B33,"L"))+COUNTIFS(Database!$F:$I,CONCATENATE($B33,AM$16,"W"))+COUNTIFS(Database!$F:$I,CONCATENATE(AM$16,$B33,"W"))</f>
        <v>0</v>
      </c>
      <c r="AN33" s="123">
        <f>COUNTIFS(Database!$F:$I,CONCATENATE($B33,AN$16,"L"))+COUNTIFS(Database!$F:$I,CONCATENATE(AN$16,$B33,"L"))+COUNTIFS(Database!$F:$I,CONCATENATE($B33,AN$16,"W"))+COUNTIFS(Database!$F:$I,CONCATENATE(AN$16,$B33,"W"))</f>
        <v>1</v>
      </c>
      <c r="AO33" s="123">
        <f>COUNTIFS(Database!$F:$I,CONCATENATE($B33,AO$16,"L"))+COUNTIFS(Database!$F:$I,CONCATENATE(AO$16,$B33,"L"))+COUNTIFS(Database!$F:$I,CONCATENATE($B33,AO$16,"W"))+COUNTIFS(Database!$F:$I,CONCATENATE(AO$16,$B33,"W"))</f>
        <v>3</v>
      </c>
      <c r="AP33" s="123">
        <f>COUNTIFS(Database!$F:$I,CONCATENATE($B33,AP$16,"L"))+COUNTIFS(Database!$F:$I,CONCATENATE(AP$16,$B33,"L"))+COUNTIFS(Database!$F:$I,CONCATENATE($B33,AP$16,"W"))+COUNTIFS(Database!$F:$I,CONCATENATE(AP$16,$B33,"W"))</f>
        <v>0</v>
      </c>
      <c r="AQ33" s="123">
        <f>COUNTIFS(Database!$F:$I,CONCATENATE($B33,AQ$16,"L"))+COUNTIFS(Database!$F:$I,CONCATENATE(AQ$16,$B33,"L"))+COUNTIFS(Database!$F:$I,CONCATENATE($B33,AQ$16,"W"))+COUNTIFS(Database!$F:$I,CONCATENATE(AQ$16,$B33,"W"))</f>
        <v>0</v>
      </c>
      <c r="AR33" s="123">
        <f>COUNTIFS(Database!$F:$I,CONCATENATE($B33,AR$16,"L"))+COUNTIFS(Database!$F:$I,CONCATENATE(AR$16,$B33,"L"))+COUNTIFS(Database!$F:$I,CONCATENATE($B33,AR$16,"W"))+COUNTIFS(Database!$F:$I,CONCATENATE(AR$16,$B33,"W"))</f>
        <v>2</v>
      </c>
      <c r="AS33" s="123">
        <f>COUNTIFS(Database!$F:$I,CONCATENATE($B33,AS$16,"L"))+COUNTIFS(Database!$F:$I,CONCATENATE(AS$16,$B33,"L"))+COUNTIFS(Database!$F:$I,CONCATENATE($B33,AS$16,"W"))+COUNTIFS(Database!$F:$I,CONCATENATE(AS$16,$B33,"W"))</f>
        <v>0</v>
      </c>
      <c r="AT33" s="123">
        <f>COUNTIFS(Database!$F:$I,CONCATENATE($B33,AT$16,"L"))+COUNTIFS(Database!$F:$I,CONCATENATE(AT$16,$B33,"L"))+COUNTIFS(Database!$F:$I,CONCATENATE($B33,AT$16,"W"))+COUNTIFS(Database!$F:$I,CONCATENATE(AT$16,$B33,"W"))</f>
        <v>0</v>
      </c>
      <c r="AU33" s="123">
        <f>COUNTIFS(Database!$F:$I,CONCATENATE($B33,AU$16,"L"))+COUNTIFS(Database!$F:$I,CONCATENATE(AU$16,$B33,"L"))+COUNTIFS(Database!$F:$I,CONCATENATE($B33,AU$16,"W"))+COUNTIFS(Database!$F:$I,CONCATENATE(AU$16,$B33,"W"))</f>
        <v>1</v>
      </c>
      <c r="AV33" s="123">
        <f>COUNTIFS(Database!$F:$I,CONCATENATE($B33,AV$16,"L"))+COUNTIFS(Database!$F:$I,CONCATENATE(AV$16,$B33,"L"))+COUNTIFS(Database!$F:$I,CONCATENATE($B33,AV$16,"W"))+COUNTIFS(Database!$F:$I,CONCATENATE(AV$16,$B33,"W"))</f>
        <v>0</v>
      </c>
      <c r="AW33" s="123">
        <f>COUNTIFS(Database!$F:$I,CONCATENATE($B33,AW$16,"L"))+COUNTIFS(Database!$F:$I,CONCATENATE(AW$16,$B33,"L"))+COUNTIFS(Database!$F:$I,CONCATENATE($B33,AW$16,"W"))+COUNTIFS(Database!$F:$I,CONCATENATE(AW$16,$B33,"W"))</f>
        <v>0</v>
      </c>
      <c r="AX33" s="123">
        <f>COUNTIFS(Database!$F:$I,CONCATENATE($B33,AX$16,"L"))+COUNTIFS(Database!$F:$I,CONCATENATE(AX$16,$B33,"L"))+COUNTIFS(Database!$F:$I,CONCATENATE($B33,AX$16,"W"))+COUNTIFS(Database!$F:$I,CONCATENATE(AX$16,$B33,"W"))</f>
        <v>0</v>
      </c>
      <c r="AY33" s="123">
        <f>COUNTIFS(Database!$F:$I,CONCATENATE($B33,AY$16,"L"))+COUNTIFS(Database!$F:$I,CONCATENATE(AY$16,$B33,"L"))+COUNTIFS(Database!$F:$I,CONCATENATE($B33,AY$16,"W"))+COUNTIFS(Database!$F:$I,CONCATENATE(AY$16,$B33,"W"))</f>
        <v>2</v>
      </c>
    </row>
    <row r="34" spans="2:51" x14ac:dyDescent="0.25">
      <c r="B34" s="120" t="s">
        <v>33</v>
      </c>
      <c r="C34" s="123">
        <f>COUNTIFS(Database!$F:$I,CONCATENATE($B34,C$16,"L"))+COUNTIFS(Database!$F:$I,CONCATENATE(C$16,$B34,"L"))+COUNTIFS(Database!$F:$I,CONCATENATE($B34,C$16,"W"))+COUNTIFS(Database!$F:$I,CONCATENATE(C$16,$B34,"W"))</f>
        <v>2</v>
      </c>
      <c r="D34" s="123">
        <f>COUNTIFS(Database!$F:$I,CONCATENATE($B34,D$16,"L"))+COUNTIFS(Database!$F:$I,CONCATENATE(D$16,$B34,"L"))+COUNTIFS(Database!$F:$I,CONCATENATE($B34,D$16,"W"))+COUNTIFS(Database!$F:$I,CONCATENATE(D$16,$B34,"W"))</f>
        <v>0</v>
      </c>
      <c r="E34" s="123">
        <f>COUNTIFS(Database!$F:$I,CONCATENATE($B34,E$16,"L"))+COUNTIFS(Database!$F:$I,CONCATENATE(E$16,$B34,"L"))+COUNTIFS(Database!$F:$I,CONCATENATE($B34,E$16,"W"))+COUNTIFS(Database!$F:$I,CONCATENATE(E$16,$B34,"W"))</f>
        <v>1</v>
      </c>
      <c r="F34" s="123">
        <f>COUNTIFS(Database!$F:$I,CONCATENATE($B34,F$16,"L"))+COUNTIFS(Database!$F:$I,CONCATENATE(F$16,$B34,"L"))+COUNTIFS(Database!$F:$I,CONCATENATE($B34,F$16,"W"))+COUNTIFS(Database!$F:$I,CONCATENATE(F$16,$B34,"W"))</f>
        <v>7</v>
      </c>
      <c r="G34" s="123">
        <f>COUNTIFS(Database!$F:$I,CONCATENATE($B34,G$16,"L"))+COUNTIFS(Database!$F:$I,CONCATENATE(G$16,$B34,"L"))+COUNTIFS(Database!$F:$I,CONCATENATE($B34,G$16,"W"))+COUNTIFS(Database!$F:$I,CONCATENATE(G$16,$B34,"W"))</f>
        <v>0</v>
      </c>
      <c r="H34" s="123">
        <f>COUNTIFS(Database!$F:$I,CONCATENATE($B34,H$16,"L"))+COUNTIFS(Database!$F:$I,CONCATENATE(H$16,$B34,"L"))+COUNTIFS(Database!$F:$I,CONCATENATE($B34,H$16,"W"))+COUNTIFS(Database!$F:$I,CONCATENATE(H$16,$B34,"W"))</f>
        <v>0</v>
      </c>
      <c r="I34" s="123">
        <f>COUNTIFS(Database!$F:$I,CONCATENATE($B34,I$16,"L"))+COUNTIFS(Database!$F:$I,CONCATENATE(I$16,$B34,"L"))+COUNTIFS(Database!$F:$I,CONCATENATE($B34,I$16,"W"))+COUNTIFS(Database!$F:$I,CONCATENATE(I$16,$B34,"W"))</f>
        <v>1</v>
      </c>
      <c r="J34" s="123">
        <f>COUNTIFS(Database!$F:$I,CONCATENATE($B34,J$16,"L"))+COUNTIFS(Database!$F:$I,CONCATENATE(J$16,$B34,"L"))+COUNTIFS(Database!$F:$I,CONCATENATE($B34,J$16,"W"))+COUNTIFS(Database!$F:$I,CONCATENATE(J$16,$B34,"W"))</f>
        <v>3</v>
      </c>
      <c r="K34" s="123">
        <f>COUNTIFS(Database!$F:$I,CONCATENATE($B34,K$16,"L"))+COUNTIFS(Database!$F:$I,CONCATENATE(K$16,$B34,"L"))+COUNTIFS(Database!$F:$I,CONCATENATE($B34,K$16,"W"))+COUNTIFS(Database!$F:$I,CONCATENATE(K$16,$B34,"W"))</f>
        <v>2</v>
      </c>
      <c r="L34" s="123">
        <f>COUNTIFS(Database!$F:$I,CONCATENATE($B34,L$16,"L"))+COUNTIFS(Database!$F:$I,CONCATENATE(L$16,$B34,"L"))+COUNTIFS(Database!$F:$I,CONCATENATE($B34,L$16,"W"))+COUNTIFS(Database!$F:$I,CONCATENATE(L$16,$B34,"W"))</f>
        <v>0</v>
      </c>
      <c r="M34" s="123">
        <f>COUNTIFS(Database!$F:$I,CONCATENATE($B34,M$16,"L"))+COUNTIFS(Database!$F:$I,CONCATENATE(M$16,$B34,"L"))+COUNTIFS(Database!$F:$I,CONCATENATE($B34,M$16,"W"))+COUNTIFS(Database!$F:$I,CONCATENATE(M$16,$B34,"W"))</f>
        <v>0</v>
      </c>
      <c r="N34" s="123">
        <f>COUNTIFS(Database!$F:$I,CONCATENATE($B34,N$16,"L"))+COUNTIFS(Database!$F:$I,CONCATENATE(N$16,$B34,"L"))+COUNTIFS(Database!$F:$I,CONCATENATE($B34,N$16,"W"))+COUNTIFS(Database!$F:$I,CONCATENATE(N$16,$B34,"W"))</f>
        <v>1</v>
      </c>
      <c r="O34" s="123">
        <f>COUNTIFS(Database!$F:$I,CONCATENATE($B34,O$16,"L"))+COUNTIFS(Database!$F:$I,CONCATENATE(O$16,$B34,"L"))+COUNTIFS(Database!$F:$I,CONCATENATE($B34,O$16,"W"))+COUNTIFS(Database!$F:$I,CONCATENATE(O$16,$B34,"W"))</f>
        <v>3</v>
      </c>
      <c r="P34" s="123">
        <f>COUNTIFS(Database!$F:$I,CONCATENATE($B34,P$16,"L"))+COUNTIFS(Database!$F:$I,CONCATENATE(P$16,$B34,"L"))+COUNTIFS(Database!$F:$I,CONCATENATE($B34,P$16,"W"))+COUNTIFS(Database!$F:$I,CONCATENATE(P$16,$B34,"W"))</f>
        <v>2</v>
      </c>
      <c r="Q34" s="123">
        <f>COUNTIFS(Database!$F:$I,CONCATENATE($B34,Q$16,"L"))+COUNTIFS(Database!$F:$I,CONCATENATE(Q$16,$B34,"L"))+COUNTIFS(Database!$F:$I,CONCATENATE($B34,Q$16,"W"))+COUNTIFS(Database!$F:$I,CONCATENATE(Q$16,$B34,"W"))</f>
        <v>0</v>
      </c>
      <c r="R34" s="123">
        <f>COUNTIFS(Database!$F:$I,CONCATENATE($B34,R$16,"L"))+COUNTIFS(Database!$F:$I,CONCATENATE(R$16,$B34,"L"))+COUNTIFS(Database!$F:$I,CONCATENATE($B34,R$16,"W"))+COUNTIFS(Database!$F:$I,CONCATENATE(R$16,$B34,"W"))</f>
        <v>0</v>
      </c>
      <c r="S34" s="123">
        <f>COUNTIFS(Database!$F:$I,CONCATENATE($B34,S$16,"L"))+COUNTIFS(Database!$F:$I,CONCATENATE(S$16,$B34,"L"))+COUNTIFS(Database!$F:$I,CONCATENATE($B34,S$16,"W"))+COUNTIFS(Database!$F:$I,CONCATENATE(S$16,$B34,"W"))</f>
        <v>0</v>
      </c>
      <c r="T34" s="123">
        <f>COUNTIFS(Database!$F:$I,CONCATENATE($B34,T$16,"L"))+COUNTIFS(Database!$F:$I,CONCATENATE(T$16,$B34,"L"))+COUNTIFS(Database!$F:$I,CONCATENATE($B34,T$16,"W"))+COUNTIFS(Database!$F:$I,CONCATENATE(T$16,$B34,"W"))</f>
        <v>0</v>
      </c>
      <c r="U34" s="123">
        <f>COUNTIFS(Database!$F:$I,CONCATENATE($B34,U$16,"L"))+COUNTIFS(Database!$F:$I,CONCATENATE(U$16,$B34,"L"))+COUNTIFS(Database!$F:$I,CONCATENATE($B34,U$16,"W"))+COUNTIFS(Database!$F:$I,CONCATENATE(U$16,$B34,"W"))</f>
        <v>0</v>
      </c>
      <c r="V34" s="123">
        <f>COUNTIFS(Database!$F:$I,CONCATENATE($B34,V$16,"L"))+COUNTIFS(Database!$F:$I,CONCATENATE(V$16,$B34,"L"))+COUNTIFS(Database!$F:$I,CONCATENATE($B34,V$16,"W"))+COUNTIFS(Database!$F:$I,CONCATENATE(V$16,$B34,"W"))</f>
        <v>0</v>
      </c>
      <c r="W34" s="123">
        <f>COUNTIFS(Database!$F:$I,CONCATENATE($B34,W$16,"L"))+COUNTIFS(Database!$F:$I,CONCATENATE(W$16,$B34,"L"))+COUNTIFS(Database!$F:$I,CONCATENATE($B34,W$16,"W"))+COUNTIFS(Database!$F:$I,CONCATENATE(W$16,$B34,"W"))</f>
        <v>1</v>
      </c>
      <c r="X34" s="123">
        <f>COUNTIFS(Database!$F:$I,CONCATENATE($B34,X$16,"L"))+COUNTIFS(Database!$F:$I,CONCATENATE(X$16,$B34,"L"))+COUNTIFS(Database!$F:$I,CONCATENATE($B34,X$16,"W"))+COUNTIFS(Database!$F:$I,CONCATENATE(X$16,$B34,"W"))</f>
        <v>0</v>
      </c>
      <c r="Y34" s="123">
        <f>COUNTIFS(Database!$F:$I,CONCATENATE($B34,Y$16,"L"))+COUNTIFS(Database!$F:$I,CONCATENATE(Y$16,$B34,"L"))+COUNTIFS(Database!$F:$I,CONCATENATE($B34,Y$16,"W"))+COUNTIFS(Database!$F:$I,CONCATENATE(Y$16,$B34,"W"))</f>
        <v>2</v>
      </c>
      <c r="Z34" s="123">
        <f>COUNTIFS(Database!$F:$I,CONCATENATE($B34,Z$16,"L"))+COUNTIFS(Database!$F:$I,CONCATENATE(Z$16,$B34,"L"))+COUNTIFS(Database!$F:$I,CONCATENATE($B34,Z$16,"W"))+COUNTIFS(Database!$F:$I,CONCATENATE(Z$16,$B34,"W"))</f>
        <v>0</v>
      </c>
      <c r="AA34" s="123">
        <f>COUNTIFS(Database!$F:$I,CONCATENATE($B34,AA$16,"L"))+COUNTIFS(Database!$F:$I,CONCATENATE(AA$16,$B34,"L"))+COUNTIFS(Database!$F:$I,CONCATENATE($B34,AA$16,"W"))+COUNTIFS(Database!$F:$I,CONCATENATE(AA$16,$B34,"W"))</f>
        <v>2</v>
      </c>
      <c r="AB34" s="123">
        <f>COUNTIFS(Database!$F:$I,CONCATENATE($B34,AB$16,"L"))+COUNTIFS(Database!$F:$I,CONCATENATE(AB$16,$B34,"L"))+COUNTIFS(Database!$F:$I,CONCATENATE($B34,AB$16,"W"))+COUNTIFS(Database!$F:$I,CONCATENATE(AB$16,$B34,"W"))</f>
        <v>2</v>
      </c>
      <c r="AC34" s="123">
        <f>COUNTIFS(Database!$F:$I,CONCATENATE($B34,AC$16,"L"))+COUNTIFS(Database!$F:$I,CONCATENATE(AC$16,$B34,"L"))+COUNTIFS(Database!$F:$I,CONCATENATE($B34,AC$16,"W"))+COUNTIFS(Database!$F:$I,CONCATENATE(AC$16,$B34,"W"))</f>
        <v>2</v>
      </c>
      <c r="AD34" s="123">
        <f>COUNTIFS(Database!$F:$I,CONCATENATE($B34,AD$16,"L"))+COUNTIFS(Database!$F:$I,CONCATENATE(AD$16,$B34,"L"))+COUNTIFS(Database!$F:$I,CONCATENATE($B34,AD$16,"W"))+COUNTIFS(Database!$F:$I,CONCATENATE(AD$16,$B34,"W"))</f>
        <v>1</v>
      </c>
      <c r="AE34" s="123">
        <f>COUNTIFS(Database!$F:$I,CONCATENATE($B34,AE$16,"L"))+COUNTIFS(Database!$F:$I,CONCATENATE(AE$16,$B34,"L"))+COUNTIFS(Database!$F:$I,CONCATENATE($B34,AE$16,"W"))+COUNTIFS(Database!$F:$I,CONCATENATE(AE$16,$B34,"W"))</f>
        <v>0</v>
      </c>
      <c r="AF34" s="123">
        <f>COUNTIFS(Database!$F:$I,CONCATENATE($B34,AF$16,"L"))+COUNTIFS(Database!$F:$I,CONCATENATE(AF$16,$B34,"L"))+COUNTIFS(Database!$F:$I,CONCATENATE($B34,AF$16,"W"))+COUNTIFS(Database!$F:$I,CONCATENATE(AF$16,$B34,"W"))</f>
        <v>0</v>
      </c>
      <c r="AG34" s="123">
        <f>COUNTIFS(Database!$F:$I,CONCATENATE($B34,AG$16,"L"))+COUNTIFS(Database!$F:$I,CONCATENATE(AG$16,$B34,"L"))+COUNTIFS(Database!$F:$I,CONCATENATE($B34,AG$16,"W"))+COUNTIFS(Database!$F:$I,CONCATENATE(AG$16,$B34,"W"))</f>
        <v>0</v>
      </c>
      <c r="AH34" s="123">
        <f>COUNTIFS(Database!$F:$I,CONCATENATE($B34,AH$16,"L"))+COUNTIFS(Database!$F:$I,CONCATENATE(AH$16,$B34,"L"))+COUNTIFS(Database!$F:$I,CONCATENATE($B34,AH$16,"W"))+COUNTIFS(Database!$F:$I,CONCATENATE(AH$16,$B34,"W"))</f>
        <v>0</v>
      </c>
      <c r="AI34" s="123">
        <f>COUNTIFS(Database!$F:$I,CONCATENATE($B34,AI$16,"L"))+COUNTIFS(Database!$F:$I,CONCATENATE(AI$16,$B34,"L"))+COUNTIFS(Database!$F:$I,CONCATENATE($B34,AI$16,"W"))+COUNTIFS(Database!$F:$I,CONCATENATE(AI$16,$B34,"W"))</f>
        <v>1</v>
      </c>
      <c r="AJ34" s="123">
        <f>COUNTIFS(Database!$F:$I,CONCATENATE($B34,AJ$16,"L"))+COUNTIFS(Database!$F:$I,CONCATENATE(AJ$16,$B34,"L"))+COUNTIFS(Database!$F:$I,CONCATENATE($B34,AJ$16,"W"))+COUNTIFS(Database!$F:$I,CONCATENATE(AJ$16,$B34,"W"))</f>
        <v>0</v>
      </c>
      <c r="AK34" s="123">
        <f>COUNTIFS(Database!$F:$I,CONCATENATE($B34,AK$16,"L"))+COUNTIFS(Database!$F:$I,CONCATENATE(AK$16,$B34,"L"))+COUNTIFS(Database!$F:$I,CONCATENATE($B34,AK$16,"W"))+COUNTIFS(Database!$F:$I,CONCATENATE(AK$16,$B34,"W"))</f>
        <v>2</v>
      </c>
      <c r="AL34" s="123">
        <f>COUNTIFS(Database!$F:$I,CONCATENATE($B34,AL$16,"L"))+COUNTIFS(Database!$F:$I,CONCATENATE(AL$16,$B34,"L"))+COUNTIFS(Database!$F:$I,CONCATENATE($B34,AL$16,"W"))+COUNTIFS(Database!$F:$I,CONCATENATE(AL$16,$B34,"W"))</f>
        <v>0</v>
      </c>
      <c r="AM34" s="123">
        <f>COUNTIFS(Database!$F:$I,CONCATENATE($B34,AM$16,"L"))+COUNTIFS(Database!$F:$I,CONCATENATE(AM$16,$B34,"L"))+COUNTIFS(Database!$F:$I,CONCATENATE($B34,AM$16,"W"))+COUNTIFS(Database!$F:$I,CONCATENATE(AM$16,$B34,"W"))</f>
        <v>0</v>
      </c>
      <c r="AN34" s="123">
        <f>COUNTIFS(Database!$F:$I,CONCATENATE($B34,AN$16,"L"))+COUNTIFS(Database!$F:$I,CONCATENATE(AN$16,$B34,"L"))+COUNTIFS(Database!$F:$I,CONCATENATE($B34,AN$16,"W"))+COUNTIFS(Database!$F:$I,CONCATENATE(AN$16,$B34,"W"))</f>
        <v>0</v>
      </c>
      <c r="AO34" s="123">
        <f>COUNTIFS(Database!$F:$I,CONCATENATE($B34,AO$16,"L"))+COUNTIFS(Database!$F:$I,CONCATENATE(AO$16,$B34,"L"))+COUNTIFS(Database!$F:$I,CONCATENATE($B34,AO$16,"W"))+COUNTIFS(Database!$F:$I,CONCATENATE(AO$16,$B34,"W"))</f>
        <v>3</v>
      </c>
      <c r="AP34" s="123">
        <f>COUNTIFS(Database!$F:$I,CONCATENATE($B34,AP$16,"L"))+COUNTIFS(Database!$F:$I,CONCATENATE(AP$16,$B34,"L"))+COUNTIFS(Database!$F:$I,CONCATENATE($B34,AP$16,"W"))+COUNTIFS(Database!$F:$I,CONCATENATE(AP$16,$B34,"W"))</f>
        <v>0</v>
      </c>
      <c r="AQ34" s="123">
        <f>COUNTIFS(Database!$F:$I,CONCATENATE($B34,AQ$16,"L"))+COUNTIFS(Database!$F:$I,CONCATENATE(AQ$16,$B34,"L"))+COUNTIFS(Database!$F:$I,CONCATENATE($B34,AQ$16,"W"))+COUNTIFS(Database!$F:$I,CONCATENATE(AQ$16,$B34,"W"))</f>
        <v>4</v>
      </c>
      <c r="AR34" s="123">
        <f>COUNTIFS(Database!$F:$I,CONCATENATE($B34,AR$16,"L"))+COUNTIFS(Database!$F:$I,CONCATENATE(AR$16,$B34,"L"))+COUNTIFS(Database!$F:$I,CONCATENATE($B34,AR$16,"W"))+COUNTIFS(Database!$F:$I,CONCATENATE(AR$16,$B34,"W"))</f>
        <v>4</v>
      </c>
      <c r="AS34" s="123">
        <f>COUNTIFS(Database!$F:$I,CONCATENATE($B34,AS$16,"L"))+COUNTIFS(Database!$F:$I,CONCATENATE(AS$16,$B34,"L"))+COUNTIFS(Database!$F:$I,CONCATENATE($B34,AS$16,"W"))+COUNTIFS(Database!$F:$I,CONCATENATE(AS$16,$B34,"W"))</f>
        <v>0</v>
      </c>
      <c r="AT34" s="123">
        <f>COUNTIFS(Database!$F:$I,CONCATENATE($B34,AT$16,"L"))+COUNTIFS(Database!$F:$I,CONCATENATE(AT$16,$B34,"L"))+COUNTIFS(Database!$F:$I,CONCATENATE($B34,AT$16,"W"))+COUNTIFS(Database!$F:$I,CONCATENATE(AT$16,$B34,"W"))</f>
        <v>0</v>
      </c>
      <c r="AU34" s="123">
        <f>COUNTIFS(Database!$F:$I,CONCATENATE($B34,AU$16,"L"))+COUNTIFS(Database!$F:$I,CONCATENATE(AU$16,$B34,"L"))+COUNTIFS(Database!$F:$I,CONCATENATE($B34,AU$16,"W"))+COUNTIFS(Database!$F:$I,CONCATENATE(AU$16,$B34,"W"))</f>
        <v>0</v>
      </c>
      <c r="AV34" s="123">
        <f>COUNTIFS(Database!$F:$I,CONCATENATE($B34,AV$16,"L"))+COUNTIFS(Database!$F:$I,CONCATENATE(AV$16,$B34,"L"))+COUNTIFS(Database!$F:$I,CONCATENATE($B34,AV$16,"W"))+COUNTIFS(Database!$F:$I,CONCATENATE(AV$16,$B34,"W"))</f>
        <v>2</v>
      </c>
      <c r="AW34" s="123">
        <f>COUNTIFS(Database!$F:$I,CONCATENATE($B34,AW$16,"L"))+COUNTIFS(Database!$F:$I,CONCATENATE(AW$16,$B34,"L"))+COUNTIFS(Database!$F:$I,CONCATENATE($B34,AW$16,"W"))+COUNTIFS(Database!$F:$I,CONCATENATE(AW$16,$B34,"W"))</f>
        <v>2</v>
      </c>
      <c r="AX34" s="123">
        <f>COUNTIFS(Database!$F:$I,CONCATENATE($B34,AX$16,"L"))+COUNTIFS(Database!$F:$I,CONCATENATE(AX$16,$B34,"L"))+COUNTIFS(Database!$F:$I,CONCATENATE($B34,AX$16,"W"))+COUNTIFS(Database!$F:$I,CONCATENATE(AX$16,$B34,"W"))</f>
        <v>0</v>
      </c>
      <c r="AY34" s="123">
        <f>COUNTIFS(Database!$F:$I,CONCATENATE($B34,AY$16,"L"))+COUNTIFS(Database!$F:$I,CONCATENATE(AY$16,$B34,"L"))+COUNTIFS(Database!$F:$I,CONCATENATE($B34,AY$16,"W"))+COUNTIFS(Database!$F:$I,CONCATENATE(AY$16,$B34,"W"))</f>
        <v>1</v>
      </c>
    </row>
    <row r="35" spans="2:51" x14ac:dyDescent="0.25">
      <c r="B35" s="120" t="s">
        <v>30</v>
      </c>
      <c r="C35" s="123">
        <f>COUNTIFS(Database!$F:$I,CONCATENATE($B35,C$16,"L"))+COUNTIFS(Database!$F:$I,CONCATENATE(C$16,$B35,"L"))+COUNTIFS(Database!$F:$I,CONCATENATE($B35,C$16,"W"))+COUNTIFS(Database!$F:$I,CONCATENATE(C$16,$B35,"W"))</f>
        <v>1</v>
      </c>
      <c r="D35" s="123">
        <f>COUNTIFS(Database!$F:$I,CONCATENATE($B35,D$16,"L"))+COUNTIFS(Database!$F:$I,CONCATENATE(D$16,$B35,"L"))+COUNTIFS(Database!$F:$I,CONCATENATE($B35,D$16,"W"))+COUNTIFS(Database!$F:$I,CONCATENATE(D$16,$B35,"W"))</f>
        <v>0</v>
      </c>
      <c r="E35" s="123">
        <f>COUNTIFS(Database!$F:$I,CONCATENATE($B35,E$16,"L"))+COUNTIFS(Database!$F:$I,CONCATENATE(E$16,$B35,"L"))+COUNTIFS(Database!$F:$I,CONCATENATE($B35,E$16,"W"))+COUNTIFS(Database!$F:$I,CONCATENATE(E$16,$B35,"W"))</f>
        <v>0</v>
      </c>
      <c r="F35" s="123">
        <f>COUNTIFS(Database!$F:$I,CONCATENATE($B35,F$16,"L"))+COUNTIFS(Database!$F:$I,CONCATENATE(F$16,$B35,"L"))+COUNTIFS(Database!$F:$I,CONCATENATE($B35,F$16,"W"))+COUNTIFS(Database!$F:$I,CONCATENATE(F$16,$B35,"W"))</f>
        <v>0</v>
      </c>
      <c r="G35" s="123">
        <f>COUNTIFS(Database!$F:$I,CONCATENATE($B35,G$16,"L"))+COUNTIFS(Database!$F:$I,CONCATENATE(G$16,$B35,"L"))+COUNTIFS(Database!$F:$I,CONCATENATE($B35,G$16,"W"))+COUNTIFS(Database!$F:$I,CONCATENATE(G$16,$B35,"W"))</f>
        <v>0</v>
      </c>
      <c r="H35" s="123">
        <f>COUNTIFS(Database!$F:$I,CONCATENATE($B35,H$16,"L"))+COUNTIFS(Database!$F:$I,CONCATENATE(H$16,$B35,"L"))+COUNTIFS(Database!$F:$I,CONCATENATE($B35,H$16,"W"))+COUNTIFS(Database!$F:$I,CONCATENATE(H$16,$B35,"W"))</f>
        <v>0</v>
      </c>
      <c r="I35" s="123">
        <f>COUNTIFS(Database!$F:$I,CONCATENATE($B35,I$16,"L"))+COUNTIFS(Database!$F:$I,CONCATENATE(I$16,$B35,"L"))+COUNTIFS(Database!$F:$I,CONCATENATE($B35,I$16,"W"))+COUNTIFS(Database!$F:$I,CONCATENATE(I$16,$B35,"W"))</f>
        <v>0</v>
      </c>
      <c r="J35" s="123">
        <f>COUNTIFS(Database!$F:$I,CONCATENATE($B35,J$16,"L"))+COUNTIFS(Database!$F:$I,CONCATENATE(J$16,$B35,"L"))+COUNTIFS(Database!$F:$I,CONCATENATE($B35,J$16,"W"))+COUNTIFS(Database!$F:$I,CONCATENATE(J$16,$B35,"W"))</f>
        <v>0</v>
      </c>
      <c r="K35" s="123">
        <f>COUNTIFS(Database!$F:$I,CONCATENATE($B35,K$16,"L"))+COUNTIFS(Database!$F:$I,CONCATENATE(K$16,$B35,"L"))+COUNTIFS(Database!$F:$I,CONCATENATE($B35,K$16,"W"))+COUNTIFS(Database!$F:$I,CONCATENATE(K$16,$B35,"W"))</f>
        <v>0</v>
      </c>
      <c r="L35" s="123">
        <f>COUNTIFS(Database!$F:$I,CONCATENATE($B35,L$16,"L"))+COUNTIFS(Database!$F:$I,CONCATENATE(L$16,$B35,"L"))+COUNTIFS(Database!$F:$I,CONCATENATE($B35,L$16,"W"))+COUNTIFS(Database!$F:$I,CONCATENATE(L$16,$B35,"W"))</f>
        <v>0</v>
      </c>
      <c r="M35" s="123">
        <f>COUNTIFS(Database!$F:$I,CONCATENATE($B35,M$16,"L"))+COUNTIFS(Database!$F:$I,CONCATENATE(M$16,$B35,"L"))+COUNTIFS(Database!$F:$I,CONCATENATE($B35,M$16,"W"))+COUNTIFS(Database!$F:$I,CONCATENATE(M$16,$B35,"W"))</f>
        <v>0</v>
      </c>
      <c r="N35" s="123">
        <f>COUNTIFS(Database!$F:$I,CONCATENATE($B35,N$16,"L"))+COUNTIFS(Database!$F:$I,CONCATENATE(N$16,$B35,"L"))+COUNTIFS(Database!$F:$I,CONCATENATE($B35,N$16,"W"))+COUNTIFS(Database!$F:$I,CONCATENATE(N$16,$B35,"W"))</f>
        <v>0</v>
      </c>
      <c r="O35" s="123">
        <f>COUNTIFS(Database!$F:$I,CONCATENATE($B35,O$16,"L"))+COUNTIFS(Database!$F:$I,CONCATENATE(O$16,$B35,"L"))+COUNTIFS(Database!$F:$I,CONCATENATE($B35,O$16,"W"))+COUNTIFS(Database!$F:$I,CONCATENATE(O$16,$B35,"W"))</f>
        <v>0</v>
      </c>
      <c r="P35" s="123">
        <f>COUNTIFS(Database!$F:$I,CONCATENATE($B35,P$16,"L"))+COUNTIFS(Database!$F:$I,CONCATENATE(P$16,$B35,"L"))+COUNTIFS(Database!$F:$I,CONCATENATE($B35,P$16,"W"))+COUNTIFS(Database!$F:$I,CONCATENATE(P$16,$B35,"W"))</f>
        <v>0</v>
      </c>
      <c r="Q35" s="123">
        <f>COUNTIFS(Database!$F:$I,CONCATENATE($B35,Q$16,"L"))+COUNTIFS(Database!$F:$I,CONCATENATE(Q$16,$B35,"L"))+COUNTIFS(Database!$F:$I,CONCATENATE($B35,Q$16,"W"))+COUNTIFS(Database!$F:$I,CONCATENATE(Q$16,$B35,"W"))</f>
        <v>0</v>
      </c>
      <c r="R35" s="123">
        <f>COUNTIFS(Database!$F:$I,CONCATENATE($B35,R$16,"L"))+COUNTIFS(Database!$F:$I,CONCATENATE(R$16,$B35,"L"))+COUNTIFS(Database!$F:$I,CONCATENATE($B35,R$16,"W"))+COUNTIFS(Database!$F:$I,CONCATENATE(R$16,$B35,"W"))</f>
        <v>0</v>
      </c>
      <c r="S35" s="123">
        <f>COUNTIFS(Database!$F:$I,CONCATENATE($B35,S$16,"L"))+COUNTIFS(Database!$F:$I,CONCATENATE(S$16,$B35,"L"))+COUNTIFS(Database!$F:$I,CONCATENATE($B35,S$16,"W"))+COUNTIFS(Database!$F:$I,CONCATENATE(S$16,$B35,"W"))</f>
        <v>0</v>
      </c>
      <c r="T35" s="123">
        <f>COUNTIFS(Database!$F:$I,CONCATENATE($B35,T$16,"L"))+COUNTIFS(Database!$F:$I,CONCATENATE(T$16,$B35,"L"))+COUNTIFS(Database!$F:$I,CONCATENATE($B35,T$16,"W"))+COUNTIFS(Database!$F:$I,CONCATENATE(T$16,$B35,"W"))</f>
        <v>0</v>
      </c>
      <c r="U35" s="123">
        <f>COUNTIFS(Database!$F:$I,CONCATENATE($B35,U$16,"L"))+COUNTIFS(Database!$F:$I,CONCATENATE(U$16,$B35,"L"))+COUNTIFS(Database!$F:$I,CONCATENATE($B35,U$16,"W"))+COUNTIFS(Database!$F:$I,CONCATENATE(U$16,$B35,"W"))</f>
        <v>0</v>
      </c>
      <c r="V35" s="123">
        <f>COUNTIFS(Database!$F:$I,CONCATENATE($B35,V$16,"L"))+COUNTIFS(Database!$F:$I,CONCATENATE(V$16,$B35,"L"))+COUNTIFS(Database!$F:$I,CONCATENATE($B35,V$16,"W"))+COUNTIFS(Database!$F:$I,CONCATENATE(V$16,$B35,"W"))</f>
        <v>1</v>
      </c>
      <c r="W35" s="123">
        <f>COUNTIFS(Database!$F:$I,CONCATENATE($B35,W$16,"L"))+COUNTIFS(Database!$F:$I,CONCATENATE(W$16,$B35,"L"))+COUNTIFS(Database!$F:$I,CONCATENATE($B35,W$16,"W"))+COUNTIFS(Database!$F:$I,CONCATENATE(W$16,$B35,"W"))</f>
        <v>1</v>
      </c>
      <c r="X35" s="123">
        <f>COUNTIFS(Database!$F:$I,CONCATENATE($B35,X$16,"L"))+COUNTIFS(Database!$F:$I,CONCATENATE(X$16,$B35,"L"))+COUNTIFS(Database!$F:$I,CONCATENATE($B35,X$16,"W"))+COUNTIFS(Database!$F:$I,CONCATENATE(X$16,$B35,"W"))</f>
        <v>0</v>
      </c>
      <c r="Y35" s="123">
        <f>COUNTIFS(Database!$F:$I,CONCATENATE($B35,Y$16,"L"))+COUNTIFS(Database!$F:$I,CONCATENATE(Y$16,$B35,"L"))+COUNTIFS(Database!$F:$I,CONCATENATE($B35,Y$16,"W"))+COUNTIFS(Database!$F:$I,CONCATENATE(Y$16,$B35,"W"))</f>
        <v>0</v>
      </c>
      <c r="Z35" s="123">
        <f>COUNTIFS(Database!$F:$I,CONCATENATE($B35,Z$16,"L"))+COUNTIFS(Database!$F:$I,CONCATENATE(Z$16,$B35,"L"))+COUNTIFS(Database!$F:$I,CONCATENATE($B35,Z$16,"W"))+COUNTIFS(Database!$F:$I,CONCATENATE(Z$16,$B35,"W"))</f>
        <v>0</v>
      </c>
      <c r="AA35" s="123">
        <f>COUNTIFS(Database!$F:$I,CONCATENATE($B35,AA$16,"L"))+COUNTIFS(Database!$F:$I,CONCATENATE(AA$16,$B35,"L"))+COUNTIFS(Database!$F:$I,CONCATENATE($B35,AA$16,"W"))+COUNTIFS(Database!$F:$I,CONCATENATE(AA$16,$B35,"W"))</f>
        <v>0</v>
      </c>
      <c r="AB35" s="123">
        <f>COUNTIFS(Database!$F:$I,CONCATENATE($B35,AB$16,"L"))+COUNTIFS(Database!$F:$I,CONCATENATE(AB$16,$B35,"L"))+COUNTIFS(Database!$F:$I,CONCATENATE($B35,AB$16,"W"))+COUNTIFS(Database!$F:$I,CONCATENATE(AB$16,$B35,"W"))</f>
        <v>0</v>
      </c>
      <c r="AC35" s="123">
        <f>COUNTIFS(Database!$F:$I,CONCATENATE($B35,AC$16,"L"))+COUNTIFS(Database!$F:$I,CONCATENATE(AC$16,$B35,"L"))+COUNTIFS(Database!$F:$I,CONCATENATE($B35,AC$16,"W"))+COUNTIFS(Database!$F:$I,CONCATENATE(AC$16,$B35,"W"))</f>
        <v>2</v>
      </c>
      <c r="AD35" s="123">
        <f>COUNTIFS(Database!$F:$I,CONCATENATE($B35,AD$16,"L"))+COUNTIFS(Database!$F:$I,CONCATENATE(AD$16,$B35,"L"))+COUNTIFS(Database!$F:$I,CONCATENATE($B35,AD$16,"W"))+COUNTIFS(Database!$F:$I,CONCATENATE(AD$16,$B35,"W"))</f>
        <v>0</v>
      </c>
      <c r="AE35" s="123">
        <f>COUNTIFS(Database!$F:$I,CONCATENATE($B35,AE$16,"L"))+COUNTIFS(Database!$F:$I,CONCATENATE(AE$16,$B35,"L"))+COUNTIFS(Database!$F:$I,CONCATENATE($B35,AE$16,"W"))+COUNTIFS(Database!$F:$I,CONCATENATE(AE$16,$B35,"W"))</f>
        <v>0</v>
      </c>
      <c r="AF35" s="123">
        <f>COUNTIFS(Database!$F:$I,CONCATENATE($B35,AF$16,"L"))+COUNTIFS(Database!$F:$I,CONCATENATE(AF$16,$B35,"L"))+COUNTIFS(Database!$F:$I,CONCATENATE($B35,AF$16,"W"))+COUNTIFS(Database!$F:$I,CONCATENATE(AF$16,$B35,"W"))</f>
        <v>0</v>
      </c>
      <c r="AG35" s="123">
        <f>COUNTIFS(Database!$F:$I,CONCATENATE($B35,AG$16,"L"))+COUNTIFS(Database!$F:$I,CONCATENATE(AG$16,$B35,"L"))+COUNTIFS(Database!$F:$I,CONCATENATE($B35,AG$16,"W"))+COUNTIFS(Database!$F:$I,CONCATENATE(AG$16,$B35,"W"))</f>
        <v>0</v>
      </c>
      <c r="AH35" s="123">
        <f>COUNTIFS(Database!$F:$I,CONCATENATE($B35,AH$16,"L"))+COUNTIFS(Database!$F:$I,CONCATENATE(AH$16,$B35,"L"))+COUNTIFS(Database!$F:$I,CONCATENATE($B35,AH$16,"W"))+COUNTIFS(Database!$F:$I,CONCATENATE(AH$16,$B35,"W"))</f>
        <v>0</v>
      </c>
      <c r="AI35" s="123">
        <f>COUNTIFS(Database!$F:$I,CONCATENATE($B35,AI$16,"L"))+COUNTIFS(Database!$F:$I,CONCATENATE(AI$16,$B35,"L"))+COUNTIFS(Database!$F:$I,CONCATENATE($B35,AI$16,"W"))+COUNTIFS(Database!$F:$I,CONCATENATE(AI$16,$B35,"W"))</f>
        <v>0</v>
      </c>
      <c r="AJ35" s="123">
        <f>COUNTIFS(Database!$F:$I,CONCATENATE($B35,AJ$16,"L"))+COUNTIFS(Database!$F:$I,CONCATENATE(AJ$16,$B35,"L"))+COUNTIFS(Database!$F:$I,CONCATENATE($B35,AJ$16,"W"))+COUNTIFS(Database!$F:$I,CONCATENATE(AJ$16,$B35,"W"))</f>
        <v>0</v>
      </c>
      <c r="AK35" s="123">
        <f>COUNTIFS(Database!$F:$I,CONCATENATE($B35,AK$16,"L"))+COUNTIFS(Database!$F:$I,CONCATENATE(AK$16,$B35,"L"))+COUNTIFS(Database!$F:$I,CONCATENATE($B35,AK$16,"W"))+COUNTIFS(Database!$F:$I,CONCATENATE(AK$16,$B35,"W"))</f>
        <v>1</v>
      </c>
      <c r="AL35" s="123">
        <f>COUNTIFS(Database!$F:$I,CONCATENATE($B35,AL$16,"L"))+COUNTIFS(Database!$F:$I,CONCATENATE(AL$16,$B35,"L"))+COUNTIFS(Database!$F:$I,CONCATENATE($B35,AL$16,"W"))+COUNTIFS(Database!$F:$I,CONCATENATE(AL$16,$B35,"W"))</f>
        <v>0</v>
      </c>
      <c r="AM35" s="123">
        <f>COUNTIFS(Database!$F:$I,CONCATENATE($B35,AM$16,"L"))+COUNTIFS(Database!$F:$I,CONCATENATE(AM$16,$B35,"L"))+COUNTIFS(Database!$F:$I,CONCATENATE($B35,AM$16,"W"))+COUNTIFS(Database!$F:$I,CONCATENATE(AM$16,$B35,"W"))</f>
        <v>0</v>
      </c>
      <c r="AN35" s="123">
        <f>COUNTIFS(Database!$F:$I,CONCATENATE($B35,AN$16,"L"))+COUNTIFS(Database!$F:$I,CONCATENATE(AN$16,$B35,"L"))+COUNTIFS(Database!$F:$I,CONCATENATE($B35,AN$16,"W"))+COUNTIFS(Database!$F:$I,CONCATENATE(AN$16,$B35,"W"))</f>
        <v>0</v>
      </c>
      <c r="AO35" s="123">
        <f>COUNTIFS(Database!$F:$I,CONCATENATE($B35,AO$16,"L"))+COUNTIFS(Database!$F:$I,CONCATENATE(AO$16,$B35,"L"))+COUNTIFS(Database!$F:$I,CONCATENATE($B35,AO$16,"W"))+COUNTIFS(Database!$F:$I,CONCATENATE(AO$16,$B35,"W"))</f>
        <v>0</v>
      </c>
      <c r="AP35" s="123">
        <f>COUNTIFS(Database!$F:$I,CONCATENATE($B35,AP$16,"L"))+COUNTIFS(Database!$F:$I,CONCATENATE(AP$16,$B35,"L"))+COUNTIFS(Database!$F:$I,CONCATENATE($B35,AP$16,"W"))+COUNTIFS(Database!$F:$I,CONCATENATE(AP$16,$B35,"W"))</f>
        <v>0</v>
      </c>
      <c r="AQ35" s="123">
        <f>COUNTIFS(Database!$F:$I,CONCATENATE($B35,AQ$16,"L"))+COUNTIFS(Database!$F:$I,CONCATENATE(AQ$16,$B35,"L"))+COUNTIFS(Database!$F:$I,CONCATENATE($B35,AQ$16,"W"))+COUNTIFS(Database!$F:$I,CONCATENATE(AQ$16,$B35,"W"))</f>
        <v>1</v>
      </c>
      <c r="AR35" s="123">
        <f>COUNTIFS(Database!$F:$I,CONCATENATE($B35,AR$16,"L"))+COUNTIFS(Database!$F:$I,CONCATENATE(AR$16,$B35,"L"))+COUNTIFS(Database!$F:$I,CONCATENATE($B35,AR$16,"W"))+COUNTIFS(Database!$F:$I,CONCATENATE(AR$16,$B35,"W"))</f>
        <v>0</v>
      </c>
      <c r="AS35" s="123">
        <f>COUNTIFS(Database!$F:$I,CONCATENATE($B35,AS$16,"L"))+COUNTIFS(Database!$F:$I,CONCATENATE(AS$16,$B35,"L"))+COUNTIFS(Database!$F:$I,CONCATENATE($B35,AS$16,"W"))+COUNTIFS(Database!$F:$I,CONCATENATE(AS$16,$B35,"W"))</f>
        <v>0</v>
      </c>
      <c r="AT35" s="123">
        <f>COUNTIFS(Database!$F:$I,CONCATENATE($B35,AT$16,"L"))+COUNTIFS(Database!$F:$I,CONCATENATE(AT$16,$B35,"L"))+COUNTIFS(Database!$F:$I,CONCATENATE($B35,AT$16,"W"))+COUNTIFS(Database!$F:$I,CONCATENATE(AT$16,$B35,"W"))</f>
        <v>0</v>
      </c>
      <c r="AU35" s="123">
        <f>COUNTIFS(Database!$F:$I,CONCATENATE($B35,AU$16,"L"))+COUNTIFS(Database!$F:$I,CONCATENATE(AU$16,$B35,"L"))+COUNTIFS(Database!$F:$I,CONCATENATE($B35,AU$16,"W"))+COUNTIFS(Database!$F:$I,CONCATENATE(AU$16,$B35,"W"))</f>
        <v>0</v>
      </c>
      <c r="AV35" s="123">
        <f>COUNTIFS(Database!$F:$I,CONCATENATE($B35,AV$16,"L"))+COUNTIFS(Database!$F:$I,CONCATENATE(AV$16,$B35,"L"))+COUNTIFS(Database!$F:$I,CONCATENATE($B35,AV$16,"W"))+COUNTIFS(Database!$F:$I,CONCATENATE(AV$16,$B35,"W"))</f>
        <v>0</v>
      </c>
      <c r="AW35" s="123">
        <f>COUNTIFS(Database!$F:$I,CONCATENATE($B35,AW$16,"L"))+COUNTIFS(Database!$F:$I,CONCATENATE(AW$16,$B35,"L"))+COUNTIFS(Database!$F:$I,CONCATENATE($B35,AW$16,"W"))+COUNTIFS(Database!$F:$I,CONCATENATE(AW$16,$B35,"W"))</f>
        <v>1</v>
      </c>
      <c r="AX35" s="123">
        <f>COUNTIFS(Database!$F:$I,CONCATENATE($B35,AX$16,"L"))+COUNTIFS(Database!$F:$I,CONCATENATE(AX$16,$B35,"L"))+COUNTIFS(Database!$F:$I,CONCATENATE($B35,AX$16,"W"))+COUNTIFS(Database!$F:$I,CONCATENATE(AX$16,$B35,"W"))</f>
        <v>0</v>
      </c>
      <c r="AY35" s="123">
        <f>COUNTIFS(Database!$F:$I,CONCATENATE($B35,AY$16,"L"))+COUNTIFS(Database!$F:$I,CONCATENATE(AY$16,$B35,"L"))+COUNTIFS(Database!$F:$I,CONCATENATE($B35,AY$16,"W"))+COUNTIFS(Database!$F:$I,CONCATENATE(AY$16,$B35,"W"))</f>
        <v>0</v>
      </c>
    </row>
    <row r="36" spans="2:51" x14ac:dyDescent="0.25">
      <c r="B36" s="120" t="s">
        <v>56</v>
      </c>
      <c r="C36" s="123">
        <f>COUNTIFS(Database!$F:$I,CONCATENATE($B36,C$16,"L"))+COUNTIFS(Database!$F:$I,CONCATENATE(C$16,$B36,"L"))+COUNTIFS(Database!$F:$I,CONCATENATE($B36,C$16,"W"))+COUNTIFS(Database!$F:$I,CONCATENATE(C$16,$B36,"W"))</f>
        <v>1</v>
      </c>
      <c r="D36" s="123">
        <f>COUNTIFS(Database!$F:$I,CONCATENATE($B36,D$16,"L"))+COUNTIFS(Database!$F:$I,CONCATENATE(D$16,$B36,"L"))+COUNTIFS(Database!$F:$I,CONCATENATE($B36,D$16,"W"))+COUNTIFS(Database!$F:$I,CONCATENATE(D$16,$B36,"W"))</f>
        <v>0</v>
      </c>
      <c r="E36" s="123">
        <f>COUNTIFS(Database!$F:$I,CONCATENATE($B36,E$16,"L"))+COUNTIFS(Database!$F:$I,CONCATENATE(E$16,$B36,"L"))+COUNTIFS(Database!$F:$I,CONCATENATE($B36,E$16,"W"))+COUNTIFS(Database!$F:$I,CONCATENATE(E$16,$B36,"W"))</f>
        <v>2</v>
      </c>
      <c r="F36" s="123">
        <f>COUNTIFS(Database!$F:$I,CONCATENATE($B36,F$16,"L"))+COUNTIFS(Database!$F:$I,CONCATENATE(F$16,$B36,"L"))+COUNTIFS(Database!$F:$I,CONCATENATE($B36,F$16,"W"))+COUNTIFS(Database!$F:$I,CONCATENATE(F$16,$B36,"W"))</f>
        <v>0</v>
      </c>
      <c r="G36" s="123">
        <f>COUNTIFS(Database!$F:$I,CONCATENATE($B36,G$16,"L"))+COUNTIFS(Database!$F:$I,CONCATENATE(G$16,$B36,"L"))+COUNTIFS(Database!$F:$I,CONCATENATE($B36,G$16,"W"))+COUNTIFS(Database!$F:$I,CONCATENATE(G$16,$B36,"W"))</f>
        <v>0</v>
      </c>
      <c r="H36" s="123">
        <f>COUNTIFS(Database!$F:$I,CONCATENATE($B36,H$16,"L"))+COUNTIFS(Database!$F:$I,CONCATENATE(H$16,$B36,"L"))+COUNTIFS(Database!$F:$I,CONCATENATE($B36,H$16,"W"))+COUNTIFS(Database!$F:$I,CONCATENATE(H$16,$B36,"W"))</f>
        <v>0</v>
      </c>
      <c r="I36" s="123">
        <f>COUNTIFS(Database!$F:$I,CONCATENATE($B36,I$16,"L"))+COUNTIFS(Database!$F:$I,CONCATENATE(I$16,$B36,"L"))+COUNTIFS(Database!$F:$I,CONCATENATE($B36,I$16,"W"))+COUNTIFS(Database!$F:$I,CONCATENATE(I$16,$B36,"W"))</f>
        <v>0</v>
      </c>
      <c r="J36" s="123">
        <f>COUNTIFS(Database!$F:$I,CONCATENATE($B36,J$16,"L"))+COUNTIFS(Database!$F:$I,CONCATENATE(J$16,$B36,"L"))+COUNTIFS(Database!$F:$I,CONCATENATE($B36,J$16,"W"))+COUNTIFS(Database!$F:$I,CONCATENATE(J$16,$B36,"W"))</f>
        <v>1</v>
      </c>
      <c r="K36" s="123">
        <f>COUNTIFS(Database!$F:$I,CONCATENATE($B36,K$16,"L"))+COUNTIFS(Database!$F:$I,CONCATENATE(K$16,$B36,"L"))+COUNTIFS(Database!$F:$I,CONCATENATE($B36,K$16,"W"))+COUNTIFS(Database!$F:$I,CONCATENATE(K$16,$B36,"W"))</f>
        <v>0</v>
      </c>
      <c r="L36" s="123">
        <f>COUNTIFS(Database!$F:$I,CONCATENATE($B36,L$16,"L"))+COUNTIFS(Database!$F:$I,CONCATENATE(L$16,$B36,"L"))+COUNTIFS(Database!$F:$I,CONCATENATE($B36,L$16,"W"))+COUNTIFS(Database!$F:$I,CONCATENATE(L$16,$B36,"W"))</f>
        <v>0</v>
      </c>
      <c r="M36" s="123">
        <f>COUNTIFS(Database!$F:$I,CONCATENATE($B36,M$16,"L"))+COUNTIFS(Database!$F:$I,CONCATENATE(M$16,$B36,"L"))+COUNTIFS(Database!$F:$I,CONCATENATE($B36,M$16,"W"))+COUNTIFS(Database!$F:$I,CONCATENATE(M$16,$B36,"W"))</f>
        <v>0</v>
      </c>
      <c r="N36" s="123">
        <f>COUNTIFS(Database!$F:$I,CONCATENATE($B36,N$16,"L"))+COUNTIFS(Database!$F:$I,CONCATENATE(N$16,$B36,"L"))+COUNTIFS(Database!$F:$I,CONCATENATE($B36,N$16,"W"))+COUNTIFS(Database!$F:$I,CONCATENATE(N$16,$B36,"W"))</f>
        <v>0</v>
      </c>
      <c r="O36" s="123">
        <f>COUNTIFS(Database!$F:$I,CONCATENATE($B36,O$16,"L"))+COUNTIFS(Database!$F:$I,CONCATENATE(O$16,$B36,"L"))+COUNTIFS(Database!$F:$I,CONCATENATE($B36,O$16,"W"))+COUNTIFS(Database!$F:$I,CONCATENATE(O$16,$B36,"W"))</f>
        <v>0</v>
      </c>
      <c r="P36" s="123">
        <f>COUNTIFS(Database!$F:$I,CONCATENATE($B36,P$16,"L"))+COUNTIFS(Database!$F:$I,CONCATENATE(P$16,$B36,"L"))+COUNTIFS(Database!$F:$I,CONCATENATE($B36,P$16,"W"))+COUNTIFS(Database!$F:$I,CONCATENATE(P$16,$B36,"W"))</f>
        <v>0</v>
      </c>
      <c r="Q36" s="123">
        <f>COUNTIFS(Database!$F:$I,CONCATENATE($B36,Q$16,"L"))+COUNTIFS(Database!$F:$I,CONCATENATE(Q$16,$B36,"L"))+COUNTIFS(Database!$F:$I,CONCATENATE($B36,Q$16,"W"))+COUNTIFS(Database!$F:$I,CONCATENATE(Q$16,$B36,"W"))</f>
        <v>0</v>
      </c>
      <c r="R36" s="123">
        <f>COUNTIFS(Database!$F:$I,CONCATENATE($B36,R$16,"L"))+COUNTIFS(Database!$F:$I,CONCATENATE(R$16,$B36,"L"))+COUNTIFS(Database!$F:$I,CONCATENATE($B36,R$16,"W"))+COUNTIFS(Database!$F:$I,CONCATENATE(R$16,$B36,"W"))</f>
        <v>0</v>
      </c>
      <c r="S36" s="123">
        <f>COUNTIFS(Database!$F:$I,CONCATENATE($B36,S$16,"L"))+COUNTIFS(Database!$F:$I,CONCATENATE(S$16,$B36,"L"))+COUNTIFS(Database!$F:$I,CONCATENATE($B36,S$16,"W"))+COUNTIFS(Database!$F:$I,CONCATENATE(S$16,$B36,"W"))</f>
        <v>1</v>
      </c>
      <c r="T36" s="123">
        <f>COUNTIFS(Database!$F:$I,CONCATENATE($B36,T$16,"L"))+COUNTIFS(Database!$F:$I,CONCATENATE(T$16,$B36,"L"))+COUNTIFS(Database!$F:$I,CONCATENATE($B36,T$16,"W"))+COUNTIFS(Database!$F:$I,CONCATENATE(T$16,$B36,"W"))</f>
        <v>0</v>
      </c>
      <c r="U36" s="123">
        <f>COUNTIFS(Database!$F:$I,CONCATENATE($B36,U$16,"L"))+COUNTIFS(Database!$F:$I,CONCATENATE(U$16,$B36,"L"))+COUNTIFS(Database!$F:$I,CONCATENATE($B36,U$16,"W"))+COUNTIFS(Database!$F:$I,CONCATENATE(U$16,$B36,"W"))</f>
        <v>1</v>
      </c>
      <c r="V36" s="123">
        <f>COUNTIFS(Database!$F:$I,CONCATENATE($B36,V$16,"L"))+COUNTIFS(Database!$F:$I,CONCATENATE(V$16,$B36,"L"))+COUNTIFS(Database!$F:$I,CONCATENATE($B36,V$16,"W"))+COUNTIFS(Database!$F:$I,CONCATENATE(V$16,$B36,"W"))</f>
        <v>0</v>
      </c>
      <c r="W36" s="123">
        <f>COUNTIFS(Database!$F:$I,CONCATENATE($B36,W$16,"L"))+COUNTIFS(Database!$F:$I,CONCATENATE(W$16,$B36,"L"))+COUNTIFS(Database!$F:$I,CONCATENATE($B36,W$16,"W"))+COUNTIFS(Database!$F:$I,CONCATENATE(W$16,$B36,"W"))</f>
        <v>3</v>
      </c>
      <c r="X36" s="123">
        <f>COUNTIFS(Database!$F:$I,CONCATENATE($B36,X$16,"L"))+COUNTIFS(Database!$F:$I,CONCATENATE(X$16,$B36,"L"))+COUNTIFS(Database!$F:$I,CONCATENATE($B36,X$16,"W"))+COUNTIFS(Database!$F:$I,CONCATENATE(X$16,$B36,"W"))</f>
        <v>0</v>
      </c>
      <c r="Y36" s="123">
        <f>COUNTIFS(Database!$F:$I,CONCATENATE($B36,Y$16,"L"))+COUNTIFS(Database!$F:$I,CONCATENATE(Y$16,$B36,"L"))+COUNTIFS(Database!$F:$I,CONCATENATE($B36,Y$16,"W"))+COUNTIFS(Database!$F:$I,CONCATENATE(Y$16,$B36,"W"))</f>
        <v>0</v>
      </c>
      <c r="Z36" s="123">
        <f>COUNTIFS(Database!$F:$I,CONCATENATE($B36,Z$16,"L"))+COUNTIFS(Database!$F:$I,CONCATENATE(Z$16,$B36,"L"))+COUNTIFS(Database!$F:$I,CONCATENATE($B36,Z$16,"W"))+COUNTIFS(Database!$F:$I,CONCATENATE(Z$16,$B36,"W"))</f>
        <v>0</v>
      </c>
      <c r="AA36" s="123">
        <f>COUNTIFS(Database!$F:$I,CONCATENATE($B36,AA$16,"L"))+COUNTIFS(Database!$F:$I,CONCATENATE(AA$16,$B36,"L"))+COUNTIFS(Database!$F:$I,CONCATENATE($B36,AA$16,"W"))+COUNTIFS(Database!$F:$I,CONCATENATE(AA$16,$B36,"W"))</f>
        <v>0</v>
      </c>
      <c r="AB36" s="123">
        <f>COUNTIFS(Database!$F:$I,CONCATENATE($B36,AB$16,"L"))+COUNTIFS(Database!$F:$I,CONCATENATE(AB$16,$B36,"L"))+COUNTIFS(Database!$F:$I,CONCATENATE($B36,AB$16,"W"))+COUNTIFS(Database!$F:$I,CONCATENATE(AB$16,$B36,"W"))</f>
        <v>0</v>
      </c>
      <c r="AC36" s="123">
        <f>COUNTIFS(Database!$F:$I,CONCATENATE($B36,AC$16,"L"))+COUNTIFS(Database!$F:$I,CONCATENATE(AC$16,$B36,"L"))+COUNTIFS(Database!$F:$I,CONCATENATE($B36,AC$16,"W"))+COUNTIFS(Database!$F:$I,CONCATENATE(AC$16,$B36,"W"))</f>
        <v>1</v>
      </c>
      <c r="AD36" s="123">
        <f>COUNTIFS(Database!$F:$I,CONCATENATE($B36,AD$16,"L"))+COUNTIFS(Database!$F:$I,CONCATENATE(AD$16,$B36,"L"))+COUNTIFS(Database!$F:$I,CONCATENATE($B36,AD$16,"W"))+COUNTIFS(Database!$F:$I,CONCATENATE(AD$16,$B36,"W"))</f>
        <v>1</v>
      </c>
      <c r="AE36" s="123">
        <f>COUNTIFS(Database!$F:$I,CONCATENATE($B36,AE$16,"L"))+COUNTIFS(Database!$F:$I,CONCATENATE(AE$16,$B36,"L"))+COUNTIFS(Database!$F:$I,CONCATENATE($B36,AE$16,"W"))+COUNTIFS(Database!$F:$I,CONCATENATE(AE$16,$B36,"W"))</f>
        <v>0</v>
      </c>
      <c r="AF36" s="123">
        <f>COUNTIFS(Database!$F:$I,CONCATENATE($B36,AF$16,"L"))+COUNTIFS(Database!$F:$I,CONCATENATE(AF$16,$B36,"L"))+COUNTIFS(Database!$F:$I,CONCATENATE($B36,AF$16,"W"))+COUNTIFS(Database!$F:$I,CONCATENATE(AF$16,$B36,"W"))</f>
        <v>0</v>
      </c>
      <c r="AG36" s="123">
        <f>COUNTIFS(Database!$F:$I,CONCATENATE($B36,AG$16,"L"))+COUNTIFS(Database!$F:$I,CONCATENATE(AG$16,$B36,"L"))+COUNTIFS(Database!$F:$I,CONCATENATE($B36,AG$16,"W"))+COUNTIFS(Database!$F:$I,CONCATENATE(AG$16,$B36,"W"))</f>
        <v>0</v>
      </c>
      <c r="AH36" s="123">
        <f>COUNTIFS(Database!$F:$I,CONCATENATE($B36,AH$16,"L"))+COUNTIFS(Database!$F:$I,CONCATENATE(AH$16,$B36,"L"))+COUNTIFS(Database!$F:$I,CONCATENATE($B36,AH$16,"W"))+COUNTIFS(Database!$F:$I,CONCATENATE(AH$16,$B36,"W"))</f>
        <v>0</v>
      </c>
      <c r="AI36" s="123">
        <f>COUNTIFS(Database!$F:$I,CONCATENATE($B36,AI$16,"L"))+COUNTIFS(Database!$F:$I,CONCATENATE(AI$16,$B36,"L"))+COUNTIFS(Database!$F:$I,CONCATENATE($B36,AI$16,"W"))+COUNTIFS(Database!$F:$I,CONCATENATE(AI$16,$B36,"W"))</f>
        <v>0</v>
      </c>
      <c r="AJ36" s="123">
        <f>COUNTIFS(Database!$F:$I,CONCATENATE($B36,AJ$16,"L"))+COUNTIFS(Database!$F:$I,CONCATENATE(AJ$16,$B36,"L"))+COUNTIFS(Database!$F:$I,CONCATENATE($B36,AJ$16,"W"))+COUNTIFS(Database!$F:$I,CONCATENATE(AJ$16,$B36,"W"))</f>
        <v>0</v>
      </c>
      <c r="AK36" s="123">
        <f>COUNTIFS(Database!$F:$I,CONCATENATE($B36,AK$16,"L"))+COUNTIFS(Database!$F:$I,CONCATENATE(AK$16,$B36,"L"))+COUNTIFS(Database!$F:$I,CONCATENATE($B36,AK$16,"W"))+COUNTIFS(Database!$F:$I,CONCATENATE(AK$16,$B36,"W"))</f>
        <v>2</v>
      </c>
      <c r="AL36" s="123">
        <f>COUNTIFS(Database!$F:$I,CONCATENATE($B36,AL$16,"L"))+COUNTIFS(Database!$F:$I,CONCATENATE(AL$16,$B36,"L"))+COUNTIFS(Database!$F:$I,CONCATENATE($B36,AL$16,"W"))+COUNTIFS(Database!$F:$I,CONCATENATE(AL$16,$B36,"W"))</f>
        <v>0</v>
      </c>
      <c r="AM36" s="123">
        <f>COUNTIFS(Database!$F:$I,CONCATENATE($B36,AM$16,"L"))+COUNTIFS(Database!$F:$I,CONCATENATE(AM$16,$B36,"L"))+COUNTIFS(Database!$F:$I,CONCATENATE($B36,AM$16,"W"))+COUNTIFS(Database!$F:$I,CONCATENATE(AM$16,$B36,"W"))</f>
        <v>0</v>
      </c>
      <c r="AN36" s="123">
        <f>COUNTIFS(Database!$F:$I,CONCATENATE($B36,AN$16,"L"))+COUNTIFS(Database!$F:$I,CONCATENATE(AN$16,$B36,"L"))+COUNTIFS(Database!$F:$I,CONCATENATE($B36,AN$16,"W"))+COUNTIFS(Database!$F:$I,CONCATENATE(AN$16,$B36,"W"))</f>
        <v>1</v>
      </c>
      <c r="AO36" s="123">
        <f>COUNTIFS(Database!$F:$I,CONCATENATE($B36,AO$16,"L"))+COUNTIFS(Database!$F:$I,CONCATENATE(AO$16,$B36,"L"))+COUNTIFS(Database!$F:$I,CONCATENATE($B36,AO$16,"W"))+COUNTIFS(Database!$F:$I,CONCATENATE(AO$16,$B36,"W"))</f>
        <v>0</v>
      </c>
      <c r="AP36" s="123">
        <f>COUNTIFS(Database!$F:$I,CONCATENATE($B36,AP$16,"L"))+COUNTIFS(Database!$F:$I,CONCATENATE(AP$16,$B36,"L"))+COUNTIFS(Database!$F:$I,CONCATENATE($B36,AP$16,"W"))+COUNTIFS(Database!$F:$I,CONCATENATE(AP$16,$B36,"W"))</f>
        <v>0</v>
      </c>
      <c r="AQ36" s="123">
        <f>COUNTIFS(Database!$F:$I,CONCATENATE($B36,AQ$16,"L"))+COUNTIFS(Database!$F:$I,CONCATENATE(AQ$16,$B36,"L"))+COUNTIFS(Database!$F:$I,CONCATENATE($B36,AQ$16,"W"))+COUNTIFS(Database!$F:$I,CONCATENATE(AQ$16,$B36,"W"))</f>
        <v>1</v>
      </c>
      <c r="AR36" s="123">
        <f>COUNTIFS(Database!$F:$I,CONCATENATE($B36,AR$16,"L"))+COUNTIFS(Database!$F:$I,CONCATENATE(AR$16,$B36,"L"))+COUNTIFS(Database!$F:$I,CONCATENATE($B36,AR$16,"W"))+COUNTIFS(Database!$F:$I,CONCATENATE(AR$16,$B36,"W"))</f>
        <v>2</v>
      </c>
      <c r="AS36" s="123">
        <f>COUNTIFS(Database!$F:$I,CONCATENATE($B36,AS$16,"L"))+COUNTIFS(Database!$F:$I,CONCATENATE(AS$16,$B36,"L"))+COUNTIFS(Database!$F:$I,CONCATENATE($B36,AS$16,"W"))+COUNTIFS(Database!$F:$I,CONCATENATE(AS$16,$B36,"W"))</f>
        <v>0</v>
      </c>
      <c r="AT36" s="123">
        <f>COUNTIFS(Database!$F:$I,CONCATENATE($B36,AT$16,"L"))+COUNTIFS(Database!$F:$I,CONCATENATE(AT$16,$B36,"L"))+COUNTIFS(Database!$F:$I,CONCATENATE($B36,AT$16,"W"))+COUNTIFS(Database!$F:$I,CONCATENATE(AT$16,$B36,"W"))</f>
        <v>0</v>
      </c>
      <c r="AU36" s="123">
        <f>COUNTIFS(Database!$F:$I,CONCATENATE($B36,AU$16,"L"))+COUNTIFS(Database!$F:$I,CONCATENATE(AU$16,$B36,"L"))+COUNTIFS(Database!$F:$I,CONCATENATE($B36,AU$16,"W"))+COUNTIFS(Database!$F:$I,CONCATENATE(AU$16,$B36,"W"))</f>
        <v>0</v>
      </c>
      <c r="AV36" s="123">
        <f>COUNTIFS(Database!$F:$I,CONCATENATE($B36,AV$16,"L"))+COUNTIFS(Database!$F:$I,CONCATENATE(AV$16,$B36,"L"))+COUNTIFS(Database!$F:$I,CONCATENATE($B36,AV$16,"W"))+COUNTIFS(Database!$F:$I,CONCATENATE(AV$16,$B36,"W"))</f>
        <v>0</v>
      </c>
      <c r="AW36" s="123">
        <f>COUNTIFS(Database!$F:$I,CONCATENATE($B36,AW$16,"L"))+COUNTIFS(Database!$F:$I,CONCATENATE(AW$16,$B36,"L"))+COUNTIFS(Database!$F:$I,CONCATENATE($B36,AW$16,"W"))+COUNTIFS(Database!$F:$I,CONCATENATE(AW$16,$B36,"W"))</f>
        <v>0</v>
      </c>
      <c r="AX36" s="123">
        <f>COUNTIFS(Database!$F:$I,CONCATENATE($B36,AX$16,"L"))+COUNTIFS(Database!$F:$I,CONCATENATE(AX$16,$B36,"L"))+COUNTIFS(Database!$F:$I,CONCATENATE($B36,AX$16,"W"))+COUNTIFS(Database!$F:$I,CONCATENATE(AX$16,$B36,"W"))</f>
        <v>1</v>
      </c>
      <c r="AY36" s="123">
        <f>COUNTIFS(Database!$F:$I,CONCATENATE($B36,AY$16,"L"))+COUNTIFS(Database!$F:$I,CONCATENATE(AY$16,$B36,"L"))+COUNTIFS(Database!$F:$I,CONCATENATE($B36,AY$16,"W"))+COUNTIFS(Database!$F:$I,CONCATENATE(AY$16,$B36,"W"))</f>
        <v>1</v>
      </c>
    </row>
    <row r="37" spans="2:51" x14ac:dyDescent="0.25">
      <c r="B37" s="120" t="s">
        <v>45</v>
      </c>
      <c r="C37" s="123">
        <f>COUNTIFS(Database!$F:$I,CONCATENATE($B37,C$16,"L"))+COUNTIFS(Database!$F:$I,CONCATENATE(C$16,$B37,"L"))+COUNTIFS(Database!$F:$I,CONCATENATE($B37,C$16,"W"))+COUNTIFS(Database!$F:$I,CONCATENATE(C$16,$B37,"W"))</f>
        <v>17</v>
      </c>
      <c r="D37" s="123">
        <f>COUNTIFS(Database!$F:$I,CONCATENATE($B37,D$16,"L"))+COUNTIFS(Database!$F:$I,CONCATENATE(D$16,$B37,"L"))+COUNTIFS(Database!$F:$I,CONCATENATE($B37,D$16,"W"))+COUNTIFS(Database!$F:$I,CONCATENATE(D$16,$B37,"W"))</f>
        <v>1</v>
      </c>
      <c r="E37" s="123">
        <f>COUNTIFS(Database!$F:$I,CONCATENATE($B37,E$16,"L"))+COUNTIFS(Database!$F:$I,CONCATENATE(E$16,$B37,"L"))+COUNTIFS(Database!$F:$I,CONCATENATE($B37,E$16,"W"))+COUNTIFS(Database!$F:$I,CONCATENATE(E$16,$B37,"W"))</f>
        <v>7</v>
      </c>
      <c r="F37" s="123">
        <f>COUNTIFS(Database!$F:$I,CONCATENATE($B37,F$16,"L"))+COUNTIFS(Database!$F:$I,CONCATENATE(F$16,$B37,"L"))+COUNTIFS(Database!$F:$I,CONCATENATE($B37,F$16,"W"))+COUNTIFS(Database!$F:$I,CONCATENATE(F$16,$B37,"W"))</f>
        <v>4</v>
      </c>
      <c r="G37" s="123">
        <f>COUNTIFS(Database!$F:$I,CONCATENATE($B37,G$16,"L"))+COUNTIFS(Database!$F:$I,CONCATENATE(G$16,$B37,"L"))+COUNTIFS(Database!$F:$I,CONCATENATE($B37,G$16,"W"))+COUNTIFS(Database!$F:$I,CONCATENATE(G$16,$B37,"W"))</f>
        <v>2</v>
      </c>
      <c r="H37" s="123">
        <f>COUNTIFS(Database!$F:$I,CONCATENATE($B37,H$16,"L"))+COUNTIFS(Database!$F:$I,CONCATENATE(H$16,$B37,"L"))+COUNTIFS(Database!$F:$I,CONCATENATE($B37,H$16,"W"))+COUNTIFS(Database!$F:$I,CONCATENATE(H$16,$B37,"W"))</f>
        <v>0</v>
      </c>
      <c r="I37" s="123">
        <f>COUNTIFS(Database!$F:$I,CONCATENATE($B37,I$16,"L"))+COUNTIFS(Database!$F:$I,CONCATENATE(I$16,$B37,"L"))+COUNTIFS(Database!$F:$I,CONCATENATE($B37,I$16,"W"))+COUNTIFS(Database!$F:$I,CONCATENATE(I$16,$B37,"W"))</f>
        <v>1</v>
      </c>
      <c r="J37" s="123">
        <f>COUNTIFS(Database!$F:$I,CONCATENATE($B37,J$16,"L"))+COUNTIFS(Database!$F:$I,CONCATENATE(J$16,$B37,"L"))+COUNTIFS(Database!$F:$I,CONCATENATE($B37,J$16,"W"))+COUNTIFS(Database!$F:$I,CONCATENATE(J$16,$B37,"W"))</f>
        <v>2</v>
      </c>
      <c r="K37" s="123">
        <f>COUNTIFS(Database!$F:$I,CONCATENATE($B37,K$16,"L"))+COUNTIFS(Database!$F:$I,CONCATENATE(K$16,$B37,"L"))+COUNTIFS(Database!$F:$I,CONCATENATE($B37,K$16,"W"))+COUNTIFS(Database!$F:$I,CONCATENATE(K$16,$B37,"W"))</f>
        <v>6</v>
      </c>
      <c r="L37" s="123">
        <f>COUNTIFS(Database!$F:$I,CONCATENATE($B37,L$16,"L"))+COUNTIFS(Database!$F:$I,CONCATENATE(L$16,$B37,"L"))+COUNTIFS(Database!$F:$I,CONCATENATE($B37,L$16,"W"))+COUNTIFS(Database!$F:$I,CONCATENATE(L$16,$B37,"W"))</f>
        <v>3</v>
      </c>
      <c r="M37" s="123">
        <f>COUNTIFS(Database!$F:$I,CONCATENATE($B37,M$16,"L"))+COUNTIFS(Database!$F:$I,CONCATENATE(M$16,$B37,"L"))+COUNTIFS(Database!$F:$I,CONCATENATE($B37,M$16,"W"))+COUNTIFS(Database!$F:$I,CONCATENATE(M$16,$B37,"W"))</f>
        <v>0</v>
      </c>
      <c r="N37" s="123">
        <f>COUNTIFS(Database!$F:$I,CONCATENATE($B37,N$16,"L"))+COUNTIFS(Database!$F:$I,CONCATENATE(N$16,$B37,"L"))+COUNTIFS(Database!$F:$I,CONCATENATE($B37,N$16,"W"))+COUNTIFS(Database!$F:$I,CONCATENATE(N$16,$B37,"W"))</f>
        <v>2</v>
      </c>
      <c r="O37" s="123">
        <f>COUNTIFS(Database!$F:$I,CONCATENATE($B37,O$16,"L"))+COUNTIFS(Database!$F:$I,CONCATENATE(O$16,$B37,"L"))+COUNTIFS(Database!$F:$I,CONCATENATE($B37,O$16,"W"))+COUNTIFS(Database!$F:$I,CONCATENATE(O$16,$B37,"W"))</f>
        <v>8</v>
      </c>
      <c r="P37" s="123">
        <f>COUNTIFS(Database!$F:$I,CONCATENATE($B37,P$16,"L"))+COUNTIFS(Database!$F:$I,CONCATENATE(P$16,$B37,"L"))+COUNTIFS(Database!$F:$I,CONCATENATE($B37,P$16,"W"))+COUNTIFS(Database!$F:$I,CONCATENATE(P$16,$B37,"W"))</f>
        <v>1</v>
      </c>
      <c r="Q37" s="123">
        <f>COUNTIFS(Database!$F:$I,CONCATENATE($B37,Q$16,"L"))+COUNTIFS(Database!$F:$I,CONCATENATE(Q$16,$B37,"L"))+COUNTIFS(Database!$F:$I,CONCATENATE($B37,Q$16,"W"))+COUNTIFS(Database!$F:$I,CONCATENATE(Q$16,$B37,"W"))</f>
        <v>0</v>
      </c>
      <c r="R37" s="123">
        <f>COUNTIFS(Database!$F:$I,CONCATENATE($B37,R$16,"L"))+COUNTIFS(Database!$F:$I,CONCATENATE(R$16,$B37,"L"))+COUNTIFS(Database!$F:$I,CONCATENATE($B37,R$16,"W"))+COUNTIFS(Database!$F:$I,CONCATENATE(R$16,$B37,"W"))</f>
        <v>0</v>
      </c>
      <c r="S37" s="123">
        <f>COUNTIFS(Database!$F:$I,CONCATENATE($B37,S$16,"L"))+COUNTIFS(Database!$F:$I,CONCATENATE(S$16,$B37,"L"))+COUNTIFS(Database!$F:$I,CONCATENATE($B37,S$16,"W"))+COUNTIFS(Database!$F:$I,CONCATENATE(S$16,$B37,"W"))</f>
        <v>2</v>
      </c>
      <c r="T37" s="123">
        <f>COUNTIFS(Database!$F:$I,CONCATENATE($B37,T$16,"L"))+COUNTIFS(Database!$F:$I,CONCATENATE(T$16,$B37,"L"))+COUNTIFS(Database!$F:$I,CONCATENATE($B37,T$16,"W"))+COUNTIFS(Database!$F:$I,CONCATENATE(T$16,$B37,"W"))</f>
        <v>1</v>
      </c>
      <c r="U37" s="123">
        <f>COUNTIFS(Database!$F:$I,CONCATENATE($B37,U$16,"L"))+COUNTIFS(Database!$F:$I,CONCATENATE(U$16,$B37,"L"))+COUNTIFS(Database!$F:$I,CONCATENATE($B37,U$16,"W"))+COUNTIFS(Database!$F:$I,CONCATENATE(U$16,$B37,"W"))</f>
        <v>1</v>
      </c>
      <c r="V37" s="123">
        <f>COUNTIFS(Database!$F:$I,CONCATENATE($B37,V$16,"L"))+COUNTIFS(Database!$F:$I,CONCATENATE(V$16,$B37,"L"))+COUNTIFS(Database!$F:$I,CONCATENATE($B37,V$16,"W"))+COUNTIFS(Database!$F:$I,CONCATENATE(V$16,$B37,"W"))</f>
        <v>3</v>
      </c>
      <c r="W37" s="123">
        <f>COUNTIFS(Database!$F:$I,CONCATENATE($B37,W$16,"L"))+COUNTIFS(Database!$F:$I,CONCATENATE(W$16,$B37,"L"))+COUNTIFS(Database!$F:$I,CONCATENATE($B37,W$16,"W"))+COUNTIFS(Database!$F:$I,CONCATENATE(W$16,$B37,"W"))</f>
        <v>0</v>
      </c>
      <c r="X37" s="123">
        <f>COUNTIFS(Database!$F:$I,CONCATENATE($B37,X$16,"L"))+COUNTIFS(Database!$F:$I,CONCATENATE(X$16,$B37,"L"))+COUNTIFS(Database!$F:$I,CONCATENATE($B37,X$16,"W"))+COUNTIFS(Database!$F:$I,CONCATENATE(X$16,$B37,"W"))</f>
        <v>1</v>
      </c>
      <c r="Y37" s="123">
        <f>COUNTIFS(Database!$F:$I,CONCATENATE($B37,Y$16,"L"))+COUNTIFS(Database!$F:$I,CONCATENATE(Y$16,$B37,"L"))+COUNTIFS(Database!$F:$I,CONCATENATE($B37,Y$16,"W"))+COUNTIFS(Database!$F:$I,CONCATENATE(Y$16,$B37,"W"))</f>
        <v>1</v>
      </c>
      <c r="Z37" s="123">
        <f>COUNTIFS(Database!$F:$I,CONCATENATE($B37,Z$16,"L"))+COUNTIFS(Database!$F:$I,CONCATENATE(Z$16,$B37,"L"))+COUNTIFS(Database!$F:$I,CONCATENATE($B37,Z$16,"W"))+COUNTIFS(Database!$F:$I,CONCATENATE(Z$16,$B37,"W"))</f>
        <v>0</v>
      </c>
      <c r="AA37" s="123">
        <f>COUNTIFS(Database!$F:$I,CONCATENATE($B37,AA$16,"L"))+COUNTIFS(Database!$F:$I,CONCATENATE(AA$16,$B37,"L"))+COUNTIFS(Database!$F:$I,CONCATENATE($B37,AA$16,"W"))+COUNTIFS(Database!$F:$I,CONCATENATE(AA$16,$B37,"W"))</f>
        <v>1</v>
      </c>
      <c r="AB37" s="123">
        <f>COUNTIFS(Database!$F:$I,CONCATENATE($B37,AB$16,"L"))+COUNTIFS(Database!$F:$I,CONCATENATE(AB$16,$B37,"L"))+COUNTIFS(Database!$F:$I,CONCATENATE($B37,AB$16,"W"))+COUNTIFS(Database!$F:$I,CONCATENATE(AB$16,$B37,"W"))</f>
        <v>10</v>
      </c>
      <c r="AC37" s="123">
        <f>COUNTIFS(Database!$F:$I,CONCATENATE($B37,AC$16,"L"))+COUNTIFS(Database!$F:$I,CONCATENATE(AC$16,$B37,"L"))+COUNTIFS(Database!$F:$I,CONCATENATE($B37,AC$16,"W"))+COUNTIFS(Database!$F:$I,CONCATENATE(AC$16,$B37,"W"))</f>
        <v>6</v>
      </c>
      <c r="AD37" s="123">
        <f>COUNTIFS(Database!$F:$I,CONCATENATE($B37,AD$16,"L"))+COUNTIFS(Database!$F:$I,CONCATENATE(AD$16,$B37,"L"))+COUNTIFS(Database!$F:$I,CONCATENATE($B37,AD$16,"W"))+COUNTIFS(Database!$F:$I,CONCATENATE(AD$16,$B37,"W"))</f>
        <v>0</v>
      </c>
      <c r="AE37" s="123">
        <f>COUNTIFS(Database!$F:$I,CONCATENATE($B37,AE$16,"L"))+COUNTIFS(Database!$F:$I,CONCATENATE(AE$16,$B37,"L"))+COUNTIFS(Database!$F:$I,CONCATENATE($B37,AE$16,"W"))+COUNTIFS(Database!$F:$I,CONCATENATE(AE$16,$B37,"W"))</f>
        <v>0</v>
      </c>
      <c r="AF37" s="123">
        <f>COUNTIFS(Database!$F:$I,CONCATENATE($B37,AF$16,"L"))+COUNTIFS(Database!$F:$I,CONCATENATE(AF$16,$B37,"L"))+COUNTIFS(Database!$F:$I,CONCATENATE($B37,AF$16,"W"))+COUNTIFS(Database!$F:$I,CONCATENATE(AF$16,$B37,"W"))</f>
        <v>2</v>
      </c>
      <c r="AG37" s="123">
        <f>COUNTIFS(Database!$F:$I,CONCATENATE($B37,AG$16,"L"))+COUNTIFS(Database!$F:$I,CONCATENATE(AG$16,$B37,"L"))+COUNTIFS(Database!$F:$I,CONCATENATE($B37,AG$16,"W"))+COUNTIFS(Database!$F:$I,CONCATENATE(AG$16,$B37,"W"))</f>
        <v>0</v>
      </c>
      <c r="AH37" s="123">
        <f>COUNTIFS(Database!$F:$I,CONCATENATE($B37,AH$16,"L"))+COUNTIFS(Database!$F:$I,CONCATENATE(AH$16,$B37,"L"))+COUNTIFS(Database!$F:$I,CONCATENATE($B37,AH$16,"W"))+COUNTIFS(Database!$F:$I,CONCATENATE(AH$16,$B37,"W"))</f>
        <v>0</v>
      </c>
      <c r="AI37" s="123">
        <f>COUNTIFS(Database!$F:$I,CONCATENATE($B37,AI$16,"L"))+COUNTIFS(Database!$F:$I,CONCATENATE(AI$16,$B37,"L"))+COUNTIFS(Database!$F:$I,CONCATENATE($B37,AI$16,"W"))+COUNTIFS(Database!$F:$I,CONCATENATE(AI$16,$B37,"W"))</f>
        <v>4</v>
      </c>
      <c r="AJ37" s="123">
        <f>COUNTIFS(Database!$F:$I,CONCATENATE($B37,AJ$16,"L"))+COUNTIFS(Database!$F:$I,CONCATENATE(AJ$16,$B37,"L"))+COUNTIFS(Database!$F:$I,CONCATENATE($B37,AJ$16,"W"))+COUNTIFS(Database!$F:$I,CONCATENATE(AJ$16,$B37,"W"))</f>
        <v>4</v>
      </c>
      <c r="AK37" s="123">
        <f>COUNTIFS(Database!$F:$I,CONCATENATE($B37,AK$16,"L"))+COUNTIFS(Database!$F:$I,CONCATENATE(AK$16,$B37,"L"))+COUNTIFS(Database!$F:$I,CONCATENATE($B37,AK$16,"W"))+COUNTIFS(Database!$F:$I,CONCATENATE(AK$16,$B37,"W"))</f>
        <v>7</v>
      </c>
      <c r="AL37" s="123">
        <f>COUNTIFS(Database!$F:$I,CONCATENATE($B37,AL$16,"L"))+COUNTIFS(Database!$F:$I,CONCATENATE(AL$16,$B37,"L"))+COUNTIFS(Database!$F:$I,CONCATENATE($B37,AL$16,"W"))+COUNTIFS(Database!$F:$I,CONCATENATE(AL$16,$B37,"W"))</f>
        <v>1</v>
      </c>
      <c r="AM37" s="123">
        <f>COUNTIFS(Database!$F:$I,CONCATENATE($B37,AM$16,"L"))+COUNTIFS(Database!$F:$I,CONCATENATE(AM$16,$B37,"L"))+COUNTIFS(Database!$F:$I,CONCATENATE($B37,AM$16,"W"))+COUNTIFS(Database!$F:$I,CONCATENATE(AM$16,$B37,"W"))</f>
        <v>0</v>
      </c>
      <c r="AN37" s="123">
        <f>COUNTIFS(Database!$F:$I,CONCATENATE($B37,AN$16,"L"))+COUNTIFS(Database!$F:$I,CONCATENATE(AN$16,$B37,"L"))+COUNTIFS(Database!$F:$I,CONCATENATE($B37,AN$16,"W"))+COUNTIFS(Database!$F:$I,CONCATENATE(AN$16,$B37,"W"))</f>
        <v>1</v>
      </c>
      <c r="AO37" s="123">
        <f>COUNTIFS(Database!$F:$I,CONCATENATE($B37,AO$16,"L"))+COUNTIFS(Database!$F:$I,CONCATENATE(AO$16,$B37,"L"))+COUNTIFS(Database!$F:$I,CONCATENATE($B37,AO$16,"W"))+COUNTIFS(Database!$F:$I,CONCATENATE(AO$16,$B37,"W"))</f>
        <v>6</v>
      </c>
      <c r="AP37" s="123">
        <f>COUNTIFS(Database!$F:$I,CONCATENATE($B37,AP$16,"L"))+COUNTIFS(Database!$F:$I,CONCATENATE(AP$16,$B37,"L"))+COUNTIFS(Database!$F:$I,CONCATENATE($B37,AP$16,"W"))+COUNTIFS(Database!$F:$I,CONCATENATE(AP$16,$B37,"W"))</f>
        <v>2</v>
      </c>
      <c r="AQ37" s="123">
        <f>COUNTIFS(Database!$F:$I,CONCATENATE($B37,AQ$16,"L"))+COUNTIFS(Database!$F:$I,CONCATENATE(AQ$16,$B37,"L"))+COUNTIFS(Database!$F:$I,CONCATENATE($B37,AQ$16,"W"))+COUNTIFS(Database!$F:$I,CONCATENATE(AQ$16,$B37,"W"))</f>
        <v>3</v>
      </c>
      <c r="AR37" s="123">
        <f>COUNTIFS(Database!$F:$I,CONCATENATE($B37,AR$16,"L"))+COUNTIFS(Database!$F:$I,CONCATENATE(AR$16,$B37,"L"))+COUNTIFS(Database!$F:$I,CONCATENATE($B37,AR$16,"W"))+COUNTIFS(Database!$F:$I,CONCATENATE(AR$16,$B37,"W"))</f>
        <v>9</v>
      </c>
      <c r="AS37" s="123">
        <f>COUNTIFS(Database!$F:$I,CONCATENATE($B37,AS$16,"L"))+COUNTIFS(Database!$F:$I,CONCATENATE(AS$16,$B37,"L"))+COUNTIFS(Database!$F:$I,CONCATENATE($B37,AS$16,"W"))+COUNTIFS(Database!$F:$I,CONCATENATE(AS$16,$B37,"W"))</f>
        <v>0</v>
      </c>
      <c r="AT37" s="123">
        <f>COUNTIFS(Database!$F:$I,CONCATENATE($B37,AT$16,"L"))+COUNTIFS(Database!$F:$I,CONCATENATE(AT$16,$B37,"L"))+COUNTIFS(Database!$F:$I,CONCATENATE($B37,AT$16,"W"))+COUNTIFS(Database!$F:$I,CONCATENATE(AT$16,$B37,"W"))</f>
        <v>0</v>
      </c>
      <c r="AU37" s="123">
        <f>COUNTIFS(Database!$F:$I,CONCATENATE($B37,AU$16,"L"))+COUNTIFS(Database!$F:$I,CONCATENATE(AU$16,$B37,"L"))+COUNTIFS(Database!$F:$I,CONCATENATE($B37,AU$16,"W"))+COUNTIFS(Database!$F:$I,CONCATENATE(AU$16,$B37,"W"))</f>
        <v>10</v>
      </c>
      <c r="AV37" s="123">
        <f>COUNTIFS(Database!$F:$I,CONCATENATE($B37,AV$16,"L"))+COUNTIFS(Database!$F:$I,CONCATENATE(AV$16,$B37,"L"))+COUNTIFS(Database!$F:$I,CONCATENATE($B37,AV$16,"W"))+COUNTIFS(Database!$F:$I,CONCATENATE(AV$16,$B37,"W"))</f>
        <v>3</v>
      </c>
      <c r="AW37" s="123">
        <f>COUNTIFS(Database!$F:$I,CONCATENATE($B37,AW$16,"L"))+COUNTIFS(Database!$F:$I,CONCATENATE(AW$16,$B37,"L"))+COUNTIFS(Database!$F:$I,CONCATENATE($B37,AW$16,"W"))+COUNTIFS(Database!$F:$I,CONCATENATE(AW$16,$B37,"W"))</f>
        <v>4</v>
      </c>
      <c r="AX37" s="123">
        <f>COUNTIFS(Database!$F:$I,CONCATENATE($B37,AX$16,"L"))+COUNTIFS(Database!$F:$I,CONCATENATE(AX$16,$B37,"L"))+COUNTIFS(Database!$F:$I,CONCATENATE($B37,AX$16,"W"))+COUNTIFS(Database!$F:$I,CONCATENATE(AX$16,$B37,"W"))</f>
        <v>2</v>
      </c>
      <c r="AY37" s="123">
        <f>COUNTIFS(Database!$F:$I,CONCATENATE($B37,AY$16,"L"))+COUNTIFS(Database!$F:$I,CONCATENATE(AY$16,$B37,"L"))+COUNTIFS(Database!$F:$I,CONCATENATE($B37,AY$16,"W"))+COUNTIFS(Database!$F:$I,CONCATENATE(AY$16,$B37,"W"))</f>
        <v>6</v>
      </c>
    </row>
    <row r="38" spans="2:51" x14ac:dyDescent="0.25">
      <c r="B38" s="120" t="s">
        <v>50</v>
      </c>
      <c r="C38" s="123">
        <f>COUNTIFS(Database!$F:$I,CONCATENATE($B38,C$16,"L"))+COUNTIFS(Database!$F:$I,CONCATENATE(C$16,$B38,"L"))+COUNTIFS(Database!$F:$I,CONCATENATE($B38,C$16,"W"))+COUNTIFS(Database!$F:$I,CONCATENATE(C$16,$B38,"W"))</f>
        <v>2</v>
      </c>
      <c r="D38" s="123">
        <f>COUNTIFS(Database!$F:$I,CONCATENATE($B38,D$16,"L"))+COUNTIFS(Database!$F:$I,CONCATENATE(D$16,$B38,"L"))+COUNTIFS(Database!$F:$I,CONCATENATE($B38,D$16,"W"))+COUNTIFS(Database!$F:$I,CONCATENATE(D$16,$B38,"W"))</f>
        <v>0</v>
      </c>
      <c r="E38" s="123">
        <f>COUNTIFS(Database!$F:$I,CONCATENATE($B38,E$16,"L"))+COUNTIFS(Database!$F:$I,CONCATENATE(E$16,$B38,"L"))+COUNTIFS(Database!$F:$I,CONCATENATE($B38,E$16,"W"))+COUNTIFS(Database!$F:$I,CONCATENATE(E$16,$B38,"W"))</f>
        <v>0</v>
      </c>
      <c r="F38" s="123">
        <f>COUNTIFS(Database!$F:$I,CONCATENATE($B38,F$16,"L"))+COUNTIFS(Database!$F:$I,CONCATENATE(F$16,$B38,"L"))+COUNTIFS(Database!$F:$I,CONCATENATE($B38,F$16,"W"))+COUNTIFS(Database!$F:$I,CONCATENATE(F$16,$B38,"W"))</f>
        <v>0</v>
      </c>
      <c r="G38" s="123">
        <f>COUNTIFS(Database!$F:$I,CONCATENATE($B38,G$16,"L"))+COUNTIFS(Database!$F:$I,CONCATENATE(G$16,$B38,"L"))+COUNTIFS(Database!$F:$I,CONCATENATE($B38,G$16,"W"))+COUNTIFS(Database!$F:$I,CONCATENATE(G$16,$B38,"W"))</f>
        <v>0</v>
      </c>
      <c r="H38" s="123">
        <f>COUNTIFS(Database!$F:$I,CONCATENATE($B38,H$16,"L"))+COUNTIFS(Database!$F:$I,CONCATENATE(H$16,$B38,"L"))+COUNTIFS(Database!$F:$I,CONCATENATE($B38,H$16,"W"))+COUNTIFS(Database!$F:$I,CONCATENATE(H$16,$B38,"W"))</f>
        <v>0</v>
      </c>
      <c r="I38" s="123">
        <f>COUNTIFS(Database!$F:$I,CONCATENATE($B38,I$16,"L"))+COUNTIFS(Database!$F:$I,CONCATENATE(I$16,$B38,"L"))+COUNTIFS(Database!$F:$I,CONCATENATE($B38,I$16,"W"))+COUNTIFS(Database!$F:$I,CONCATENATE(I$16,$B38,"W"))</f>
        <v>0</v>
      </c>
      <c r="J38" s="123">
        <f>COUNTIFS(Database!$F:$I,CONCATENATE($B38,J$16,"L"))+COUNTIFS(Database!$F:$I,CONCATENATE(J$16,$B38,"L"))+COUNTIFS(Database!$F:$I,CONCATENATE($B38,J$16,"W"))+COUNTIFS(Database!$F:$I,CONCATENATE(J$16,$B38,"W"))</f>
        <v>0</v>
      </c>
      <c r="K38" s="123">
        <f>COUNTIFS(Database!$F:$I,CONCATENATE($B38,K$16,"L"))+COUNTIFS(Database!$F:$I,CONCATENATE(K$16,$B38,"L"))+COUNTIFS(Database!$F:$I,CONCATENATE($B38,K$16,"W"))+COUNTIFS(Database!$F:$I,CONCATENATE(K$16,$B38,"W"))</f>
        <v>0</v>
      </c>
      <c r="L38" s="123">
        <f>COUNTIFS(Database!$F:$I,CONCATENATE($B38,L$16,"L"))+COUNTIFS(Database!$F:$I,CONCATENATE(L$16,$B38,"L"))+COUNTIFS(Database!$F:$I,CONCATENATE($B38,L$16,"W"))+COUNTIFS(Database!$F:$I,CONCATENATE(L$16,$B38,"W"))</f>
        <v>0</v>
      </c>
      <c r="M38" s="123">
        <f>COUNTIFS(Database!$F:$I,CONCATENATE($B38,M$16,"L"))+COUNTIFS(Database!$F:$I,CONCATENATE(M$16,$B38,"L"))+COUNTIFS(Database!$F:$I,CONCATENATE($B38,M$16,"W"))+COUNTIFS(Database!$F:$I,CONCATENATE(M$16,$B38,"W"))</f>
        <v>0</v>
      </c>
      <c r="N38" s="123">
        <f>COUNTIFS(Database!$F:$I,CONCATENATE($B38,N$16,"L"))+COUNTIFS(Database!$F:$I,CONCATENATE(N$16,$B38,"L"))+COUNTIFS(Database!$F:$I,CONCATENATE($B38,N$16,"W"))+COUNTIFS(Database!$F:$I,CONCATENATE(N$16,$B38,"W"))</f>
        <v>0</v>
      </c>
      <c r="O38" s="123">
        <f>COUNTIFS(Database!$F:$I,CONCATENATE($B38,O$16,"L"))+COUNTIFS(Database!$F:$I,CONCATENATE(O$16,$B38,"L"))+COUNTIFS(Database!$F:$I,CONCATENATE($B38,O$16,"W"))+COUNTIFS(Database!$F:$I,CONCATENATE(O$16,$B38,"W"))</f>
        <v>0</v>
      </c>
      <c r="P38" s="123">
        <f>COUNTIFS(Database!$F:$I,CONCATENATE($B38,P$16,"L"))+COUNTIFS(Database!$F:$I,CONCATENATE(P$16,$B38,"L"))+COUNTIFS(Database!$F:$I,CONCATENATE($B38,P$16,"W"))+COUNTIFS(Database!$F:$I,CONCATENATE(P$16,$B38,"W"))</f>
        <v>0</v>
      </c>
      <c r="Q38" s="123">
        <f>COUNTIFS(Database!$F:$I,CONCATENATE($B38,Q$16,"L"))+COUNTIFS(Database!$F:$I,CONCATENATE(Q$16,$B38,"L"))+COUNTIFS(Database!$F:$I,CONCATENATE($B38,Q$16,"W"))+COUNTIFS(Database!$F:$I,CONCATENATE(Q$16,$B38,"W"))</f>
        <v>0</v>
      </c>
      <c r="R38" s="123">
        <f>COUNTIFS(Database!$F:$I,CONCATENATE($B38,R$16,"L"))+COUNTIFS(Database!$F:$I,CONCATENATE(R$16,$B38,"L"))+COUNTIFS(Database!$F:$I,CONCATENATE($B38,R$16,"W"))+COUNTIFS(Database!$F:$I,CONCATENATE(R$16,$B38,"W"))</f>
        <v>0</v>
      </c>
      <c r="S38" s="123">
        <f>COUNTIFS(Database!$F:$I,CONCATENATE($B38,S$16,"L"))+COUNTIFS(Database!$F:$I,CONCATENATE(S$16,$B38,"L"))+COUNTIFS(Database!$F:$I,CONCATENATE($B38,S$16,"W"))+COUNTIFS(Database!$F:$I,CONCATENATE(S$16,$B38,"W"))</f>
        <v>1</v>
      </c>
      <c r="T38" s="123">
        <f>COUNTIFS(Database!$F:$I,CONCATENATE($B38,T$16,"L"))+COUNTIFS(Database!$F:$I,CONCATENATE(T$16,$B38,"L"))+COUNTIFS(Database!$F:$I,CONCATENATE($B38,T$16,"W"))+COUNTIFS(Database!$F:$I,CONCATENATE(T$16,$B38,"W"))</f>
        <v>0</v>
      </c>
      <c r="U38" s="123">
        <f>COUNTIFS(Database!$F:$I,CONCATENATE($B38,U$16,"L"))+COUNTIFS(Database!$F:$I,CONCATENATE(U$16,$B38,"L"))+COUNTIFS(Database!$F:$I,CONCATENATE($B38,U$16,"W"))+COUNTIFS(Database!$F:$I,CONCATENATE(U$16,$B38,"W"))</f>
        <v>0</v>
      </c>
      <c r="V38" s="123">
        <f>COUNTIFS(Database!$F:$I,CONCATENATE($B38,V$16,"L"))+COUNTIFS(Database!$F:$I,CONCATENATE(V$16,$B38,"L"))+COUNTIFS(Database!$F:$I,CONCATENATE($B38,V$16,"W"))+COUNTIFS(Database!$F:$I,CONCATENATE(V$16,$B38,"W"))</f>
        <v>0</v>
      </c>
      <c r="W38" s="123">
        <f>COUNTIFS(Database!$F:$I,CONCATENATE($B38,W$16,"L"))+COUNTIFS(Database!$F:$I,CONCATENATE(W$16,$B38,"L"))+COUNTIFS(Database!$F:$I,CONCATENATE($B38,W$16,"W"))+COUNTIFS(Database!$F:$I,CONCATENATE(W$16,$B38,"W"))</f>
        <v>1</v>
      </c>
      <c r="X38" s="123">
        <f>COUNTIFS(Database!$F:$I,CONCATENATE($B38,X$16,"L"))+COUNTIFS(Database!$F:$I,CONCATENATE(X$16,$B38,"L"))+COUNTIFS(Database!$F:$I,CONCATENATE($B38,X$16,"W"))+COUNTIFS(Database!$F:$I,CONCATENATE(X$16,$B38,"W"))</f>
        <v>0</v>
      </c>
      <c r="Y38" s="123">
        <f>COUNTIFS(Database!$F:$I,CONCATENATE($B38,Y$16,"L"))+COUNTIFS(Database!$F:$I,CONCATENATE(Y$16,$B38,"L"))+COUNTIFS(Database!$F:$I,CONCATENATE($B38,Y$16,"W"))+COUNTIFS(Database!$F:$I,CONCATENATE(Y$16,$B38,"W"))</f>
        <v>0</v>
      </c>
      <c r="Z38" s="123">
        <f>COUNTIFS(Database!$F:$I,CONCATENATE($B38,Z$16,"L"))+COUNTIFS(Database!$F:$I,CONCATENATE(Z$16,$B38,"L"))+COUNTIFS(Database!$F:$I,CONCATENATE($B38,Z$16,"W"))+COUNTIFS(Database!$F:$I,CONCATENATE(Z$16,$B38,"W"))</f>
        <v>0</v>
      </c>
      <c r="AA38" s="123">
        <f>COUNTIFS(Database!$F:$I,CONCATENATE($B38,AA$16,"L"))+COUNTIFS(Database!$F:$I,CONCATENATE(AA$16,$B38,"L"))+COUNTIFS(Database!$F:$I,CONCATENATE($B38,AA$16,"W"))+COUNTIFS(Database!$F:$I,CONCATENATE(AA$16,$B38,"W"))</f>
        <v>1</v>
      </c>
      <c r="AB38" s="123">
        <f>COUNTIFS(Database!$F:$I,CONCATENATE($B38,AB$16,"L"))+COUNTIFS(Database!$F:$I,CONCATENATE(AB$16,$B38,"L"))+COUNTIFS(Database!$F:$I,CONCATENATE($B38,AB$16,"W"))+COUNTIFS(Database!$F:$I,CONCATENATE(AB$16,$B38,"W"))</f>
        <v>0</v>
      </c>
      <c r="AC38" s="123">
        <f>COUNTIFS(Database!$F:$I,CONCATENATE($B38,AC$16,"L"))+COUNTIFS(Database!$F:$I,CONCATENATE(AC$16,$B38,"L"))+COUNTIFS(Database!$F:$I,CONCATENATE($B38,AC$16,"W"))+COUNTIFS(Database!$F:$I,CONCATENATE(AC$16,$B38,"W"))</f>
        <v>2</v>
      </c>
      <c r="AD38" s="123">
        <f>COUNTIFS(Database!$F:$I,CONCATENATE($B38,AD$16,"L"))+COUNTIFS(Database!$F:$I,CONCATENATE(AD$16,$B38,"L"))+COUNTIFS(Database!$F:$I,CONCATENATE($B38,AD$16,"W"))+COUNTIFS(Database!$F:$I,CONCATENATE(AD$16,$B38,"W"))</f>
        <v>0</v>
      </c>
      <c r="AE38" s="123">
        <f>COUNTIFS(Database!$F:$I,CONCATENATE($B38,AE$16,"L"))+COUNTIFS(Database!$F:$I,CONCATENATE(AE$16,$B38,"L"))+COUNTIFS(Database!$F:$I,CONCATENATE($B38,AE$16,"W"))+COUNTIFS(Database!$F:$I,CONCATENATE(AE$16,$B38,"W"))</f>
        <v>0</v>
      </c>
      <c r="AF38" s="123">
        <f>COUNTIFS(Database!$F:$I,CONCATENATE($B38,AF$16,"L"))+COUNTIFS(Database!$F:$I,CONCATENATE(AF$16,$B38,"L"))+COUNTIFS(Database!$F:$I,CONCATENATE($B38,AF$16,"W"))+COUNTIFS(Database!$F:$I,CONCATENATE(AF$16,$B38,"W"))</f>
        <v>0</v>
      </c>
      <c r="AG38" s="123">
        <f>COUNTIFS(Database!$F:$I,CONCATENATE($B38,AG$16,"L"))+COUNTIFS(Database!$F:$I,CONCATENATE(AG$16,$B38,"L"))+COUNTIFS(Database!$F:$I,CONCATENATE($B38,AG$16,"W"))+COUNTIFS(Database!$F:$I,CONCATENATE(AG$16,$B38,"W"))</f>
        <v>0</v>
      </c>
      <c r="AH38" s="123">
        <f>COUNTIFS(Database!$F:$I,CONCATENATE($B38,AH$16,"L"))+COUNTIFS(Database!$F:$I,CONCATENATE(AH$16,$B38,"L"))+COUNTIFS(Database!$F:$I,CONCATENATE($B38,AH$16,"W"))+COUNTIFS(Database!$F:$I,CONCATENATE(AH$16,$B38,"W"))</f>
        <v>0</v>
      </c>
      <c r="AI38" s="123">
        <f>COUNTIFS(Database!$F:$I,CONCATENATE($B38,AI$16,"L"))+COUNTIFS(Database!$F:$I,CONCATENATE(AI$16,$B38,"L"))+COUNTIFS(Database!$F:$I,CONCATENATE($B38,AI$16,"W"))+COUNTIFS(Database!$F:$I,CONCATENATE(AI$16,$B38,"W"))</f>
        <v>2</v>
      </c>
      <c r="AJ38" s="123">
        <f>COUNTIFS(Database!$F:$I,CONCATENATE($B38,AJ$16,"L"))+COUNTIFS(Database!$F:$I,CONCATENATE(AJ$16,$B38,"L"))+COUNTIFS(Database!$F:$I,CONCATENATE($B38,AJ$16,"W"))+COUNTIFS(Database!$F:$I,CONCATENATE(AJ$16,$B38,"W"))</f>
        <v>1</v>
      </c>
      <c r="AK38" s="123">
        <f>COUNTIFS(Database!$F:$I,CONCATENATE($B38,AK$16,"L"))+COUNTIFS(Database!$F:$I,CONCATENATE(AK$16,$B38,"L"))+COUNTIFS(Database!$F:$I,CONCATENATE($B38,AK$16,"W"))+COUNTIFS(Database!$F:$I,CONCATENATE(AK$16,$B38,"W"))</f>
        <v>1</v>
      </c>
      <c r="AL38" s="123">
        <f>COUNTIFS(Database!$F:$I,CONCATENATE($B38,AL$16,"L"))+COUNTIFS(Database!$F:$I,CONCATENATE(AL$16,$B38,"L"))+COUNTIFS(Database!$F:$I,CONCATENATE($B38,AL$16,"W"))+COUNTIFS(Database!$F:$I,CONCATENATE(AL$16,$B38,"W"))</f>
        <v>0</v>
      </c>
      <c r="AM38" s="123">
        <f>COUNTIFS(Database!$F:$I,CONCATENATE($B38,AM$16,"L"))+COUNTIFS(Database!$F:$I,CONCATENATE(AM$16,$B38,"L"))+COUNTIFS(Database!$F:$I,CONCATENATE($B38,AM$16,"W"))+COUNTIFS(Database!$F:$I,CONCATENATE(AM$16,$B38,"W"))</f>
        <v>0</v>
      </c>
      <c r="AN38" s="123">
        <f>COUNTIFS(Database!$F:$I,CONCATENATE($B38,AN$16,"L"))+COUNTIFS(Database!$F:$I,CONCATENATE(AN$16,$B38,"L"))+COUNTIFS(Database!$F:$I,CONCATENATE($B38,AN$16,"W"))+COUNTIFS(Database!$F:$I,CONCATENATE(AN$16,$B38,"W"))</f>
        <v>0</v>
      </c>
      <c r="AO38" s="123">
        <f>COUNTIFS(Database!$F:$I,CONCATENATE($B38,AO$16,"L"))+COUNTIFS(Database!$F:$I,CONCATENATE(AO$16,$B38,"L"))+COUNTIFS(Database!$F:$I,CONCATENATE($B38,AO$16,"W"))+COUNTIFS(Database!$F:$I,CONCATENATE(AO$16,$B38,"W"))</f>
        <v>1</v>
      </c>
      <c r="AP38" s="123">
        <f>COUNTIFS(Database!$F:$I,CONCATENATE($B38,AP$16,"L"))+COUNTIFS(Database!$F:$I,CONCATENATE(AP$16,$B38,"L"))+COUNTIFS(Database!$F:$I,CONCATENATE($B38,AP$16,"W"))+COUNTIFS(Database!$F:$I,CONCATENATE(AP$16,$B38,"W"))</f>
        <v>0</v>
      </c>
      <c r="AQ38" s="123">
        <f>COUNTIFS(Database!$F:$I,CONCATENATE($B38,AQ$16,"L"))+COUNTIFS(Database!$F:$I,CONCATENATE(AQ$16,$B38,"L"))+COUNTIFS(Database!$F:$I,CONCATENATE($B38,AQ$16,"W"))+COUNTIFS(Database!$F:$I,CONCATENATE(AQ$16,$B38,"W"))</f>
        <v>0</v>
      </c>
      <c r="AR38" s="123">
        <f>COUNTIFS(Database!$F:$I,CONCATENATE($B38,AR$16,"L"))+COUNTIFS(Database!$F:$I,CONCATENATE(AR$16,$B38,"L"))+COUNTIFS(Database!$F:$I,CONCATENATE($B38,AR$16,"W"))+COUNTIFS(Database!$F:$I,CONCATENATE(AR$16,$B38,"W"))</f>
        <v>0</v>
      </c>
      <c r="AS38" s="123">
        <f>COUNTIFS(Database!$F:$I,CONCATENATE($B38,AS$16,"L"))+COUNTIFS(Database!$F:$I,CONCATENATE(AS$16,$B38,"L"))+COUNTIFS(Database!$F:$I,CONCATENATE($B38,AS$16,"W"))+COUNTIFS(Database!$F:$I,CONCATENATE(AS$16,$B38,"W"))</f>
        <v>0</v>
      </c>
      <c r="AT38" s="123">
        <f>COUNTIFS(Database!$F:$I,CONCATENATE($B38,AT$16,"L"))+COUNTIFS(Database!$F:$I,CONCATENATE(AT$16,$B38,"L"))+COUNTIFS(Database!$F:$I,CONCATENATE($B38,AT$16,"W"))+COUNTIFS(Database!$F:$I,CONCATENATE(AT$16,$B38,"W"))</f>
        <v>0</v>
      </c>
      <c r="AU38" s="123">
        <f>COUNTIFS(Database!$F:$I,CONCATENATE($B38,AU$16,"L"))+COUNTIFS(Database!$F:$I,CONCATENATE(AU$16,$B38,"L"))+COUNTIFS(Database!$F:$I,CONCATENATE($B38,AU$16,"W"))+COUNTIFS(Database!$F:$I,CONCATENATE(AU$16,$B38,"W"))</f>
        <v>0</v>
      </c>
      <c r="AV38" s="123">
        <f>COUNTIFS(Database!$F:$I,CONCATENATE($B38,AV$16,"L"))+COUNTIFS(Database!$F:$I,CONCATENATE(AV$16,$B38,"L"))+COUNTIFS(Database!$F:$I,CONCATENATE($B38,AV$16,"W"))+COUNTIFS(Database!$F:$I,CONCATENATE(AV$16,$B38,"W"))</f>
        <v>2</v>
      </c>
      <c r="AW38" s="123">
        <f>COUNTIFS(Database!$F:$I,CONCATENATE($B38,AW$16,"L"))+COUNTIFS(Database!$F:$I,CONCATENATE(AW$16,$B38,"L"))+COUNTIFS(Database!$F:$I,CONCATENATE($B38,AW$16,"W"))+COUNTIFS(Database!$F:$I,CONCATENATE(AW$16,$B38,"W"))</f>
        <v>1</v>
      </c>
      <c r="AX38" s="123">
        <f>COUNTIFS(Database!$F:$I,CONCATENATE($B38,AX$16,"L"))+COUNTIFS(Database!$F:$I,CONCATENATE(AX$16,$B38,"L"))+COUNTIFS(Database!$F:$I,CONCATENATE($B38,AX$16,"W"))+COUNTIFS(Database!$F:$I,CONCATENATE(AX$16,$B38,"W"))</f>
        <v>0</v>
      </c>
      <c r="AY38" s="123">
        <f>COUNTIFS(Database!$F:$I,CONCATENATE($B38,AY$16,"L"))+COUNTIFS(Database!$F:$I,CONCATENATE(AY$16,$B38,"L"))+COUNTIFS(Database!$F:$I,CONCATENATE($B38,AY$16,"W"))+COUNTIFS(Database!$F:$I,CONCATENATE(AY$16,$B38,"W"))</f>
        <v>0</v>
      </c>
    </row>
    <row r="39" spans="2:51" x14ac:dyDescent="0.25">
      <c r="B39" s="120" t="s">
        <v>60</v>
      </c>
      <c r="C39" s="123">
        <f>COUNTIFS(Database!$F:$I,CONCATENATE($B39,C$16,"L"))+COUNTIFS(Database!$F:$I,CONCATENATE(C$16,$B39,"L"))+COUNTIFS(Database!$F:$I,CONCATENATE($B39,C$16,"W"))+COUNTIFS(Database!$F:$I,CONCATENATE(C$16,$B39,"W"))</f>
        <v>3</v>
      </c>
      <c r="D39" s="123">
        <f>COUNTIFS(Database!$F:$I,CONCATENATE($B39,D$16,"L"))+COUNTIFS(Database!$F:$I,CONCATENATE(D$16,$B39,"L"))+COUNTIFS(Database!$F:$I,CONCATENATE($B39,D$16,"W"))+COUNTIFS(Database!$F:$I,CONCATENATE(D$16,$B39,"W"))</f>
        <v>0</v>
      </c>
      <c r="E39" s="123">
        <f>COUNTIFS(Database!$F:$I,CONCATENATE($B39,E$16,"L"))+COUNTIFS(Database!$F:$I,CONCATENATE(E$16,$B39,"L"))+COUNTIFS(Database!$F:$I,CONCATENATE($B39,E$16,"W"))+COUNTIFS(Database!$F:$I,CONCATENATE(E$16,$B39,"W"))</f>
        <v>2</v>
      </c>
      <c r="F39" s="123">
        <f>COUNTIFS(Database!$F:$I,CONCATENATE($B39,F$16,"L"))+COUNTIFS(Database!$F:$I,CONCATENATE(F$16,$B39,"L"))+COUNTIFS(Database!$F:$I,CONCATENATE($B39,F$16,"W"))+COUNTIFS(Database!$F:$I,CONCATENATE(F$16,$B39,"W"))</f>
        <v>3</v>
      </c>
      <c r="G39" s="123">
        <f>COUNTIFS(Database!$F:$I,CONCATENATE($B39,G$16,"L"))+COUNTIFS(Database!$F:$I,CONCATENATE(G$16,$B39,"L"))+COUNTIFS(Database!$F:$I,CONCATENATE($B39,G$16,"W"))+COUNTIFS(Database!$F:$I,CONCATENATE(G$16,$B39,"W"))</f>
        <v>0</v>
      </c>
      <c r="H39" s="123">
        <f>COUNTIFS(Database!$F:$I,CONCATENATE($B39,H$16,"L"))+COUNTIFS(Database!$F:$I,CONCATENATE(H$16,$B39,"L"))+COUNTIFS(Database!$F:$I,CONCATENATE($B39,H$16,"W"))+COUNTIFS(Database!$F:$I,CONCATENATE(H$16,$B39,"W"))</f>
        <v>0</v>
      </c>
      <c r="I39" s="123">
        <f>COUNTIFS(Database!$F:$I,CONCATENATE($B39,I$16,"L"))+COUNTIFS(Database!$F:$I,CONCATENATE(I$16,$B39,"L"))+COUNTIFS(Database!$F:$I,CONCATENATE($B39,I$16,"W"))+COUNTIFS(Database!$F:$I,CONCATENATE(I$16,$B39,"W"))</f>
        <v>0</v>
      </c>
      <c r="J39" s="123">
        <f>COUNTIFS(Database!$F:$I,CONCATENATE($B39,J$16,"L"))+COUNTIFS(Database!$F:$I,CONCATENATE(J$16,$B39,"L"))+COUNTIFS(Database!$F:$I,CONCATENATE($B39,J$16,"W"))+COUNTIFS(Database!$F:$I,CONCATENATE(J$16,$B39,"W"))</f>
        <v>0</v>
      </c>
      <c r="K39" s="123">
        <f>COUNTIFS(Database!$F:$I,CONCATENATE($B39,K$16,"L"))+COUNTIFS(Database!$F:$I,CONCATENATE(K$16,$B39,"L"))+COUNTIFS(Database!$F:$I,CONCATENATE($B39,K$16,"W"))+COUNTIFS(Database!$F:$I,CONCATENATE(K$16,$B39,"W"))</f>
        <v>2</v>
      </c>
      <c r="L39" s="123">
        <f>COUNTIFS(Database!$F:$I,CONCATENATE($B39,L$16,"L"))+COUNTIFS(Database!$F:$I,CONCATENATE(L$16,$B39,"L"))+COUNTIFS(Database!$F:$I,CONCATENATE($B39,L$16,"W"))+COUNTIFS(Database!$F:$I,CONCATENATE(L$16,$B39,"W"))</f>
        <v>1</v>
      </c>
      <c r="M39" s="123">
        <f>COUNTIFS(Database!$F:$I,CONCATENATE($B39,M$16,"L"))+COUNTIFS(Database!$F:$I,CONCATENATE(M$16,$B39,"L"))+COUNTIFS(Database!$F:$I,CONCATENATE($B39,M$16,"W"))+COUNTIFS(Database!$F:$I,CONCATENATE(M$16,$B39,"W"))</f>
        <v>0</v>
      </c>
      <c r="N39" s="123">
        <f>COUNTIFS(Database!$F:$I,CONCATENATE($B39,N$16,"L"))+COUNTIFS(Database!$F:$I,CONCATENATE(N$16,$B39,"L"))+COUNTIFS(Database!$F:$I,CONCATENATE($B39,N$16,"W"))+COUNTIFS(Database!$F:$I,CONCATENATE(N$16,$B39,"W"))</f>
        <v>0</v>
      </c>
      <c r="O39" s="123">
        <f>COUNTIFS(Database!$F:$I,CONCATENATE($B39,O$16,"L"))+COUNTIFS(Database!$F:$I,CONCATENATE(O$16,$B39,"L"))+COUNTIFS(Database!$F:$I,CONCATENATE($B39,O$16,"W"))+COUNTIFS(Database!$F:$I,CONCATENATE(O$16,$B39,"W"))</f>
        <v>2</v>
      </c>
      <c r="P39" s="123">
        <f>COUNTIFS(Database!$F:$I,CONCATENATE($B39,P$16,"L"))+COUNTIFS(Database!$F:$I,CONCATENATE(P$16,$B39,"L"))+COUNTIFS(Database!$F:$I,CONCATENATE($B39,P$16,"W"))+COUNTIFS(Database!$F:$I,CONCATENATE(P$16,$B39,"W"))</f>
        <v>0</v>
      </c>
      <c r="Q39" s="123">
        <f>COUNTIFS(Database!$F:$I,CONCATENATE($B39,Q$16,"L"))+COUNTIFS(Database!$F:$I,CONCATENATE(Q$16,$B39,"L"))+COUNTIFS(Database!$F:$I,CONCATENATE($B39,Q$16,"W"))+COUNTIFS(Database!$F:$I,CONCATENATE(Q$16,$B39,"W"))</f>
        <v>0</v>
      </c>
      <c r="R39" s="123">
        <f>COUNTIFS(Database!$F:$I,CONCATENATE($B39,R$16,"L"))+COUNTIFS(Database!$F:$I,CONCATENATE(R$16,$B39,"L"))+COUNTIFS(Database!$F:$I,CONCATENATE($B39,R$16,"W"))+COUNTIFS(Database!$F:$I,CONCATENATE(R$16,$B39,"W"))</f>
        <v>0</v>
      </c>
      <c r="S39" s="123">
        <f>COUNTIFS(Database!$F:$I,CONCATENATE($B39,S$16,"L"))+COUNTIFS(Database!$F:$I,CONCATENATE(S$16,$B39,"L"))+COUNTIFS(Database!$F:$I,CONCATENATE($B39,S$16,"W"))+COUNTIFS(Database!$F:$I,CONCATENATE(S$16,$B39,"W"))</f>
        <v>0</v>
      </c>
      <c r="T39" s="123">
        <f>COUNTIFS(Database!$F:$I,CONCATENATE($B39,T$16,"L"))+COUNTIFS(Database!$F:$I,CONCATENATE(T$16,$B39,"L"))+COUNTIFS(Database!$F:$I,CONCATENATE($B39,T$16,"W"))+COUNTIFS(Database!$F:$I,CONCATENATE(T$16,$B39,"W"))</f>
        <v>2</v>
      </c>
      <c r="U39" s="123">
        <f>COUNTIFS(Database!$F:$I,CONCATENATE($B39,U$16,"L"))+COUNTIFS(Database!$F:$I,CONCATENATE(U$16,$B39,"L"))+COUNTIFS(Database!$F:$I,CONCATENATE($B39,U$16,"W"))+COUNTIFS(Database!$F:$I,CONCATENATE(U$16,$B39,"W"))</f>
        <v>0</v>
      </c>
      <c r="V39" s="123">
        <f>COUNTIFS(Database!$F:$I,CONCATENATE($B39,V$16,"L"))+COUNTIFS(Database!$F:$I,CONCATENATE(V$16,$B39,"L"))+COUNTIFS(Database!$F:$I,CONCATENATE($B39,V$16,"W"))+COUNTIFS(Database!$F:$I,CONCATENATE(V$16,$B39,"W"))</f>
        <v>0</v>
      </c>
      <c r="W39" s="123">
        <f>COUNTIFS(Database!$F:$I,CONCATENATE($B39,W$16,"L"))+COUNTIFS(Database!$F:$I,CONCATENATE(W$16,$B39,"L"))+COUNTIFS(Database!$F:$I,CONCATENATE($B39,W$16,"W"))+COUNTIFS(Database!$F:$I,CONCATENATE(W$16,$B39,"W"))</f>
        <v>1</v>
      </c>
      <c r="X39" s="123">
        <f>COUNTIFS(Database!$F:$I,CONCATENATE($B39,X$16,"L"))+COUNTIFS(Database!$F:$I,CONCATENATE(X$16,$B39,"L"))+COUNTIFS(Database!$F:$I,CONCATENATE($B39,X$16,"W"))+COUNTIFS(Database!$F:$I,CONCATENATE(X$16,$B39,"W"))</f>
        <v>0</v>
      </c>
      <c r="Y39" s="123">
        <f>COUNTIFS(Database!$F:$I,CONCATENATE($B39,Y$16,"L"))+COUNTIFS(Database!$F:$I,CONCATENATE(Y$16,$B39,"L"))+COUNTIFS(Database!$F:$I,CONCATENATE($B39,Y$16,"W"))+COUNTIFS(Database!$F:$I,CONCATENATE(Y$16,$B39,"W"))</f>
        <v>0</v>
      </c>
      <c r="Z39" s="123">
        <f>COUNTIFS(Database!$F:$I,CONCATENATE($B39,Z$16,"L"))+COUNTIFS(Database!$F:$I,CONCATENATE(Z$16,$B39,"L"))+COUNTIFS(Database!$F:$I,CONCATENATE($B39,Z$16,"W"))+COUNTIFS(Database!$F:$I,CONCATENATE(Z$16,$B39,"W"))</f>
        <v>0</v>
      </c>
      <c r="AA39" s="123">
        <f>COUNTIFS(Database!$F:$I,CONCATENATE($B39,AA$16,"L"))+COUNTIFS(Database!$F:$I,CONCATENATE(AA$16,$B39,"L"))+COUNTIFS(Database!$F:$I,CONCATENATE($B39,AA$16,"W"))+COUNTIFS(Database!$F:$I,CONCATENATE(AA$16,$B39,"W"))</f>
        <v>2</v>
      </c>
      <c r="AB39" s="123">
        <f>COUNTIFS(Database!$F:$I,CONCATENATE($B39,AB$16,"L"))+COUNTIFS(Database!$F:$I,CONCATENATE(AB$16,$B39,"L"))+COUNTIFS(Database!$F:$I,CONCATENATE($B39,AB$16,"W"))+COUNTIFS(Database!$F:$I,CONCATENATE(AB$16,$B39,"W"))</f>
        <v>2</v>
      </c>
      <c r="AC39" s="123">
        <f>COUNTIFS(Database!$F:$I,CONCATENATE($B39,AC$16,"L"))+COUNTIFS(Database!$F:$I,CONCATENATE(AC$16,$B39,"L"))+COUNTIFS(Database!$F:$I,CONCATENATE($B39,AC$16,"W"))+COUNTIFS(Database!$F:$I,CONCATENATE(AC$16,$B39,"W"))</f>
        <v>4</v>
      </c>
      <c r="AD39" s="123">
        <f>COUNTIFS(Database!$F:$I,CONCATENATE($B39,AD$16,"L"))+COUNTIFS(Database!$F:$I,CONCATENATE(AD$16,$B39,"L"))+COUNTIFS(Database!$F:$I,CONCATENATE($B39,AD$16,"W"))+COUNTIFS(Database!$F:$I,CONCATENATE(AD$16,$B39,"W"))</f>
        <v>0</v>
      </c>
      <c r="AE39" s="123">
        <f>COUNTIFS(Database!$F:$I,CONCATENATE($B39,AE$16,"L"))+COUNTIFS(Database!$F:$I,CONCATENATE(AE$16,$B39,"L"))+COUNTIFS(Database!$F:$I,CONCATENATE($B39,AE$16,"W"))+COUNTIFS(Database!$F:$I,CONCATENATE(AE$16,$B39,"W"))</f>
        <v>0</v>
      </c>
      <c r="AF39" s="123">
        <f>COUNTIFS(Database!$F:$I,CONCATENATE($B39,AF$16,"L"))+COUNTIFS(Database!$F:$I,CONCATENATE(AF$16,$B39,"L"))+COUNTIFS(Database!$F:$I,CONCATENATE($B39,AF$16,"W"))+COUNTIFS(Database!$F:$I,CONCATENATE(AF$16,$B39,"W"))</f>
        <v>0</v>
      </c>
      <c r="AG39" s="123">
        <f>COUNTIFS(Database!$F:$I,CONCATENATE($B39,AG$16,"L"))+COUNTIFS(Database!$F:$I,CONCATENATE(AG$16,$B39,"L"))+COUNTIFS(Database!$F:$I,CONCATENATE($B39,AG$16,"W"))+COUNTIFS(Database!$F:$I,CONCATENATE(AG$16,$B39,"W"))</f>
        <v>0</v>
      </c>
      <c r="AH39" s="123">
        <f>COUNTIFS(Database!$F:$I,CONCATENATE($B39,AH$16,"L"))+COUNTIFS(Database!$F:$I,CONCATENATE(AH$16,$B39,"L"))+COUNTIFS(Database!$F:$I,CONCATENATE($B39,AH$16,"W"))+COUNTIFS(Database!$F:$I,CONCATENATE(AH$16,$B39,"W"))</f>
        <v>0</v>
      </c>
      <c r="AI39" s="123">
        <f>COUNTIFS(Database!$F:$I,CONCATENATE($B39,AI$16,"L"))+COUNTIFS(Database!$F:$I,CONCATENATE(AI$16,$B39,"L"))+COUNTIFS(Database!$F:$I,CONCATENATE($B39,AI$16,"W"))+COUNTIFS(Database!$F:$I,CONCATENATE(AI$16,$B39,"W"))</f>
        <v>0</v>
      </c>
      <c r="AJ39" s="123">
        <f>COUNTIFS(Database!$F:$I,CONCATENATE($B39,AJ$16,"L"))+COUNTIFS(Database!$F:$I,CONCATENATE(AJ$16,$B39,"L"))+COUNTIFS(Database!$F:$I,CONCATENATE($B39,AJ$16,"W"))+COUNTIFS(Database!$F:$I,CONCATENATE(AJ$16,$B39,"W"))</f>
        <v>0</v>
      </c>
      <c r="AK39" s="123">
        <f>COUNTIFS(Database!$F:$I,CONCATENATE($B39,AK$16,"L"))+COUNTIFS(Database!$F:$I,CONCATENATE(AK$16,$B39,"L"))+COUNTIFS(Database!$F:$I,CONCATENATE($B39,AK$16,"W"))+COUNTIFS(Database!$F:$I,CONCATENATE(AK$16,$B39,"W"))</f>
        <v>2</v>
      </c>
      <c r="AL39" s="123">
        <f>COUNTIFS(Database!$F:$I,CONCATENATE($B39,AL$16,"L"))+COUNTIFS(Database!$F:$I,CONCATENATE(AL$16,$B39,"L"))+COUNTIFS(Database!$F:$I,CONCATENATE($B39,AL$16,"W"))+COUNTIFS(Database!$F:$I,CONCATENATE(AL$16,$B39,"W"))</f>
        <v>0</v>
      </c>
      <c r="AM39" s="123">
        <f>COUNTIFS(Database!$F:$I,CONCATENATE($B39,AM$16,"L"))+COUNTIFS(Database!$F:$I,CONCATENATE(AM$16,$B39,"L"))+COUNTIFS(Database!$F:$I,CONCATENATE($B39,AM$16,"W"))+COUNTIFS(Database!$F:$I,CONCATENATE(AM$16,$B39,"W"))</f>
        <v>0</v>
      </c>
      <c r="AN39" s="123">
        <f>COUNTIFS(Database!$F:$I,CONCATENATE($B39,AN$16,"L"))+COUNTIFS(Database!$F:$I,CONCATENATE(AN$16,$B39,"L"))+COUNTIFS(Database!$F:$I,CONCATENATE($B39,AN$16,"W"))+COUNTIFS(Database!$F:$I,CONCATENATE(AN$16,$B39,"W"))</f>
        <v>0</v>
      </c>
      <c r="AO39" s="123">
        <f>COUNTIFS(Database!$F:$I,CONCATENATE($B39,AO$16,"L"))+COUNTIFS(Database!$F:$I,CONCATENATE(AO$16,$B39,"L"))+COUNTIFS(Database!$F:$I,CONCATENATE($B39,AO$16,"W"))+COUNTIFS(Database!$F:$I,CONCATENATE(AO$16,$B39,"W"))</f>
        <v>0</v>
      </c>
      <c r="AP39" s="123">
        <f>COUNTIFS(Database!$F:$I,CONCATENATE($B39,AP$16,"L"))+COUNTIFS(Database!$F:$I,CONCATENATE(AP$16,$B39,"L"))+COUNTIFS(Database!$F:$I,CONCATENATE($B39,AP$16,"W"))+COUNTIFS(Database!$F:$I,CONCATENATE(AP$16,$B39,"W"))</f>
        <v>0</v>
      </c>
      <c r="AQ39" s="123">
        <f>COUNTIFS(Database!$F:$I,CONCATENATE($B39,AQ$16,"L"))+COUNTIFS(Database!$F:$I,CONCATENATE(AQ$16,$B39,"L"))+COUNTIFS(Database!$F:$I,CONCATENATE($B39,AQ$16,"W"))+COUNTIFS(Database!$F:$I,CONCATENATE(AQ$16,$B39,"W"))</f>
        <v>0</v>
      </c>
      <c r="AR39" s="123">
        <f>COUNTIFS(Database!$F:$I,CONCATENATE($B39,AR$16,"L"))+COUNTIFS(Database!$F:$I,CONCATENATE(AR$16,$B39,"L"))+COUNTIFS(Database!$F:$I,CONCATENATE($B39,AR$16,"W"))+COUNTIFS(Database!$F:$I,CONCATENATE(AR$16,$B39,"W"))</f>
        <v>7</v>
      </c>
      <c r="AS39" s="123">
        <f>COUNTIFS(Database!$F:$I,CONCATENATE($B39,AS$16,"L"))+COUNTIFS(Database!$F:$I,CONCATENATE(AS$16,$B39,"L"))+COUNTIFS(Database!$F:$I,CONCATENATE($B39,AS$16,"W"))+COUNTIFS(Database!$F:$I,CONCATENATE(AS$16,$B39,"W"))</f>
        <v>0</v>
      </c>
      <c r="AT39" s="123">
        <f>COUNTIFS(Database!$F:$I,CONCATENATE($B39,AT$16,"L"))+COUNTIFS(Database!$F:$I,CONCATENATE(AT$16,$B39,"L"))+COUNTIFS(Database!$F:$I,CONCATENATE($B39,AT$16,"W"))+COUNTIFS(Database!$F:$I,CONCATENATE(AT$16,$B39,"W"))</f>
        <v>0</v>
      </c>
      <c r="AU39" s="123">
        <f>COUNTIFS(Database!$F:$I,CONCATENATE($B39,AU$16,"L"))+COUNTIFS(Database!$F:$I,CONCATENATE(AU$16,$B39,"L"))+COUNTIFS(Database!$F:$I,CONCATENATE($B39,AU$16,"W"))+COUNTIFS(Database!$F:$I,CONCATENATE(AU$16,$B39,"W"))</f>
        <v>1</v>
      </c>
      <c r="AV39" s="123">
        <f>COUNTIFS(Database!$F:$I,CONCATENATE($B39,AV$16,"L"))+COUNTIFS(Database!$F:$I,CONCATENATE(AV$16,$B39,"L"))+COUNTIFS(Database!$F:$I,CONCATENATE($B39,AV$16,"W"))+COUNTIFS(Database!$F:$I,CONCATENATE(AV$16,$B39,"W"))</f>
        <v>0</v>
      </c>
      <c r="AW39" s="123">
        <f>COUNTIFS(Database!$F:$I,CONCATENATE($B39,AW$16,"L"))+COUNTIFS(Database!$F:$I,CONCATENATE(AW$16,$B39,"L"))+COUNTIFS(Database!$F:$I,CONCATENATE($B39,AW$16,"W"))+COUNTIFS(Database!$F:$I,CONCATENATE(AW$16,$B39,"W"))</f>
        <v>3</v>
      </c>
      <c r="AX39" s="123">
        <f>COUNTIFS(Database!$F:$I,CONCATENATE($B39,AX$16,"L"))+COUNTIFS(Database!$F:$I,CONCATENATE(AX$16,$B39,"L"))+COUNTIFS(Database!$F:$I,CONCATENATE($B39,AX$16,"W"))+COUNTIFS(Database!$F:$I,CONCATENATE(AX$16,$B39,"W"))</f>
        <v>0</v>
      </c>
      <c r="AY39" s="123">
        <f>COUNTIFS(Database!$F:$I,CONCATENATE($B39,AY$16,"L"))+COUNTIFS(Database!$F:$I,CONCATENATE(AY$16,$B39,"L"))+COUNTIFS(Database!$F:$I,CONCATENATE($B39,AY$16,"W"))+COUNTIFS(Database!$F:$I,CONCATENATE(AY$16,$B39,"W"))</f>
        <v>2</v>
      </c>
    </row>
    <row r="40" spans="2:51" x14ac:dyDescent="0.25">
      <c r="B40" s="120" t="s">
        <v>21</v>
      </c>
      <c r="C40" s="123">
        <f>COUNTIFS(Database!$F:$I,CONCATENATE($B40,C$16,"L"))+COUNTIFS(Database!$F:$I,CONCATENATE(C$16,$B40,"L"))+COUNTIFS(Database!$F:$I,CONCATENATE($B40,C$16,"W"))+COUNTIFS(Database!$F:$I,CONCATENATE(C$16,$B40,"W"))</f>
        <v>1</v>
      </c>
      <c r="D40" s="123">
        <f>COUNTIFS(Database!$F:$I,CONCATENATE($B40,D$16,"L"))+COUNTIFS(Database!$F:$I,CONCATENATE(D$16,$B40,"L"))+COUNTIFS(Database!$F:$I,CONCATENATE($B40,D$16,"W"))+COUNTIFS(Database!$F:$I,CONCATENATE(D$16,$B40,"W"))</f>
        <v>0</v>
      </c>
      <c r="E40" s="123">
        <f>COUNTIFS(Database!$F:$I,CONCATENATE($B40,E$16,"L"))+COUNTIFS(Database!$F:$I,CONCATENATE(E$16,$B40,"L"))+COUNTIFS(Database!$F:$I,CONCATENATE($B40,E$16,"W"))+COUNTIFS(Database!$F:$I,CONCATENATE(E$16,$B40,"W"))</f>
        <v>1</v>
      </c>
      <c r="F40" s="123">
        <f>COUNTIFS(Database!$F:$I,CONCATENATE($B40,F$16,"L"))+COUNTIFS(Database!$F:$I,CONCATENATE(F$16,$B40,"L"))+COUNTIFS(Database!$F:$I,CONCATENATE($B40,F$16,"W"))+COUNTIFS(Database!$F:$I,CONCATENATE(F$16,$B40,"W"))</f>
        <v>0</v>
      </c>
      <c r="G40" s="123">
        <f>COUNTIFS(Database!$F:$I,CONCATENATE($B40,G$16,"L"))+COUNTIFS(Database!$F:$I,CONCATENATE(G$16,$B40,"L"))+COUNTIFS(Database!$F:$I,CONCATENATE($B40,G$16,"W"))+COUNTIFS(Database!$F:$I,CONCATENATE(G$16,$B40,"W"))</f>
        <v>0</v>
      </c>
      <c r="H40" s="123">
        <f>COUNTIFS(Database!$F:$I,CONCATENATE($B40,H$16,"L"))+COUNTIFS(Database!$F:$I,CONCATENATE(H$16,$B40,"L"))+COUNTIFS(Database!$F:$I,CONCATENATE($B40,H$16,"W"))+COUNTIFS(Database!$F:$I,CONCATENATE(H$16,$B40,"W"))</f>
        <v>0</v>
      </c>
      <c r="I40" s="123">
        <f>COUNTIFS(Database!$F:$I,CONCATENATE($B40,I$16,"L"))+COUNTIFS(Database!$F:$I,CONCATENATE(I$16,$B40,"L"))+COUNTIFS(Database!$F:$I,CONCATENATE($B40,I$16,"W"))+COUNTIFS(Database!$F:$I,CONCATENATE(I$16,$B40,"W"))</f>
        <v>0</v>
      </c>
      <c r="J40" s="123">
        <f>COUNTIFS(Database!$F:$I,CONCATENATE($B40,J$16,"L"))+COUNTIFS(Database!$F:$I,CONCATENATE(J$16,$B40,"L"))+COUNTIFS(Database!$F:$I,CONCATENATE($B40,J$16,"W"))+COUNTIFS(Database!$F:$I,CONCATENATE(J$16,$B40,"W"))</f>
        <v>0</v>
      </c>
      <c r="K40" s="123">
        <f>COUNTIFS(Database!$F:$I,CONCATENATE($B40,K$16,"L"))+COUNTIFS(Database!$F:$I,CONCATENATE(K$16,$B40,"L"))+COUNTIFS(Database!$F:$I,CONCATENATE($B40,K$16,"W"))+COUNTIFS(Database!$F:$I,CONCATENATE(K$16,$B40,"W"))</f>
        <v>0</v>
      </c>
      <c r="L40" s="123">
        <f>COUNTIFS(Database!$F:$I,CONCATENATE($B40,L$16,"L"))+COUNTIFS(Database!$F:$I,CONCATENATE(L$16,$B40,"L"))+COUNTIFS(Database!$F:$I,CONCATENATE($B40,L$16,"W"))+COUNTIFS(Database!$F:$I,CONCATENATE(L$16,$B40,"W"))</f>
        <v>0</v>
      </c>
      <c r="M40" s="123">
        <f>COUNTIFS(Database!$F:$I,CONCATENATE($B40,M$16,"L"))+COUNTIFS(Database!$F:$I,CONCATENATE(M$16,$B40,"L"))+COUNTIFS(Database!$F:$I,CONCATENATE($B40,M$16,"W"))+COUNTIFS(Database!$F:$I,CONCATENATE(M$16,$B40,"W"))</f>
        <v>0</v>
      </c>
      <c r="N40" s="123">
        <f>COUNTIFS(Database!$F:$I,CONCATENATE($B40,N$16,"L"))+COUNTIFS(Database!$F:$I,CONCATENATE(N$16,$B40,"L"))+COUNTIFS(Database!$F:$I,CONCATENATE($B40,N$16,"W"))+COUNTIFS(Database!$F:$I,CONCATENATE(N$16,$B40,"W"))</f>
        <v>1</v>
      </c>
      <c r="O40" s="123">
        <f>COUNTIFS(Database!$F:$I,CONCATENATE($B40,O$16,"L"))+COUNTIFS(Database!$F:$I,CONCATENATE(O$16,$B40,"L"))+COUNTIFS(Database!$F:$I,CONCATENATE($B40,O$16,"W"))+COUNTIFS(Database!$F:$I,CONCATENATE(O$16,$B40,"W"))</f>
        <v>2</v>
      </c>
      <c r="P40" s="123">
        <f>COUNTIFS(Database!$F:$I,CONCATENATE($B40,P$16,"L"))+COUNTIFS(Database!$F:$I,CONCATENATE(P$16,$B40,"L"))+COUNTIFS(Database!$F:$I,CONCATENATE($B40,P$16,"W"))+COUNTIFS(Database!$F:$I,CONCATENATE(P$16,$B40,"W"))</f>
        <v>0</v>
      </c>
      <c r="Q40" s="123">
        <f>COUNTIFS(Database!$F:$I,CONCATENATE($B40,Q$16,"L"))+COUNTIFS(Database!$F:$I,CONCATENATE(Q$16,$B40,"L"))+COUNTIFS(Database!$F:$I,CONCATENATE($B40,Q$16,"W"))+COUNTIFS(Database!$F:$I,CONCATENATE(Q$16,$B40,"W"))</f>
        <v>0</v>
      </c>
      <c r="R40" s="123">
        <f>COUNTIFS(Database!$F:$I,CONCATENATE($B40,R$16,"L"))+COUNTIFS(Database!$F:$I,CONCATENATE(R$16,$B40,"L"))+COUNTIFS(Database!$F:$I,CONCATENATE($B40,R$16,"W"))+COUNTIFS(Database!$F:$I,CONCATENATE(R$16,$B40,"W"))</f>
        <v>0</v>
      </c>
      <c r="S40" s="123">
        <f>COUNTIFS(Database!$F:$I,CONCATENATE($B40,S$16,"L"))+COUNTIFS(Database!$F:$I,CONCATENATE(S$16,$B40,"L"))+COUNTIFS(Database!$F:$I,CONCATENATE($B40,S$16,"W"))+COUNTIFS(Database!$F:$I,CONCATENATE(S$16,$B40,"W"))</f>
        <v>0</v>
      </c>
      <c r="T40" s="123">
        <f>COUNTIFS(Database!$F:$I,CONCATENATE($B40,T$16,"L"))+COUNTIFS(Database!$F:$I,CONCATENATE(T$16,$B40,"L"))+COUNTIFS(Database!$F:$I,CONCATENATE($B40,T$16,"W"))+COUNTIFS(Database!$F:$I,CONCATENATE(T$16,$B40,"W"))</f>
        <v>0</v>
      </c>
      <c r="U40" s="123">
        <f>COUNTIFS(Database!$F:$I,CONCATENATE($B40,U$16,"L"))+COUNTIFS(Database!$F:$I,CONCATENATE(U$16,$B40,"L"))+COUNTIFS(Database!$F:$I,CONCATENATE($B40,U$16,"W"))+COUNTIFS(Database!$F:$I,CONCATENATE(U$16,$B40,"W"))</f>
        <v>0</v>
      </c>
      <c r="V40" s="123">
        <f>COUNTIFS(Database!$F:$I,CONCATENATE($B40,V$16,"L"))+COUNTIFS(Database!$F:$I,CONCATENATE(V$16,$B40,"L"))+COUNTIFS(Database!$F:$I,CONCATENATE($B40,V$16,"W"))+COUNTIFS(Database!$F:$I,CONCATENATE(V$16,$B40,"W"))</f>
        <v>0</v>
      </c>
      <c r="W40" s="123">
        <f>COUNTIFS(Database!$F:$I,CONCATENATE($B40,W$16,"L"))+COUNTIFS(Database!$F:$I,CONCATENATE(W$16,$B40,"L"))+COUNTIFS(Database!$F:$I,CONCATENATE($B40,W$16,"W"))+COUNTIFS(Database!$F:$I,CONCATENATE(W$16,$B40,"W"))</f>
        <v>0</v>
      </c>
      <c r="X40" s="123">
        <f>COUNTIFS(Database!$F:$I,CONCATENATE($B40,X$16,"L"))+COUNTIFS(Database!$F:$I,CONCATENATE(X$16,$B40,"L"))+COUNTIFS(Database!$F:$I,CONCATENATE($B40,X$16,"W"))+COUNTIFS(Database!$F:$I,CONCATENATE(X$16,$B40,"W"))</f>
        <v>0</v>
      </c>
      <c r="Y40" s="123">
        <f>COUNTIFS(Database!$F:$I,CONCATENATE($B40,Y$16,"L"))+COUNTIFS(Database!$F:$I,CONCATENATE(Y$16,$B40,"L"))+COUNTIFS(Database!$F:$I,CONCATENATE($B40,Y$16,"W"))+COUNTIFS(Database!$F:$I,CONCATENATE(Y$16,$B40,"W"))</f>
        <v>0</v>
      </c>
      <c r="Z40" s="123">
        <f>COUNTIFS(Database!$F:$I,CONCATENATE($B40,Z$16,"L"))+COUNTIFS(Database!$F:$I,CONCATENATE(Z$16,$B40,"L"))+COUNTIFS(Database!$F:$I,CONCATENATE($B40,Z$16,"W"))+COUNTIFS(Database!$F:$I,CONCATENATE(Z$16,$B40,"W"))</f>
        <v>0</v>
      </c>
      <c r="AA40" s="123">
        <f>COUNTIFS(Database!$F:$I,CONCATENATE($B40,AA$16,"L"))+COUNTIFS(Database!$F:$I,CONCATENATE(AA$16,$B40,"L"))+COUNTIFS(Database!$F:$I,CONCATENATE($B40,AA$16,"W"))+COUNTIFS(Database!$F:$I,CONCATENATE(AA$16,$B40,"W"))</f>
        <v>0</v>
      </c>
      <c r="AB40" s="123">
        <f>COUNTIFS(Database!$F:$I,CONCATENATE($B40,AB$16,"L"))+COUNTIFS(Database!$F:$I,CONCATENATE(AB$16,$B40,"L"))+COUNTIFS(Database!$F:$I,CONCATENATE($B40,AB$16,"W"))+COUNTIFS(Database!$F:$I,CONCATENATE(AB$16,$B40,"W"))</f>
        <v>1</v>
      </c>
      <c r="AC40" s="123">
        <f>COUNTIFS(Database!$F:$I,CONCATENATE($B40,AC$16,"L"))+COUNTIFS(Database!$F:$I,CONCATENATE(AC$16,$B40,"L"))+COUNTIFS(Database!$F:$I,CONCATENATE($B40,AC$16,"W"))+COUNTIFS(Database!$F:$I,CONCATENATE(AC$16,$B40,"W"))</f>
        <v>2</v>
      </c>
      <c r="AD40" s="123">
        <f>COUNTIFS(Database!$F:$I,CONCATENATE($B40,AD$16,"L"))+COUNTIFS(Database!$F:$I,CONCATENATE(AD$16,$B40,"L"))+COUNTIFS(Database!$F:$I,CONCATENATE($B40,AD$16,"W"))+COUNTIFS(Database!$F:$I,CONCATENATE(AD$16,$B40,"W"))</f>
        <v>0</v>
      </c>
      <c r="AE40" s="123">
        <f>COUNTIFS(Database!$F:$I,CONCATENATE($B40,AE$16,"L"))+COUNTIFS(Database!$F:$I,CONCATENATE(AE$16,$B40,"L"))+COUNTIFS(Database!$F:$I,CONCATENATE($B40,AE$16,"W"))+COUNTIFS(Database!$F:$I,CONCATENATE(AE$16,$B40,"W"))</f>
        <v>0</v>
      </c>
      <c r="AF40" s="123">
        <f>COUNTIFS(Database!$F:$I,CONCATENATE($B40,AF$16,"L"))+COUNTIFS(Database!$F:$I,CONCATENATE(AF$16,$B40,"L"))+COUNTIFS(Database!$F:$I,CONCATENATE($B40,AF$16,"W"))+COUNTIFS(Database!$F:$I,CONCATENATE(AF$16,$B40,"W"))</f>
        <v>0</v>
      </c>
      <c r="AG40" s="123">
        <f>COUNTIFS(Database!$F:$I,CONCATENATE($B40,AG$16,"L"))+COUNTIFS(Database!$F:$I,CONCATENATE(AG$16,$B40,"L"))+COUNTIFS(Database!$F:$I,CONCATENATE($B40,AG$16,"W"))+COUNTIFS(Database!$F:$I,CONCATENATE(AG$16,$B40,"W"))</f>
        <v>0</v>
      </c>
      <c r="AH40" s="123">
        <f>COUNTIFS(Database!$F:$I,CONCATENATE($B40,AH$16,"L"))+COUNTIFS(Database!$F:$I,CONCATENATE(AH$16,$B40,"L"))+COUNTIFS(Database!$F:$I,CONCATENATE($B40,AH$16,"W"))+COUNTIFS(Database!$F:$I,CONCATENATE(AH$16,$B40,"W"))</f>
        <v>0</v>
      </c>
      <c r="AI40" s="123">
        <f>COUNTIFS(Database!$F:$I,CONCATENATE($B40,AI$16,"L"))+COUNTIFS(Database!$F:$I,CONCATENATE(AI$16,$B40,"L"))+COUNTIFS(Database!$F:$I,CONCATENATE($B40,AI$16,"W"))+COUNTIFS(Database!$F:$I,CONCATENATE(AI$16,$B40,"W"))</f>
        <v>0</v>
      </c>
      <c r="AJ40" s="123">
        <f>COUNTIFS(Database!$F:$I,CONCATENATE($B40,AJ$16,"L"))+COUNTIFS(Database!$F:$I,CONCATENATE(AJ$16,$B40,"L"))+COUNTIFS(Database!$F:$I,CONCATENATE($B40,AJ$16,"W"))+COUNTIFS(Database!$F:$I,CONCATENATE(AJ$16,$B40,"W"))</f>
        <v>0</v>
      </c>
      <c r="AK40" s="123">
        <f>COUNTIFS(Database!$F:$I,CONCATENATE($B40,AK$16,"L"))+COUNTIFS(Database!$F:$I,CONCATENATE(AK$16,$B40,"L"))+COUNTIFS(Database!$F:$I,CONCATENATE($B40,AK$16,"W"))+COUNTIFS(Database!$F:$I,CONCATENATE(AK$16,$B40,"W"))</f>
        <v>0</v>
      </c>
      <c r="AL40" s="123">
        <f>COUNTIFS(Database!$F:$I,CONCATENATE($B40,AL$16,"L"))+COUNTIFS(Database!$F:$I,CONCATENATE(AL$16,$B40,"L"))+COUNTIFS(Database!$F:$I,CONCATENATE($B40,AL$16,"W"))+COUNTIFS(Database!$F:$I,CONCATENATE(AL$16,$B40,"W"))</f>
        <v>0</v>
      </c>
      <c r="AM40" s="123">
        <f>COUNTIFS(Database!$F:$I,CONCATENATE($B40,AM$16,"L"))+COUNTIFS(Database!$F:$I,CONCATENATE(AM$16,$B40,"L"))+COUNTIFS(Database!$F:$I,CONCATENATE($B40,AM$16,"W"))+COUNTIFS(Database!$F:$I,CONCATENATE(AM$16,$B40,"W"))</f>
        <v>0</v>
      </c>
      <c r="AN40" s="123">
        <f>COUNTIFS(Database!$F:$I,CONCATENATE($B40,AN$16,"L"))+COUNTIFS(Database!$F:$I,CONCATENATE(AN$16,$B40,"L"))+COUNTIFS(Database!$F:$I,CONCATENATE($B40,AN$16,"W"))+COUNTIFS(Database!$F:$I,CONCATENATE(AN$16,$B40,"W"))</f>
        <v>0</v>
      </c>
      <c r="AO40" s="123">
        <f>COUNTIFS(Database!$F:$I,CONCATENATE($B40,AO$16,"L"))+COUNTIFS(Database!$F:$I,CONCATENATE(AO$16,$B40,"L"))+COUNTIFS(Database!$F:$I,CONCATENATE($B40,AO$16,"W"))+COUNTIFS(Database!$F:$I,CONCATENATE(AO$16,$B40,"W"))</f>
        <v>0</v>
      </c>
      <c r="AP40" s="123">
        <f>COUNTIFS(Database!$F:$I,CONCATENATE($B40,AP$16,"L"))+COUNTIFS(Database!$F:$I,CONCATENATE(AP$16,$B40,"L"))+COUNTIFS(Database!$F:$I,CONCATENATE($B40,AP$16,"W"))+COUNTIFS(Database!$F:$I,CONCATENATE(AP$16,$B40,"W"))</f>
        <v>0</v>
      </c>
      <c r="AQ40" s="123">
        <f>COUNTIFS(Database!$F:$I,CONCATENATE($B40,AQ$16,"L"))+COUNTIFS(Database!$F:$I,CONCATENATE(AQ$16,$B40,"L"))+COUNTIFS(Database!$F:$I,CONCATENATE($B40,AQ$16,"W"))+COUNTIFS(Database!$F:$I,CONCATENATE(AQ$16,$B40,"W"))</f>
        <v>1</v>
      </c>
      <c r="AR40" s="123">
        <f>COUNTIFS(Database!$F:$I,CONCATENATE($B40,AR$16,"L"))+COUNTIFS(Database!$F:$I,CONCATENATE(AR$16,$B40,"L"))+COUNTIFS(Database!$F:$I,CONCATENATE($B40,AR$16,"W"))+COUNTIFS(Database!$F:$I,CONCATENATE(AR$16,$B40,"W"))</f>
        <v>0</v>
      </c>
      <c r="AS40" s="123">
        <f>COUNTIFS(Database!$F:$I,CONCATENATE($B40,AS$16,"L"))+COUNTIFS(Database!$F:$I,CONCATENATE(AS$16,$B40,"L"))+COUNTIFS(Database!$F:$I,CONCATENATE($B40,AS$16,"W"))+COUNTIFS(Database!$F:$I,CONCATENATE(AS$16,$B40,"W"))</f>
        <v>0</v>
      </c>
      <c r="AT40" s="123">
        <f>COUNTIFS(Database!$F:$I,CONCATENATE($B40,AT$16,"L"))+COUNTIFS(Database!$F:$I,CONCATENATE(AT$16,$B40,"L"))+COUNTIFS(Database!$F:$I,CONCATENATE($B40,AT$16,"W"))+COUNTIFS(Database!$F:$I,CONCATENATE(AT$16,$B40,"W"))</f>
        <v>0</v>
      </c>
      <c r="AU40" s="123">
        <f>COUNTIFS(Database!$F:$I,CONCATENATE($B40,AU$16,"L"))+COUNTIFS(Database!$F:$I,CONCATENATE(AU$16,$B40,"L"))+COUNTIFS(Database!$F:$I,CONCATENATE($B40,AU$16,"W"))+COUNTIFS(Database!$F:$I,CONCATENATE(AU$16,$B40,"W"))</f>
        <v>0</v>
      </c>
      <c r="AV40" s="123">
        <f>COUNTIFS(Database!$F:$I,CONCATENATE($B40,AV$16,"L"))+COUNTIFS(Database!$F:$I,CONCATENATE(AV$16,$B40,"L"))+COUNTIFS(Database!$F:$I,CONCATENATE($B40,AV$16,"W"))+COUNTIFS(Database!$F:$I,CONCATENATE(AV$16,$B40,"W"))</f>
        <v>1</v>
      </c>
      <c r="AW40" s="123">
        <f>COUNTIFS(Database!$F:$I,CONCATENATE($B40,AW$16,"L"))+COUNTIFS(Database!$F:$I,CONCATENATE(AW$16,$B40,"L"))+COUNTIFS(Database!$F:$I,CONCATENATE($B40,AW$16,"W"))+COUNTIFS(Database!$F:$I,CONCATENATE(AW$16,$B40,"W"))</f>
        <v>1</v>
      </c>
      <c r="AX40" s="123">
        <f>COUNTIFS(Database!$F:$I,CONCATENATE($B40,AX$16,"L"))+COUNTIFS(Database!$F:$I,CONCATENATE(AX$16,$B40,"L"))+COUNTIFS(Database!$F:$I,CONCATENATE($B40,AX$16,"W"))+COUNTIFS(Database!$F:$I,CONCATENATE(AX$16,$B40,"W"))</f>
        <v>0</v>
      </c>
      <c r="AY40" s="123">
        <f>COUNTIFS(Database!$F:$I,CONCATENATE($B40,AY$16,"L"))+COUNTIFS(Database!$F:$I,CONCATENATE(AY$16,$B40,"L"))+COUNTIFS(Database!$F:$I,CONCATENATE($B40,AY$16,"W"))+COUNTIFS(Database!$F:$I,CONCATENATE(AY$16,$B40,"W"))</f>
        <v>1</v>
      </c>
    </row>
    <row r="41" spans="2:51" x14ac:dyDescent="0.25">
      <c r="B41" s="120" t="s">
        <v>34</v>
      </c>
      <c r="C41" s="123">
        <f>COUNTIFS(Database!$F:$I,CONCATENATE($B41,C$16,"L"))+COUNTIFS(Database!$F:$I,CONCATENATE(C$16,$B41,"L"))+COUNTIFS(Database!$F:$I,CONCATENATE($B41,C$16,"W"))+COUNTIFS(Database!$F:$I,CONCATENATE(C$16,$B41,"W"))</f>
        <v>2</v>
      </c>
      <c r="D41" s="123">
        <f>COUNTIFS(Database!$F:$I,CONCATENATE($B41,D$16,"L"))+COUNTIFS(Database!$F:$I,CONCATENATE(D$16,$B41,"L"))+COUNTIFS(Database!$F:$I,CONCATENATE($B41,D$16,"W"))+COUNTIFS(Database!$F:$I,CONCATENATE(D$16,$B41,"W"))</f>
        <v>0</v>
      </c>
      <c r="E41" s="123">
        <f>COUNTIFS(Database!$F:$I,CONCATENATE($B41,E$16,"L"))+COUNTIFS(Database!$F:$I,CONCATENATE(E$16,$B41,"L"))+COUNTIFS(Database!$F:$I,CONCATENATE($B41,E$16,"W"))+COUNTIFS(Database!$F:$I,CONCATENATE(E$16,$B41,"W"))</f>
        <v>1</v>
      </c>
      <c r="F41" s="123">
        <f>COUNTIFS(Database!$F:$I,CONCATENATE($B41,F$16,"L"))+COUNTIFS(Database!$F:$I,CONCATENATE(F$16,$B41,"L"))+COUNTIFS(Database!$F:$I,CONCATENATE($B41,F$16,"W"))+COUNTIFS(Database!$F:$I,CONCATENATE(F$16,$B41,"W"))</f>
        <v>2</v>
      </c>
      <c r="G41" s="123">
        <f>COUNTIFS(Database!$F:$I,CONCATENATE($B41,G$16,"L"))+COUNTIFS(Database!$F:$I,CONCATENATE(G$16,$B41,"L"))+COUNTIFS(Database!$F:$I,CONCATENATE($B41,G$16,"W"))+COUNTIFS(Database!$F:$I,CONCATENATE(G$16,$B41,"W"))</f>
        <v>0</v>
      </c>
      <c r="H41" s="123">
        <f>COUNTIFS(Database!$F:$I,CONCATENATE($B41,H$16,"L"))+COUNTIFS(Database!$F:$I,CONCATENATE(H$16,$B41,"L"))+COUNTIFS(Database!$F:$I,CONCATENATE($B41,H$16,"W"))+COUNTIFS(Database!$F:$I,CONCATENATE(H$16,$B41,"W"))</f>
        <v>0</v>
      </c>
      <c r="I41" s="123">
        <f>COUNTIFS(Database!$F:$I,CONCATENATE($B41,I$16,"L"))+COUNTIFS(Database!$F:$I,CONCATENATE(I$16,$B41,"L"))+COUNTIFS(Database!$F:$I,CONCATENATE($B41,I$16,"W"))+COUNTIFS(Database!$F:$I,CONCATENATE(I$16,$B41,"W"))</f>
        <v>0</v>
      </c>
      <c r="J41" s="123">
        <f>COUNTIFS(Database!$F:$I,CONCATENATE($B41,J$16,"L"))+COUNTIFS(Database!$F:$I,CONCATENATE(J$16,$B41,"L"))+COUNTIFS(Database!$F:$I,CONCATENATE($B41,J$16,"W"))+COUNTIFS(Database!$F:$I,CONCATENATE(J$16,$B41,"W"))</f>
        <v>0</v>
      </c>
      <c r="K41" s="123">
        <f>COUNTIFS(Database!$F:$I,CONCATENATE($B41,K$16,"L"))+COUNTIFS(Database!$F:$I,CONCATENATE(K$16,$B41,"L"))+COUNTIFS(Database!$F:$I,CONCATENATE($B41,K$16,"W"))+COUNTIFS(Database!$F:$I,CONCATENATE(K$16,$B41,"W"))</f>
        <v>0</v>
      </c>
      <c r="L41" s="123">
        <f>COUNTIFS(Database!$F:$I,CONCATENATE($B41,L$16,"L"))+COUNTIFS(Database!$F:$I,CONCATENATE(L$16,$B41,"L"))+COUNTIFS(Database!$F:$I,CONCATENATE($B41,L$16,"W"))+COUNTIFS(Database!$F:$I,CONCATENATE(L$16,$B41,"W"))</f>
        <v>1</v>
      </c>
      <c r="M41" s="123">
        <f>COUNTIFS(Database!$F:$I,CONCATENATE($B41,M$16,"L"))+COUNTIFS(Database!$F:$I,CONCATENATE(M$16,$B41,"L"))+COUNTIFS(Database!$F:$I,CONCATENATE($B41,M$16,"W"))+COUNTIFS(Database!$F:$I,CONCATENATE(M$16,$B41,"W"))</f>
        <v>0</v>
      </c>
      <c r="N41" s="123">
        <f>COUNTIFS(Database!$F:$I,CONCATENATE($B41,N$16,"L"))+COUNTIFS(Database!$F:$I,CONCATENATE(N$16,$B41,"L"))+COUNTIFS(Database!$F:$I,CONCATENATE($B41,N$16,"W"))+COUNTIFS(Database!$F:$I,CONCATENATE(N$16,$B41,"W"))</f>
        <v>0</v>
      </c>
      <c r="O41" s="123">
        <f>COUNTIFS(Database!$F:$I,CONCATENATE($B41,O$16,"L"))+COUNTIFS(Database!$F:$I,CONCATENATE(O$16,$B41,"L"))+COUNTIFS(Database!$F:$I,CONCATENATE($B41,O$16,"W"))+COUNTIFS(Database!$F:$I,CONCATENATE(O$16,$B41,"W"))</f>
        <v>0</v>
      </c>
      <c r="P41" s="123">
        <f>COUNTIFS(Database!$F:$I,CONCATENATE($B41,P$16,"L"))+COUNTIFS(Database!$F:$I,CONCATENATE(P$16,$B41,"L"))+COUNTIFS(Database!$F:$I,CONCATENATE($B41,P$16,"W"))+COUNTIFS(Database!$F:$I,CONCATENATE(P$16,$B41,"W"))</f>
        <v>0</v>
      </c>
      <c r="Q41" s="123">
        <f>COUNTIFS(Database!$F:$I,CONCATENATE($B41,Q$16,"L"))+COUNTIFS(Database!$F:$I,CONCATENATE(Q$16,$B41,"L"))+COUNTIFS(Database!$F:$I,CONCATENATE($B41,Q$16,"W"))+COUNTIFS(Database!$F:$I,CONCATENATE(Q$16,$B41,"W"))</f>
        <v>0</v>
      </c>
      <c r="R41" s="123">
        <f>COUNTIFS(Database!$F:$I,CONCATENATE($B41,R$16,"L"))+COUNTIFS(Database!$F:$I,CONCATENATE(R$16,$B41,"L"))+COUNTIFS(Database!$F:$I,CONCATENATE($B41,R$16,"W"))+COUNTIFS(Database!$F:$I,CONCATENATE(R$16,$B41,"W"))</f>
        <v>0</v>
      </c>
      <c r="S41" s="123">
        <f>COUNTIFS(Database!$F:$I,CONCATENATE($B41,S$16,"L"))+COUNTIFS(Database!$F:$I,CONCATENATE(S$16,$B41,"L"))+COUNTIFS(Database!$F:$I,CONCATENATE($B41,S$16,"W"))+COUNTIFS(Database!$F:$I,CONCATENATE(S$16,$B41,"W"))</f>
        <v>1</v>
      </c>
      <c r="T41" s="123">
        <f>COUNTIFS(Database!$F:$I,CONCATENATE($B41,T$16,"L"))+COUNTIFS(Database!$F:$I,CONCATENATE(T$16,$B41,"L"))+COUNTIFS(Database!$F:$I,CONCATENATE($B41,T$16,"W"))+COUNTIFS(Database!$F:$I,CONCATENATE(T$16,$B41,"W"))</f>
        <v>2</v>
      </c>
      <c r="U41" s="123">
        <f>COUNTIFS(Database!$F:$I,CONCATENATE($B41,U$16,"L"))+COUNTIFS(Database!$F:$I,CONCATENATE(U$16,$B41,"L"))+COUNTIFS(Database!$F:$I,CONCATENATE($B41,U$16,"W"))+COUNTIFS(Database!$F:$I,CONCATENATE(U$16,$B41,"W"))</f>
        <v>0</v>
      </c>
      <c r="V41" s="123">
        <f>COUNTIFS(Database!$F:$I,CONCATENATE($B41,V$16,"L"))+COUNTIFS(Database!$F:$I,CONCATENATE(V$16,$B41,"L"))+COUNTIFS(Database!$F:$I,CONCATENATE($B41,V$16,"W"))+COUNTIFS(Database!$F:$I,CONCATENATE(V$16,$B41,"W"))</f>
        <v>0</v>
      </c>
      <c r="W41" s="123">
        <f>COUNTIFS(Database!$F:$I,CONCATENATE($B41,W$16,"L"))+COUNTIFS(Database!$F:$I,CONCATENATE(W$16,$B41,"L"))+COUNTIFS(Database!$F:$I,CONCATENATE($B41,W$16,"W"))+COUNTIFS(Database!$F:$I,CONCATENATE(W$16,$B41,"W"))</f>
        <v>1</v>
      </c>
      <c r="X41" s="123">
        <f>COUNTIFS(Database!$F:$I,CONCATENATE($B41,X$16,"L"))+COUNTIFS(Database!$F:$I,CONCATENATE(X$16,$B41,"L"))+COUNTIFS(Database!$F:$I,CONCATENATE($B41,X$16,"W"))+COUNTIFS(Database!$F:$I,CONCATENATE(X$16,$B41,"W"))</f>
        <v>1</v>
      </c>
      <c r="Y41" s="123">
        <f>COUNTIFS(Database!$F:$I,CONCATENATE($B41,Y$16,"L"))+COUNTIFS(Database!$F:$I,CONCATENATE(Y$16,$B41,"L"))+COUNTIFS(Database!$F:$I,CONCATENATE($B41,Y$16,"W"))+COUNTIFS(Database!$F:$I,CONCATENATE(Y$16,$B41,"W"))</f>
        <v>2</v>
      </c>
      <c r="Z41" s="123">
        <f>COUNTIFS(Database!$F:$I,CONCATENATE($B41,Z$16,"L"))+COUNTIFS(Database!$F:$I,CONCATENATE(Z$16,$B41,"L"))+COUNTIFS(Database!$F:$I,CONCATENATE($B41,Z$16,"W"))+COUNTIFS(Database!$F:$I,CONCATENATE(Z$16,$B41,"W"))</f>
        <v>0</v>
      </c>
      <c r="AA41" s="123">
        <f>COUNTIFS(Database!$F:$I,CONCATENATE($B41,AA$16,"L"))+COUNTIFS(Database!$F:$I,CONCATENATE(AA$16,$B41,"L"))+COUNTIFS(Database!$F:$I,CONCATENATE($B41,AA$16,"W"))+COUNTIFS(Database!$F:$I,CONCATENATE(AA$16,$B41,"W"))</f>
        <v>0</v>
      </c>
      <c r="AB41" s="123">
        <f>COUNTIFS(Database!$F:$I,CONCATENATE($B41,AB$16,"L"))+COUNTIFS(Database!$F:$I,CONCATENATE(AB$16,$B41,"L"))+COUNTIFS(Database!$F:$I,CONCATENATE($B41,AB$16,"W"))+COUNTIFS(Database!$F:$I,CONCATENATE(AB$16,$B41,"W"))</f>
        <v>0</v>
      </c>
      <c r="AC41" s="123">
        <f>COUNTIFS(Database!$F:$I,CONCATENATE($B41,AC$16,"L"))+COUNTIFS(Database!$F:$I,CONCATENATE(AC$16,$B41,"L"))+COUNTIFS(Database!$F:$I,CONCATENATE($B41,AC$16,"W"))+COUNTIFS(Database!$F:$I,CONCATENATE(AC$16,$B41,"W"))</f>
        <v>2</v>
      </c>
      <c r="AD41" s="123">
        <f>COUNTIFS(Database!$F:$I,CONCATENATE($B41,AD$16,"L"))+COUNTIFS(Database!$F:$I,CONCATENATE(AD$16,$B41,"L"))+COUNTIFS(Database!$F:$I,CONCATENATE($B41,AD$16,"W"))+COUNTIFS(Database!$F:$I,CONCATENATE(AD$16,$B41,"W"))</f>
        <v>0</v>
      </c>
      <c r="AE41" s="123">
        <f>COUNTIFS(Database!$F:$I,CONCATENATE($B41,AE$16,"L"))+COUNTIFS(Database!$F:$I,CONCATENATE(AE$16,$B41,"L"))+COUNTIFS(Database!$F:$I,CONCATENATE($B41,AE$16,"W"))+COUNTIFS(Database!$F:$I,CONCATENATE(AE$16,$B41,"W"))</f>
        <v>0</v>
      </c>
      <c r="AF41" s="123">
        <f>COUNTIFS(Database!$F:$I,CONCATENATE($B41,AF$16,"L"))+COUNTIFS(Database!$F:$I,CONCATENATE(AF$16,$B41,"L"))+COUNTIFS(Database!$F:$I,CONCATENATE($B41,AF$16,"W"))+COUNTIFS(Database!$F:$I,CONCATENATE(AF$16,$B41,"W"))</f>
        <v>0</v>
      </c>
      <c r="AG41" s="123">
        <f>COUNTIFS(Database!$F:$I,CONCATENATE($B41,AG$16,"L"))+COUNTIFS(Database!$F:$I,CONCATENATE(AG$16,$B41,"L"))+COUNTIFS(Database!$F:$I,CONCATENATE($B41,AG$16,"W"))+COUNTIFS(Database!$F:$I,CONCATENATE(AG$16,$B41,"W"))</f>
        <v>0</v>
      </c>
      <c r="AH41" s="123">
        <f>COUNTIFS(Database!$F:$I,CONCATENATE($B41,AH$16,"L"))+COUNTIFS(Database!$F:$I,CONCATENATE(AH$16,$B41,"L"))+COUNTIFS(Database!$F:$I,CONCATENATE($B41,AH$16,"W"))+COUNTIFS(Database!$F:$I,CONCATENATE(AH$16,$B41,"W"))</f>
        <v>0</v>
      </c>
      <c r="AI41" s="123">
        <f>COUNTIFS(Database!$F:$I,CONCATENATE($B41,AI$16,"L"))+COUNTIFS(Database!$F:$I,CONCATENATE(AI$16,$B41,"L"))+COUNTIFS(Database!$F:$I,CONCATENATE($B41,AI$16,"W"))+COUNTIFS(Database!$F:$I,CONCATENATE(AI$16,$B41,"W"))</f>
        <v>0</v>
      </c>
      <c r="AJ41" s="123">
        <f>COUNTIFS(Database!$F:$I,CONCATENATE($B41,AJ$16,"L"))+COUNTIFS(Database!$F:$I,CONCATENATE(AJ$16,$B41,"L"))+COUNTIFS(Database!$F:$I,CONCATENATE($B41,AJ$16,"W"))+COUNTIFS(Database!$F:$I,CONCATENATE(AJ$16,$B41,"W"))</f>
        <v>1</v>
      </c>
      <c r="AK41" s="123">
        <f>COUNTIFS(Database!$F:$I,CONCATENATE($B41,AK$16,"L"))+COUNTIFS(Database!$F:$I,CONCATENATE(AK$16,$B41,"L"))+COUNTIFS(Database!$F:$I,CONCATENATE($B41,AK$16,"W"))+COUNTIFS(Database!$F:$I,CONCATENATE(AK$16,$B41,"W"))</f>
        <v>1</v>
      </c>
      <c r="AL41" s="123">
        <f>COUNTIFS(Database!$F:$I,CONCATENATE($B41,AL$16,"L"))+COUNTIFS(Database!$F:$I,CONCATENATE(AL$16,$B41,"L"))+COUNTIFS(Database!$F:$I,CONCATENATE($B41,AL$16,"W"))+COUNTIFS(Database!$F:$I,CONCATENATE(AL$16,$B41,"W"))</f>
        <v>0</v>
      </c>
      <c r="AM41" s="123">
        <f>COUNTIFS(Database!$F:$I,CONCATENATE($B41,AM$16,"L"))+COUNTIFS(Database!$F:$I,CONCATENATE(AM$16,$B41,"L"))+COUNTIFS(Database!$F:$I,CONCATENATE($B41,AM$16,"W"))+COUNTIFS(Database!$F:$I,CONCATENATE(AM$16,$B41,"W"))</f>
        <v>0</v>
      </c>
      <c r="AN41" s="123">
        <f>COUNTIFS(Database!$F:$I,CONCATENATE($B41,AN$16,"L"))+COUNTIFS(Database!$F:$I,CONCATENATE(AN$16,$B41,"L"))+COUNTIFS(Database!$F:$I,CONCATENATE($B41,AN$16,"W"))+COUNTIFS(Database!$F:$I,CONCATENATE(AN$16,$B41,"W"))</f>
        <v>0</v>
      </c>
      <c r="AO41" s="123">
        <f>COUNTIFS(Database!$F:$I,CONCATENATE($B41,AO$16,"L"))+COUNTIFS(Database!$F:$I,CONCATENATE(AO$16,$B41,"L"))+COUNTIFS(Database!$F:$I,CONCATENATE($B41,AO$16,"W"))+COUNTIFS(Database!$F:$I,CONCATENATE(AO$16,$B41,"W"))</f>
        <v>1</v>
      </c>
      <c r="AP41" s="123">
        <f>COUNTIFS(Database!$F:$I,CONCATENATE($B41,AP$16,"L"))+COUNTIFS(Database!$F:$I,CONCATENATE(AP$16,$B41,"L"))+COUNTIFS(Database!$F:$I,CONCATENATE($B41,AP$16,"W"))+COUNTIFS(Database!$F:$I,CONCATENATE(AP$16,$B41,"W"))</f>
        <v>0</v>
      </c>
      <c r="AQ41" s="123">
        <f>COUNTIFS(Database!$F:$I,CONCATENATE($B41,AQ$16,"L"))+COUNTIFS(Database!$F:$I,CONCATENATE(AQ$16,$B41,"L"))+COUNTIFS(Database!$F:$I,CONCATENATE($B41,AQ$16,"W"))+COUNTIFS(Database!$F:$I,CONCATENATE(AQ$16,$B41,"W"))</f>
        <v>0</v>
      </c>
      <c r="AR41" s="123">
        <f>COUNTIFS(Database!$F:$I,CONCATENATE($B41,AR$16,"L"))+COUNTIFS(Database!$F:$I,CONCATENATE(AR$16,$B41,"L"))+COUNTIFS(Database!$F:$I,CONCATENATE($B41,AR$16,"W"))+COUNTIFS(Database!$F:$I,CONCATENATE(AR$16,$B41,"W"))</f>
        <v>4</v>
      </c>
      <c r="AS41" s="123">
        <f>COUNTIFS(Database!$F:$I,CONCATENATE($B41,AS$16,"L"))+COUNTIFS(Database!$F:$I,CONCATENATE(AS$16,$B41,"L"))+COUNTIFS(Database!$F:$I,CONCATENATE($B41,AS$16,"W"))+COUNTIFS(Database!$F:$I,CONCATENATE(AS$16,$B41,"W"))</f>
        <v>0</v>
      </c>
      <c r="AT41" s="123">
        <f>COUNTIFS(Database!$F:$I,CONCATENATE($B41,AT$16,"L"))+COUNTIFS(Database!$F:$I,CONCATENATE(AT$16,$B41,"L"))+COUNTIFS(Database!$F:$I,CONCATENATE($B41,AT$16,"W"))+COUNTIFS(Database!$F:$I,CONCATENATE(AT$16,$B41,"W"))</f>
        <v>0</v>
      </c>
      <c r="AU41" s="123">
        <f>COUNTIFS(Database!$F:$I,CONCATENATE($B41,AU$16,"L"))+COUNTIFS(Database!$F:$I,CONCATENATE(AU$16,$B41,"L"))+COUNTIFS(Database!$F:$I,CONCATENATE($B41,AU$16,"W"))+COUNTIFS(Database!$F:$I,CONCATENATE(AU$16,$B41,"W"))</f>
        <v>0</v>
      </c>
      <c r="AV41" s="123">
        <f>COUNTIFS(Database!$F:$I,CONCATENATE($B41,AV$16,"L"))+COUNTIFS(Database!$F:$I,CONCATENATE(AV$16,$B41,"L"))+COUNTIFS(Database!$F:$I,CONCATENATE($B41,AV$16,"W"))+COUNTIFS(Database!$F:$I,CONCATENATE(AV$16,$B41,"W"))</f>
        <v>0</v>
      </c>
      <c r="AW41" s="123">
        <f>COUNTIFS(Database!$F:$I,CONCATENATE($B41,AW$16,"L"))+COUNTIFS(Database!$F:$I,CONCATENATE(AW$16,$B41,"L"))+COUNTIFS(Database!$F:$I,CONCATENATE($B41,AW$16,"W"))+COUNTIFS(Database!$F:$I,CONCATENATE(AW$16,$B41,"W"))</f>
        <v>1</v>
      </c>
      <c r="AX41" s="123">
        <f>COUNTIFS(Database!$F:$I,CONCATENATE($B41,AX$16,"L"))+COUNTIFS(Database!$F:$I,CONCATENATE(AX$16,$B41,"L"))+COUNTIFS(Database!$F:$I,CONCATENATE($B41,AX$16,"W"))+COUNTIFS(Database!$F:$I,CONCATENATE(AX$16,$B41,"W"))</f>
        <v>0</v>
      </c>
      <c r="AY41" s="123">
        <f>COUNTIFS(Database!$F:$I,CONCATENATE($B41,AY$16,"L"))+COUNTIFS(Database!$F:$I,CONCATENATE(AY$16,$B41,"L"))+COUNTIFS(Database!$F:$I,CONCATENATE($B41,AY$16,"W"))+COUNTIFS(Database!$F:$I,CONCATENATE(AY$16,$B41,"W"))</f>
        <v>1</v>
      </c>
    </row>
    <row r="42" spans="2:51" x14ac:dyDescent="0.25">
      <c r="B42" s="120" t="s">
        <v>46</v>
      </c>
      <c r="C42" s="123">
        <f>COUNTIFS(Database!$F:$I,CONCATENATE($B42,C$16,"L"))+COUNTIFS(Database!$F:$I,CONCATENATE(C$16,$B42,"L"))+COUNTIFS(Database!$F:$I,CONCATENATE($B42,C$16,"W"))+COUNTIFS(Database!$F:$I,CONCATENATE(C$16,$B42,"W"))</f>
        <v>16</v>
      </c>
      <c r="D42" s="123">
        <f>COUNTIFS(Database!$F:$I,CONCATENATE($B42,D$16,"L"))+COUNTIFS(Database!$F:$I,CONCATENATE(D$16,$B42,"L"))+COUNTIFS(Database!$F:$I,CONCATENATE($B42,D$16,"W"))+COUNTIFS(Database!$F:$I,CONCATENATE(D$16,$B42,"W"))</f>
        <v>0</v>
      </c>
      <c r="E42" s="123">
        <f>COUNTIFS(Database!$F:$I,CONCATENATE($B42,E$16,"L"))+COUNTIFS(Database!$F:$I,CONCATENATE(E$16,$B42,"L"))+COUNTIFS(Database!$F:$I,CONCATENATE($B42,E$16,"W"))+COUNTIFS(Database!$F:$I,CONCATENATE(E$16,$B42,"W"))</f>
        <v>5</v>
      </c>
      <c r="F42" s="123">
        <f>COUNTIFS(Database!$F:$I,CONCATENATE($B42,F$16,"L"))+COUNTIFS(Database!$F:$I,CONCATENATE(F$16,$B42,"L"))+COUNTIFS(Database!$F:$I,CONCATENATE($B42,F$16,"W"))+COUNTIFS(Database!$F:$I,CONCATENATE(F$16,$B42,"W"))</f>
        <v>7</v>
      </c>
      <c r="G42" s="123">
        <f>COUNTIFS(Database!$F:$I,CONCATENATE($B42,G$16,"L"))+COUNTIFS(Database!$F:$I,CONCATENATE(G$16,$B42,"L"))+COUNTIFS(Database!$F:$I,CONCATENATE($B42,G$16,"W"))+COUNTIFS(Database!$F:$I,CONCATENATE(G$16,$B42,"W"))</f>
        <v>1</v>
      </c>
      <c r="H42" s="123">
        <f>COUNTIFS(Database!$F:$I,CONCATENATE($B42,H$16,"L"))+COUNTIFS(Database!$F:$I,CONCATENATE(H$16,$B42,"L"))+COUNTIFS(Database!$F:$I,CONCATENATE($B42,H$16,"W"))+COUNTIFS(Database!$F:$I,CONCATENATE(H$16,$B42,"W"))</f>
        <v>1</v>
      </c>
      <c r="I42" s="123">
        <f>COUNTIFS(Database!$F:$I,CONCATENATE($B42,I$16,"L"))+COUNTIFS(Database!$F:$I,CONCATENATE(I$16,$B42,"L"))+COUNTIFS(Database!$F:$I,CONCATENATE($B42,I$16,"W"))+COUNTIFS(Database!$F:$I,CONCATENATE(I$16,$B42,"W"))</f>
        <v>2</v>
      </c>
      <c r="J42" s="123">
        <f>COUNTIFS(Database!$F:$I,CONCATENATE($B42,J$16,"L"))+COUNTIFS(Database!$F:$I,CONCATENATE(J$16,$B42,"L"))+COUNTIFS(Database!$F:$I,CONCATENATE($B42,J$16,"W"))+COUNTIFS(Database!$F:$I,CONCATENATE(J$16,$B42,"W"))</f>
        <v>4</v>
      </c>
      <c r="K42" s="123">
        <f>COUNTIFS(Database!$F:$I,CONCATENATE($B42,K$16,"L"))+COUNTIFS(Database!$F:$I,CONCATENATE(K$16,$B42,"L"))+COUNTIFS(Database!$F:$I,CONCATENATE($B42,K$16,"W"))+COUNTIFS(Database!$F:$I,CONCATENATE(K$16,$B42,"W"))</f>
        <v>8</v>
      </c>
      <c r="L42" s="123">
        <f>COUNTIFS(Database!$F:$I,CONCATENATE($B42,L$16,"L"))+COUNTIFS(Database!$F:$I,CONCATENATE(L$16,$B42,"L"))+COUNTIFS(Database!$F:$I,CONCATENATE($B42,L$16,"W"))+COUNTIFS(Database!$F:$I,CONCATENATE(L$16,$B42,"W"))</f>
        <v>3</v>
      </c>
      <c r="M42" s="123">
        <f>COUNTIFS(Database!$F:$I,CONCATENATE($B42,M$16,"L"))+COUNTIFS(Database!$F:$I,CONCATENATE(M$16,$B42,"L"))+COUNTIFS(Database!$F:$I,CONCATENATE($B42,M$16,"W"))+COUNTIFS(Database!$F:$I,CONCATENATE(M$16,$B42,"W"))</f>
        <v>1</v>
      </c>
      <c r="N42" s="123">
        <f>COUNTIFS(Database!$F:$I,CONCATENATE($B42,N$16,"L"))+COUNTIFS(Database!$F:$I,CONCATENATE(N$16,$B42,"L"))+COUNTIFS(Database!$F:$I,CONCATENATE($B42,N$16,"W"))+COUNTIFS(Database!$F:$I,CONCATENATE(N$16,$B42,"W"))</f>
        <v>5</v>
      </c>
      <c r="O42" s="123">
        <f>COUNTIFS(Database!$F:$I,CONCATENATE($B42,O$16,"L"))+COUNTIFS(Database!$F:$I,CONCATENATE(O$16,$B42,"L"))+COUNTIFS(Database!$F:$I,CONCATENATE($B42,O$16,"W"))+COUNTIFS(Database!$F:$I,CONCATENATE(O$16,$B42,"W"))</f>
        <v>8</v>
      </c>
      <c r="P42" s="123">
        <f>COUNTIFS(Database!$F:$I,CONCATENATE($B42,P$16,"L"))+COUNTIFS(Database!$F:$I,CONCATENATE(P$16,$B42,"L"))+COUNTIFS(Database!$F:$I,CONCATENATE($B42,P$16,"W"))+COUNTIFS(Database!$F:$I,CONCATENATE(P$16,$B42,"W"))</f>
        <v>2</v>
      </c>
      <c r="Q42" s="123">
        <f>COUNTIFS(Database!$F:$I,CONCATENATE($B42,Q$16,"L"))+COUNTIFS(Database!$F:$I,CONCATENATE(Q$16,$B42,"L"))+COUNTIFS(Database!$F:$I,CONCATENATE($B42,Q$16,"W"))+COUNTIFS(Database!$F:$I,CONCATENATE(Q$16,$B42,"W"))</f>
        <v>0</v>
      </c>
      <c r="R42" s="123">
        <f>COUNTIFS(Database!$F:$I,CONCATENATE($B42,R$16,"L"))+COUNTIFS(Database!$F:$I,CONCATENATE(R$16,$B42,"L"))+COUNTIFS(Database!$F:$I,CONCATENATE($B42,R$16,"W"))+COUNTIFS(Database!$F:$I,CONCATENATE(R$16,$B42,"W"))</f>
        <v>1</v>
      </c>
      <c r="S42" s="123">
        <f>COUNTIFS(Database!$F:$I,CONCATENATE($B42,S$16,"L"))+COUNTIFS(Database!$F:$I,CONCATENATE(S$16,$B42,"L"))+COUNTIFS(Database!$F:$I,CONCATENATE($B42,S$16,"W"))+COUNTIFS(Database!$F:$I,CONCATENATE(S$16,$B42,"W"))</f>
        <v>2</v>
      </c>
      <c r="T42" s="123">
        <f>COUNTIFS(Database!$F:$I,CONCATENATE($B42,T$16,"L"))+COUNTIFS(Database!$F:$I,CONCATENATE(T$16,$B42,"L"))+COUNTIFS(Database!$F:$I,CONCATENATE($B42,T$16,"W"))+COUNTIFS(Database!$F:$I,CONCATENATE(T$16,$B42,"W"))</f>
        <v>2</v>
      </c>
      <c r="U42" s="123">
        <f>COUNTIFS(Database!$F:$I,CONCATENATE($B42,U$16,"L"))+COUNTIFS(Database!$F:$I,CONCATENATE(U$16,$B42,"L"))+COUNTIFS(Database!$F:$I,CONCATENATE($B42,U$16,"W"))+COUNTIFS(Database!$F:$I,CONCATENATE(U$16,$B42,"W"))</f>
        <v>0</v>
      </c>
      <c r="V42" s="123">
        <f>COUNTIFS(Database!$F:$I,CONCATENATE($B42,V$16,"L"))+COUNTIFS(Database!$F:$I,CONCATENATE(V$16,$B42,"L"))+COUNTIFS(Database!$F:$I,CONCATENATE($B42,V$16,"W"))+COUNTIFS(Database!$F:$I,CONCATENATE(V$16,$B42,"W"))</f>
        <v>0</v>
      </c>
      <c r="W42" s="123">
        <f>COUNTIFS(Database!$F:$I,CONCATENATE($B42,W$16,"L"))+COUNTIFS(Database!$F:$I,CONCATENATE(W$16,$B42,"L"))+COUNTIFS(Database!$F:$I,CONCATENATE($B42,W$16,"W"))+COUNTIFS(Database!$F:$I,CONCATENATE(W$16,$B42,"W"))</f>
        <v>10</v>
      </c>
      <c r="X42" s="123">
        <f>COUNTIFS(Database!$F:$I,CONCATENATE($B42,X$16,"L"))+COUNTIFS(Database!$F:$I,CONCATENATE(X$16,$B42,"L"))+COUNTIFS(Database!$F:$I,CONCATENATE($B42,X$16,"W"))+COUNTIFS(Database!$F:$I,CONCATENATE(X$16,$B42,"W"))</f>
        <v>0</v>
      </c>
      <c r="Y42" s="123">
        <f>COUNTIFS(Database!$F:$I,CONCATENATE($B42,Y$16,"L"))+COUNTIFS(Database!$F:$I,CONCATENATE(Y$16,$B42,"L"))+COUNTIFS(Database!$F:$I,CONCATENATE($B42,Y$16,"W"))+COUNTIFS(Database!$F:$I,CONCATENATE(Y$16,$B42,"W"))</f>
        <v>2</v>
      </c>
      <c r="Z42" s="123">
        <f>COUNTIFS(Database!$F:$I,CONCATENATE($B42,Z$16,"L"))+COUNTIFS(Database!$F:$I,CONCATENATE(Z$16,$B42,"L"))+COUNTIFS(Database!$F:$I,CONCATENATE($B42,Z$16,"W"))+COUNTIFS(Database!$F:$I,CONCATENATE(Z$16,$B42,"W"))</f>
        <v>1</v>
      </c>
      <c r="AA42" s="123">
        <f>COUNTIFS(Database!$F:$I,CONCATENATE($B42,AA$16,"L"))+COUNTIFS(Database!$F:$I,CONCATENATE(AA$16,$B42,"L"))+COUNTIFS(Database!$F:$I,CONCATENATE($B42,AA$16,"W"))+COUNTIFS(Database!$F:$I,CONCATENATE(AA$16,$B42,"W"))</f>
        <v>0</v>
      </c>
      <c r="AB42" s="123">
        <f>COUNTIFS(Database!$F:$I,CONCATENATE($B42,AB$16,"L"))+COUNTIFS(Database!$F:$I,CONCATENATE(AB$16,$B42,"L"))+COUNTIFS(Database!$F:$I,CONCATENATE($B42,AB$16,"W"))+COUNTIFS(Database!$F:$I,CONCATENATE(AB$16,$B42,"W"))</f>
        <v>0</v>
      </c>
      <c r="AC42" s="123">
        <f>COUNTIFS(Database!$F:$I,CONCATENATE($B42,AC$16,"L"))+COUNTIFS(Database!$F:$I,CONCATENATE(AC$16,$B42,"L"))+COUNTIFS(Database!$F:$I,CONCATENATE($B42,AC$16,"W"))+COUNTIFS(Database!$F:$I,CONCATENATE(AC$16,$B42,"W"))</f>
        <v>8</v>
      </c>
      <c r="AD42" s="123">
        <f>COUNTIFS(Database!$F:$I,CONCATENATE($B42,AD$16,"L"))+COUNTIFS(Database!$F:$I,CONCATENATE(AD$16,$B42,"L"))+COUNTIFS(Database!$F:$I,CONCATENATE($B42,AD$16,"W"))+COUNTIFS(Database!$F:$I,CONCATENATE(AD$16,$B42,"W"))</f>
        <v>0</v>
      </c>
      <c r="AE42" s="123">
        <f>COUNTIFS(Database!$F:$I,CONCATENATE($B42,AE$16,"L"))+COUNTIFS(Database!$F:$I,CONCATENATE(AE$16,$B42,"L"))+COUNTIFS(Database!$F:$I,CONCATENATE($B42,AE$16,"W"))+COUNTIFS(Database!$F:$I,CONCATENATE(AE$16,$B42,"W"))</f>
        <v>1</v>
      </c>
      <c r="AF42" s="123">
        <f>COUNTIFS(Database!$F:$I,CONCATENATE($B42,AF$16,"L"))+COUNTIFS(Database!$F:$I,CONCATENATE(AF$16,$B42,"L"))+COUNTIFS(Database!$F:$I,CONCATENATE($B42,AF$16,"W"))+COUNTIFS(Database!$F:$I,CONCATENATE(AF$16,$B42,"W"))</f>
        <v>0</v>
      </c>
      <c r="AG42" s="123">
        <f>COUNTIFS(Database!$F:$I,CONCATENATE($B42,AG$16,"L"))+COUNTIFS(Database!$F:$I,CONCATENATE(AG$16,$B42,"L"))+COUNTIFS(Database!$F:$I,CONCATENATE($B42,AG$16,"W"))+COUNTIFS(Database!$F:$I,CONCATENATE(AG$16,$B42,"W"))</f>
        <v>1</v>
      </c>
      <c r="AH42" s="123">
        <f>COUNTIFS(Database!$F:$I,CONCATENATE($B42,AH$16,"L"))+COUNTIFS(Database!$F:$I,CONCATENATE(AH$16,$B42,"L"))+COUNTIFS(Database!$F:$I,CONCATENATE($B42,AH$16,"W"))+COUNTIFS(Database!$F:$I,CONCATENATE(AH$16,$B42,"W"))</f>
        <v>1</v>
      </c>
      <c r="AI42" s="123">
        <f>COUNTIFS(Database!$F:$I,CONCATENATE($B42,AI$16,"L"))+COUNTIFS(Database!$F:$I,CONCATENATE(AI$16,$B42,"L"))+COUNTIFS(Database!$F:$I,CONCATENATE($B42,AI$16,"W"))+COUNTIFS(Database!$F:$I,CONCATENATE(AI$16,$B42,"W"))</f>
        <v>1</v>
      </c>
      <c r="AJ42" s="123">
        <f>COUNTIFS(Database!$F:$I,CONCATENATE($B42,AJ$16,"L"))+COUNTIFS(Database!$F:$I,CONCATENATE(AJ$16,$B42,"L"))+COUNTIFS(Database!$F:$I,CONCATENATE($B42,AJ$16,"W"))+COUNTIFS(Database!$F:$I,CONCATENATE(AJ$16,$B42,"W"))</f>
        <v>2</v>
      </c>
      <c r="AK42" s="123">
        <f>COUNTIFS(Database!$F:$I,CONCATENATE($B42,AK$16,"L"))+COUNTIFS(Database!$F:$I,CONCATENATE(AK$16,$B42,"L"))+COUNTIFS(Database!$F:$I,CONCATENATE($B42,AK$16,"W"))+COUNTIFS(Database!$F:$I,CONCATENATE(AK$16,$B42,"W"))</f>
        <v>3</v>
      </c>
      <c r="AL42" s="123">
        <f>COUNTIFS(Database!$F:$I,CONCATENATE($B42,AL$16,"L"))+COUNTIFS(Database!$F:$I,CONCATENATE(AL$16,$B42,"L"))+COUNTIFS(Database!$F:$I,CONCATENATE($B42,AL$16,"W"))+COUNTIFS(Database!$F:$I,CONCATENATE(AL$16,$B42,"W"))</f>
        <v>2</v>
      </c>
      <c r="AM42" s="123">
        <f>COUNTIFS(Database!$F:$I,CONCATENATE($B42,AM$16,"L"))+COUNTIFS(Database!$F:$I,CONCATENATE(AM$16,$B42,"L"))+COUNTIFS(Database!$F:$I,CONCATENATE($B42,AM$16,"W"))+COUNTIFS(Database!$F:$I,CONCATENATE(AM$16,$B42,"W"))</f>
        <v>0</v>
      </c>
      <c r="AN42" s="123">
        <f>COUNTIFS(Database!$F:$I,CONCATENATE($B42,AN$16,"L"))+COUNTIFS(Database!$F:$I,CONCATENATE(AN$16,$B42,"L"))+COUNTIFS(Database!$F:$I,CONCATENATE($B42,AN$16,"W"))+COUNTIFS(Database!$F:$I,CONCATENATE(AN$16,$B42,"W"))</f>
        <v>0</v>
      </c>
      <c r="AO42" s="123">
        <f>COUNTIFS(Database!$F:$I,CONCATENATE($B42,AO$16,"L"))+COUNTIFS(Database!$F:$I,CONCATENATE(AO$16,$B42,"L"))+COUNTIFS(Database!$F:$I,CONCATENATE($B42,AO$16,"W"))+COUNTIFS(Database!$F:$I,CONCATENATE(AO$16,$B42,"W"))</f>
        <v>5</v>
      </c>
      <c r="AP42" s="123">
        <f>COUNTIFS(Database!$F:$I,CONCATENATE($B42,AP$16,"L"))+COUNTIFS(Database!$F:$I,CONCATENATE(AP$16,$B42,"L"))+COUNTIFS(Database!$F:$I,CONCATENATE($B42,AP$16,"W"))+COUNTIFS(Database!$F:$I,CONCATENATE(AP$16,$B42,"W"))</f>
        <v>1</v>
      </c>
      <c r="AQ42" s="123">
        <f>COUNTIFS(Database!$F:$I,CONCATENATE($B42,AQ$16,"L"))+COUNTIFS(Database!$F:$I,CONCATENATE(AQ$16,$B42,"L"))+COUNTIFS(Database!$F:$I,CONCATENATE($B42,AQ$16,"W"))+COUNTIFS(Database!$F:$I,CONCATENATE(AQ$16,$B42,"W"))</f>
        <v>2</v>
      </c>
      <c r="AR42" s="123">
        <f>COUNTIFS(Database!$F:$I,CONCATENATE($B42,AR$16,"L"))+COUNTIFS(Database!$F:$I,CONCATENATE(AR$16,$B42,"L"))+COUNTIFS(Database!$F:$I,CONCATENATE($B42,AR$16,"W"))+COUNTIFS(Database!$F:$I,CONCATENATE(AR$16,$B42,"W"))</f>
        <v>7</v>
      </c>
      <c r="AS42" s="123">
        <f>COUNTIFS(Database!$F:$I,CONCATENATE($B42,AS$16,"L"))+COUNTIFS(Database!$F:$I,CONCATENATE(AS$16,$B42,"L"))+COUNTIFS(Database!$F:$I,CONCATENATE($B42,AS$16,"W"))+COUNTIFS(Database!$F:$I,CONCATENATE(AS$16,$B42,"W"))</f>
        <v>0</v>
      </c>
      <c r="AT42" s="123">
        <f>COUNTIFS(Database!$F:$I,CONCATENATE($B42,AT$16,"L"))+COUNTIFS(Database!$F:$I,CONCATENATE(AT$16,$B42,"L"))+COUNTIFS(Database!$F:$I,CONCATENATE($B42,AT$16,"W"))+COUNTIFS(Database!$F:$I,CONCATENATE(AT$16,$B42,"W"))</f>
        <v>0</v>
      </c>
      <c r="AU42" s="123">
        <f>COUNTIFS(Database!$F:$I,CONCATENATE($B42,AU$16,"L"))+COUNTIFS(Database!$F:$I,CONCATENATE(AU$16,$B42,"L"))+COUNTIFS(Database!$F:$I,CONCATENATE($B42,AU$16,"W"))+COUNTIFS(Database!$F:$I,CONCATENATE(AU$16,$B42,"W"))</f>
        <v>4</v>
      </c>
      <c r="AV42" s="123">
        <f>COUNTIFS(Database!$F:$I,CONCATENATE($B42,AV$16,"L"))+COUNTIFS(Database!$F:$I,CONCATENATE(AV$16,$B42,"L"))+COUNTIFS(Database!$F:$I,CONCATENATE($B42,AV$16,"W"))+COUNTIFS(Database!$F:$I,CONCATENATE(AV$16,$B42,"W"))</f>
        <v>1</v>
      </c>
      <c r="AW42" s="123">
        <f>COUNTIFS(Database!$F:$I,CONCATENATE($B42,AW$16,"L"))+COUNTIFS(Database!$F:$I,CONCATENATE(AW$16,$B42,"L"))+COUNTIFS(Database!$F:$I,CONCATENATE($B42,AW$16,"W"))+COUNTIFS(Database!$F:$I,CONCATENATE(AW$16,$B42,"W"))</f>
        <v>8</v>
      </c>
      <c r="AX42" s="123">
        <f>COUNTIFS(Database!$F:$I,CONCATENATE($B42,AX$16,"L"))+COUNTIFS(Database!$F:$I,CONCATENATE(AX$16,$B42,"L"))+COUNTIFS(Database!$F:$I,CONCATENATE($B42,AX$16,"W"))+COUNTIFS(Database!$F:$I,CONCATENATE(AX$16,$B42,"W"))</f>
        <v>1</v>
      </c>
      <c r="AY42" s="123">
        <f>COUNTIFS(Database!$F:$I,CONCATENATE($B42,AY$16,"L"))+COUNTIFS(Database!$F:$I,CONCATENATE(AY$16,$B42,"L"))+COUNTIFS(Database!$F:$I,CONCATENATE($B42,AY$16,"W"))+COUNTIFS(Database!$F:$I,CONCATENATE(AY$16,$B42,"W"))</f>
        <v>3</v>
      </c>
    </row>
    <row r="43" spans="2:51" x14ac:dyDescent="0.25">
      <c r="B43" s="120" t="s">
        <v>58</v>
      </c>
      <c r="C43" s="123">
        <f>COUNTIFS(Database!$F:$I,CONCATENATE($B43,C$16,"L"))+COUNTIFS(Database!$F:$I,CONCATENATE(C$16,$B43,"L"))+COUNTIFS(Database!$F:$I,CONCATENATE($B43,C$16,"W"))+COUNTIFS(Database!$F:$I,CONCATENATE(C$16,$B43,"W"))</f>
        <v>11</v>
      </c>
      <c r="D43" s="123">
        <f>COUNTIFS(Database!$F:$I,CONCATENATE($B43,D$16,"L"))+COUNTIFS(Database!$F:$I,CONCATENATE(D$16,$B43,"L"))+COUNTIFS(Database!$F:$I,CONCATENATE($B43,D$16,"W"))+COUNTIFS(Database!$F:$I,CONCATENATE(D$16,$B43,"W"))</f>
        <v>1</v>
      </c>
      <c r="E43" s="123">
        <f>COUNTIFS(Database!$F:$I,CONCATENATE($B43,E$16,"L"))+COUNTIFS(Database!$F:$I,CONCATENATE(E$16,$B43,"L"))+COUNTIFS(Database!$F:$I,CONCATENATE($B43,E$16,"W"))+COUNTIFS(Database!$F:$I,CONCATENATE(E$16,$B43,"W"))</f>
        <v>10</v>
      </c>
      <c r="F43" s="123">
        <f>COUNTIFS(Database!$F:$I,CONCATENATE($B43,F$16,"L"))+COUNTIFS(Database!$F:$I,CONCATENATE(F$16,$B43,"L"))+COUNTIFS(Database!$F:$I,CONCATENATE($B43,F$16,"W"))+COUNTIFS(Database!$F:$I,CONCATENATE(F$16,$B43,"W"))</f>
        <v>5</v>
      </c>
      <c r="G43" s="123">
        <f>COUNTIFS(Database!$F:$I,CONCATENATE($B43,G$16,"L"))+COUNTIFS(Database!$F:$I,CONCATENATE(G$16,$B43,"L"))+COUNTIFS(Database!$F:$I,CONCATENATE($B43,G$16,"W"))+COUNTIFS(Database!$F:$I,CONCATENATE(G$16,$B43,"W"))</f>
        <v>0</v>
      </c>
      <c r="H43" s="123">
        <f>COUNTIFS(Database!$F:$I,CONCATENATE($B43,H$16,"L"))+COUNTIFS(Database!$F:$I,CONCATENATE(H$16,$B43,"L"))+COUNTIFS(Database!$F:$I,CONCATENATE($B43,H$16,"W"))+COUNTIFS(Database!$F:$I,CONCATENATE(H$16,$B43,"W"))</f>
        <v>0</v>
      </c>
      <c r="I43" s="123">
        <f>COUNTIFS(Database!$F:$I,CONCATENATE($B43,I$16,"L"))+COUNTIFS(Database!$F:$I,CONCATENATE(I$16,$B43,"L"))+COUNTIFS(Database!$F:$I,CONCATENATE($B43,I$16,"W"))+COUNTIFS(Database!$F:$I,CONCATENATE(I$16,$B43,"W"))</f>
        <v>0</v>
      </c>
      <c r="J43" s="123">
        <f>COUNTIFS(Database!$F:$I,CONCATENATE($B43,J$16,"L"))+COUNTIFS(Database!$F:$I,CONCATENATE(J$16,$B43,"L"))+COUNTIFS(Database!$F:$I,CONCATENATE($B43,J$16,"W"))+COUNTIFS(Database!$F:$I,CONCATENATE(J$16,$B43,"W"))</f>
        <v>2</v>
      </c>
      <c r="K43" s="123">
        <f>COUNTIFS(Database!$F:$I,CONCATENATE($B43,K$16,"L"))+COUNTIFS(Database!$F:$I,CONCATENATE(K$16,$B43,"L"))+COUNTIFS(Database!$F:$I,CONCATENATE($B43,K$16,"W"))+COUNTIFS(Database!$F:$I,CONCATENATE(K$16,$B43,"W"))</f>
        <v>7</v>
      </c>
      <c r="L43" s="123">
        <f>COUNTIFS(Database!$F:$I,CONCATENATE($B43,L$16,"L"))+COUNTIFS(Database!$F:$I,CONCATENATE(L$16,$B43,"L"))+COUNTIFS(Database!$F:$I,CONCATENATE($B43,L$16,"W"))+COUNTIFS(Database!$F:$I,CONCATENATE(L$16,$B43,"W"))</f>
        <v>1</v>
      </c>
      <c r="M43" s="123">
        <f>COUNTIFS(Database!$F:$I,CONCATENATE($B43,M$16,"L"))+COUNTIFS(Database!$F:$I,CONCATENATE(M$16,$B43,"L"))+COUNTIFS(Database!$F:$I,CONCATENATE($B43,M$16,"W"))+COUNTIFS(Database!$F:$I,CONCATENATE(M$16,$B43,"W"))</f>
        <v>0</v>
      </c>
      <c r="N43" s="123">
        <f>COUNTIFS(Database!$F:$I,CONCATENATE($B43,N$16,"L"))+COUNTIFS(Database!$F:$I,CONCATENATE(N$16,$B43,"L"))+COUNTIFS(Database!$F:$I,CONCATENATE($B43,N$16,"W"))+COUNTIFS(Database!$F:$I,CONCATENATE(N$16,$B43,"W"))</f>
        <v>3</v>
      </c>
      <c r="O43" s="123">
        <f>COUNTIFS(Database!$F:$I,CONCATENATE($B43,O$16,"L"))+COUNTIFS(Database!$F:$I,CONCATENATE(O$16,$B43,"L"))+COUNTIFS(Database!$F:$I,CONCATENATE($B43,O$16,"W"))+COUNTIFS(Database!$F:$I,CONCATENATE(O$16,$B43,"W"))</f>
        <v>8</v>
      </c>
      <c r="P43" s="123">
        <f>COUNTIFS(Database!$F:$I,CONCATENATE($B43,P$16,"L"))+COUNTIFS(Database!$F:$I,CONCATENATE(P$16,$B43,"L"))+COUNTIFS(Database!$F:$I,CONCATENATE($B43,P$16,"W"))+COUNTIFS(Database!$F:$I,CONCATENATE(P$16,$B43,"W"))</f>
        <v>0</v>
      </c>
      <c r="Q43" s="123">
        <f>COUNTIFS(Database!$F:$I,CONCATENATE($B43,Q$16,"L"))+COUNTIFS(Database!$F:$I,CONCATENATE(Q$16,$B43,"L"))+COUNTIFS(Database!$F:$I,CONCATENATE($B43,Q$16,"W"))+COUNTIFS(Database!$F:$I,CONCATENATE(Q$16,$B43,"W"))</f>
        <v>1</v>
      </c>
      <c r="R43" s="123">
        <f>COUNTIFS(Database!$F:$I,CONCATENATE($B43,R$16,"L"))+COUNTIFS(Database!$F:$I,CONCATENATE(R$16,$B43,"L"))+COUNTIFS(Database!$F:$I,CONCATENATE($B43,R$16,"W"))+COUNTIFS(Database!$F:$I,CONCATENATE(R$16,$B43,"W"))</f>
        <v>0</v>
      </c>
      <c r="S43" s="123">
        <f>COUNTIFS(Database!$F:$I,CONCATENATE($B43,S$16,"L"))+COUNTIFS(Database!$F:$I,CONCATENATE(S$16,$B43,"L"))+COUNTIFS(Database!$F:$I,CONCATENATE($B43,S$16,"W"))+COUNTIFS(Database!$F:$I,CONCATENATE(S$16,$B43,"W"))</f>
        <v>2</v>
      </c>
      <c r="T43" s="123">
        <f>COUNTIFS(Database!$F:$I,CONCATENATE($B43,T$16,"L"))+COUNTIFS(Database!$F:$I,CONCATENATE(T$16,$B43,"L"))+COUNTIFS(Database!$F:$I,CONCATENATE($B43,T$16,"W"))+COUNTIFS(Database!$F:$I,CONCATENATE(T$16,$B43,"W"))</f>
        <v>2</v>
      </c>
      <c r="U43" s="123">
        <f>COUNTIFS(Database!$F:$I,CONCATENATE($B43,U$16,"L"))+COUNTIFS(Database!$F:$I,CONCATENATE(U$16,$B43,"L"))+COUNTIFS(Database!$F:$I,CONCATENATE($B43,U$16,"W"))+COUNTIFS(Database!$F:$I,CONCATENATE(U$16,$B43,"W"))</f>
        <v>2</v>
      </c>
      <c r="V43" s="123">
        <f>COUNTIFS(Database!$F:$I,CONCATENATE($B43,V$16,"L"))+COUNTIFS(Database!$F:$I,CONCATENATE(V$16,$B43,"L"))+COUNTIFS(Database!$F:$I,CONCATENATE($B43,V$16,"W"))+COUNTIFS(Database!$F:$I,CONCATENATE(V$16,$B43,"W"))</f>
        <v>1</v>
      </c>
      <c r="W43" s="123">
        <f>COUNTIFS(Database!$F:$I,CONCATENATE($B43,W$16,"L"))+COUNTIFS(Database!$F:$I,CONCATENATE(W$16,$B43,"L"))+COUNTIFS(Database!$F:$I,CONCATENATE($B43,W$16,"W"))+COUNTIFS(Database!$F:$I,CONCATENATE(W$16,$B43,"W"))</f>
        <v>6</v>
      </c>
      <c r="X43" s="123">
        <f>COUNTIFS(Database!$F:$I,CONCATENATE($B43,X$16,"L"))+COUNTIFS(Database!$F:$I,CONCATENATE(X$16,$B43,"L"))+COUNTIFS(Database!$F:$I,CONCATENATE($B43,X$16,"W"))+COUNTIFS(Database!$F:$I,CONCATENATE(X$16,$B43,"W"))</f>
        <v>2</v>
      </c>
      <c r="Y43" s="123">
        <f>COUNTIFS(Database!$F:$I,CONCATENATE($B43,Y$16,"L"))+COUNTIFS(Database!$F:$I,CONCATENATE(Y$16,$B43,"L"))+COUNTIFS(Database!$F:$I,CONCATENATE($B43,Y$16,"W"))+COUNTIFS(Database!$F:$I,CONCATENATE(Y$16,$B43,"W"))</f>
        <v>4</v>
      </c>
      <c r="Z43" s="123">
        <f>COUNTIFS(Database!$F:$I,CONCATENATE($B43,Z$16,"L"))+COUNTIFS(Database!$F:$I,CONCATENATE(Z$16,$B43,"L"))+COUNTIFS(Database!$F:$I,CONCATENATE($B43,Z$16,"W"))+COUNTIFS(Database!$F:$I,CONCATENATE(Z$16,$B43,"W"))</f>
        <v>2</v>
      </c>
      <c r="AA43" s="123">
        <f>COUNTIFS(Database!$F:$I,CONCATENATE($B43,AA$16,"L"))+COUNTIFS(Database!$F:$I,CONCATENATE(AA$16,$B43,"L"))+COUNTIFS(Database!$F:$I,CONCATENATE($B43,AA$16,"W"))+COUNTIFS(Database!$F:$I,CONCATENATE(AA$16,$B43,"W"))</f>
        <v>2</v>
      </c>
      <c r="AB43" s="123">
        <f>COUNTIFS(Database!$F:$I,CONCATENATE($B43,AB$16,"L"))+COUNTIFS(Database!$F:$I,CONCATENATE(AB$16,$B43,"L"))+COUNTIFS(Database!$F:$I,CONCATENATE($B43,AB$16,"W"))+COUNTIFS(Database!$F:$I,CONCATENATE(AB$16,$B43,"W"))</f>
        <v>8</v>
      </c>
      <c r="AC43" s="123">
        <f>COUNTIFS(Database!$F:$I,CONCATENATE($B43,AC$16,"L"))+COUNTIFS(Database!$F:$I,CONCATENATE(AC$16,$B43,"L"))+COUNTIFS(Database!$F:$I,CONCATENATE($B43,AC$16,"W"))+COUNTIFS(Database!$F:$I,CONCATENATE(AC$16,$B43,"W"))</f>
        <v>0</v>
      </c>
      <c r="AD43" s="123">
        <f>COUNTIFS(Database!$F:$I,CONCATENATE($B43,AD$16,"L"))+COUNTIFS(Database!$F:$I,CONCATENATE(AD$16,$B43,"L"))+COUNTIFS(Database!$F:$I,CONCATENATE($B43,AD$16,"W"))+COUNTIFS(Database!$F:$I,CONCATENATE(AD$16,$B43,"W"))</f>
        <v>1</v>
      </c>
      <c r="AE43" s="123">
        <f>COUNTIFS(Database!$F:$I,CONCATENATE($B43,AE$16,"L"))+COUNTIFS(Database!$F:$I,CONCATENATE(AE$16,$B43,"L"))+COUNTIFS(Database!$F:$I,CONCATENATE($B43,AE$16,"W"))+COUNTIFS(Database!$F:$I,CONCATENATE(AE$16,$B43,"W"))</f>
        <v>0</v>
      </c>
      <c r="AF43" s="123">
        <f>COUNTIFS(Database!$F:$I,CONCATENATE($B43,AF$16,"L"))+COUNTIFS(Database!$F:$I,CONCATENATE(AF$16,$B43,"L"))+COUNTIFS(Database!$F:$I,CONCATENATE($B43,AF$16,"W"))+COUNTIFS(Database!$F:$I,CONCATENATE(AF$16,$B43,"W"))</f>
        <v>0</v>
      </c>
      <c r="AG43" s="123">
        <f>COUNTIFS(Database!$F:$I,CONCATENATE($B43,AG$16,"L"))+COUNTIFS(Database!$F:$I,CONCATENATE(AG$16,$B43,"L"))+COUNTIFS(Database!$F:$I,CONCATENATE($B43,AG$16,"W"))+COUNTIFS(Database!$F:$I,CONCATENATE(AG$16,$B43,"W"))</f>
        <v>2</v>
      </c>
      <c r="AH43" s="123">
        <f>COUNTIFS(Database!$F:$I,CONCATENATE($B43,AH$16,"L"))+COUNTIFS(Database!$F:$I,CONCATENATE(AH$16,$B43,"L"))+COUNTIFS(Database!$F:$I,CONCATENATE($B43,AH$16,"W"))+COUNTIFS(Database!$F:$I,CONCATENATE(AH$16,$B43,"W"))</f>
        <v>1</v>
      </c>
      <c r="AI43" s="123">
        <f>COUNTIFS(Database!$F:$I,CONCATENATE($B43,AI$16,"L"))+COUNTIFS(Database!$F:$I,CONCATENATE(AI$16,$B43,"L"))+COUNTIFS(Database!$F:$I,CONCATENATE($B43,AI$16,"W"))+COUNTIFS(Database!$F:$I,CONCATENATE(AI$16,$B43,"W"))</f>
        <v>4</v>
      </c>
      <c r="AJ43" s="123">
        <f>COUNTIFS(Database!$F:$I,CONCATENATE($B43,AJ$16,"L"))+COUNTIFS(Database!$F:$I,CONCATENATE(AJ$16,$B43,"L"))+COUNTIFS(Database!$F:$I,CONCATENATE($B43,AJ$16,"W"))+COUNTIFS(Database!$F:$I,CONCATENATE(AJ$16,$B43,"W"))</f>
        <v>4</v>
      </c>
      <c r="AK43" s="123">
        <f>COUNTIFS(Database!$F:$I,CONCATENATE($B43,AK$16,"L"))+COUNTIFS(Database!$F:$I,CONCATENATE(AK$16,$B43,"L"))+COUNTIFS(Database!$F:$I,CONCATENATE($B43,AK$16,"W"))+COUNTIFS(Database!$F:$I,CONCATENATE(AK$16,$B43,"W"))</f>
        <v>3</v>
      </c>
      <c r="AL43" s="123">
        <f>COUNTIFS(Database!$F:$I,CONCATENATE($B43,AL$16,"L"))+COUNTIFS(Database!$F:$I,CONCATENATE(AL$16,$B43,"L"))+COUNTIFS(Database!$F:$I,CONCATENATE($B43,AL$16,"W"))+COUNTIFS(Database!$F:$I,CONCATENATE(AL$16,$B43,"W"))</f>
        <v>2</v>
      </c>
      <c r="AM43" s="123">
        <f>COUNTIFS(Database!$F:$I,CONCATENATE($B43,AM$16,"L"))+COUNTIFS(Database!$F:$I,CONCATENATE(AM$16,$B43,"L"))+COUNTIFS(Database!$F:$I,CONCATENATE($B43,AM$16,"W"))+COUNTIFS(Database!$F:$I,CONCATENATE(AM$16,$B43,"W"))</f>
        <v>1</v>
      </c>
      <c r="AN43" s="123">
        <f>COUNTIFS(Database!$F:$I,CONCATENATE($B43,AN$16,"L"))+COUNTIFS(Database!$F:$I,CONCATENATE(AN$16,$B43,"L"))+COUNTIFS(Database!$F:$I,CONCATENATE($B43,AN$16,"W"))+COUNTIFS(Database!$F:$I,CONCATENATE(AN$16,$B43,"W"))</f>
        <v>0</v>
      </c>
      <c r="AO43" s="123">
        <f>COUNTIFS(Database!$F:$I,CONCATENATE($B43,AO$16,"L"))+COUNTIFS(Database!$F:$I,CONCATENATE(AO$16,$B43,"L"))+COUNTIFS(Database!$F:$I,CONCATENATE($B43,AO$16,"W"))+COUNTIFS(Database!$F:$I,CONCATENATE(AO$16,$B43,"W"))</f>
        <v>5</v>
      </c>
      <c r="AP43" s="123">
        <f>COUNTIFS(Database!$F:$I,CONCATENATE($B43,AP$16,"L"))+COUNTIFS(Database!$F:$I,CONCATENATE(AP$16,$B43,"L"))+COUNTIFS(Database!$F:$I,CONCATENATE($B43,AP$16,"W"))+COUNTIFS(Database!$F:$I,CONCATENATE(AP$16,$B43,"W"))</f>
        <v>0</v>
      </c>
      <c r="AQ43" s="123">
        <f>COUNTIFS(Database!$F:$I,CONCATENATE($B43,AQ$16,"L"))+COUNTIFS(Database!$F:$I,CONCATENATE(AQ$16,$B43,"L"))+COUNTIFS(Database!$F:$I,CONCATENATE($B43,AQ$16,"W"))+COUNTIFS(Database!$F:$I,CONCATENATE(AQ$16,$B43,"W"))</f>
        <v>4</v>
      </c>
      <c r="AR43" s="123">
        <f>COUNTIFS(Database!$F:$I,CONCATENATE($B43,AR$16,"L"))+COUNTIFS(Database!$F:$I,CONCATENATE(AR$16,$B43,"L"))+COUNTIFS(Database!$F:$I,CONCATENATE($B43,AR$16,"W"))+COUNTIFS(Database!$F:$I,CONCATENATE(AR$16,$B43,"W"))</f>
        <v>6</v>
      </c>
      <c r="AS43" s="123">
        <f>COUNTIFS(Database!$F:$I,CONCATENATE($B43,AS$16,"L"))+COUNTIFS(Database!$F:$I,CONCATENATE(AS$16,$B43,"L"))+COUNTIFS(Database!$F:$I,CONCATENATE($B43,AS$16,"W"))+COUNTIFS(Database!$F:$I,CONCATENATE(AS$16,$B43,"W"))</f>
        <v>0</v>
      </c>
      <c r="AT43" s="123">
        <f>COUNTIFS(Database!$F:$I,CONCATENATE($B43,AT$16,"L"))+COUNTIFS(Database!$F:$I,CONCATENATE(AT$16,$B43,"L"))+COUNTIFS(Database!$F:$I,CONCATENATE($B43,AT$16,"W"))+COUNTIFS(Database!$F:$I,CONCATENATE(AT$16,$B43,"W"))</f>
        <v>0</v>
      </c>
      <c r="AU43" s="123">
        <f>COUNTIFS(Database!$F:$I,CONCATENATE($B43,AU$16,"L"))+COUNTIFS(Database!$F:$I,CONCATENATE(AU$16,$B43,"L"))+COUNTIFS(Database!$F:$I,CONCATENATE($B43,AU$16,"W"))+COUNTIFS(Database!$F:$I,CONCATENATE(AU$16,$B43,"W"))</f>
        <v>5</v>
      </c>
      <c r="AV43" s="123">
        <f>COUNTIFS(Database!$F:$I,CONCATENATE($B43,AV$16,"L"))+COUNTIFS(Database!$F:$I,CONCATENATE(AV$16,$B43,"L"))+COUNTIFS(Database!$F:$I,CONCATENATE($B43,AV$16,"W"))+COUNTIFS(Database!$F:$I,CONCATENATE(AV$16,$B43,"W"))</f>
        <v>6</v>
      </c>
      <c r="AW43" s="123">
        <f>COUNTIFS(Database!$F:$I,CONCATENATE($B43,AW$16,"L"))+COUNTIFS(Database!$F:$I,CONCATENATE(AW$16,$B43,"L"))+COUNTIFS(Database!$F:$I,CONCATENATE($B43,AW$16,"W"))+COUNTIFS(Database!$F:$I,CONCATENATE(AW$16,$B43,"W"))</f>
        <v>9</v>
      </c>
      <c r="AX43" s="123">
        <f>COUNTIFS(Database!$F:$I,CONCATENATE($B43,AX$16,"L"))+COUNTIFS(Database!$F:$I,CONCATENATE(AX$16,$B43,"L"))+COUNTIFS(Database!$F:$I,CONCATENATE($B43,AX$16,"W"))+COUNTIFS(Database!$F:$I,CONCATENATE(AX$16,$B43,"W"))</f>
        <v>1</v>
      </c>
      <c r="AY43" s="123">
        <f>COUNTIFS(Database!$F:$I,CONCATENATE($B43,AY$16,"L"))+COUNTIFS(Database!$F:$I,CONCATENATE(AY$16,$B43,"L"))+COUNTIFS(Database!$F:$I,CONCATENATE($B43,AY$16,"W"))+COUNTIFS(Database!$F:$I,CONCATENATE(AY$16,$B43,"W"))</f>
        <v>4</v>
      </c>
    </row>
    <row r="44" spans="2:51" x14ac:dyDescent="0.25">
      <c r="B44" s="120" t="s">
        <v>38</v>
      </c>
      <c r="C44" s="123">
        <f>COUNTIFS(Database!$F:$I,CONCATENATE($B44,C$16,"L"))+COUNTIFS(Database!$F:$I,CONCATENATE(C$16,$B44,"L"))+COUNTIFS(Database!$F:$I,CONCATENATE($B44,C$16,"W"))+COUNTIFS(Database!$F:$I,CONCATENATE(C$16,$B44,"W"))</f>
        <v>1</v>
      </c>
      <c r="D44" s="123">
        <f>COUNTIFS(Database!$F:$I,CONCATENATE($B44,D$16,"L"))+COUNTIFS(Database!$F:$I,CONCATENATE(D$16,$B44,"L"))+COUNTIFS(Database!$F:$I,CONCATENATE($B44,D$16,"W"))+COUNTIFS(Database!$F:$I,CONCATENATE(D$16,$B44,"W"))</f>
        <v>0</v>
      </c>
      <c r="E44" s="123">
        <f>COUNTIFS(Database!$F:$I,CONCATENATE($B44,E$16,"L"))+COUNTIFS(Database!$F:$I,CONCATENATE(E$16,$B44,"L"))+COUNTIFS(Database!$F:$I,CONCATENATE($B44,E$16,"W"))+COUNTIFS(Database!$F:$I,CONCATENATE(E$16,$B44,"W"))</f>
        <v>0</v>
      </c>
      <c r="F44" s="123">
        <f>COUNTIFS(Database!$F:$I,CONCATENATE($B44,F$16,"L"))+COUNTIFS(Database!$F:$I,CONCATENATE(F$16,$B44,"L"))+COUNTIFS(Database!$F:$I,CONCATENATE($B44,F$16,"W"))+COUNTIFS(Database!$F:$I,CONCATENATE(F$16,$B44,"W"))</f>
        <v>2</v>
      </c>
      <c r="G44" s="123">
        <f>COUNTIFS(Database!$F:$I,CONCATENATE($B44,G$16,"L"))+COUNTIFS(Database!$F:$I,CONCATENATE(G$16,$B44,"L"))+COUNTIFS(Database!$F:$I,CONCATENATE($B44,G$16,"W"))+COUNTIFS(Database!$F:$I,CONCATENATE(G$16,$B44,"W"))</f>
        <v>1</v>
      </c>
      <c r="H44" s="123">
        <f>COUNTIFS(Database!$F:$I,CONCATENATE($B44,H$16,"L"))+COUNTIFS(Database!$F:$I,CONCATENATE(H$16,$B44,"L"))+COUNTIFS(Database!$F:$I,CONCATENATE($B44,H$16,"W"))+COUNTIFS(Database!$F:$I,CONCATENATE(H$16,$B44,"W"))</f>
        <v>0</v>
      </c>
      <c r="I44" s="123">
        <f>COUNTIFS(Database!$F:$I,CONCATENATE($B44,I$16,"L"))+COUNTIFS(Database!$F:$I,CONCATENATE(I$16,$B44,"L"))+COUNTIFS(Database!$F:$I,CONCATENATE($B44,I$16,"W"))+COUNTIFS(Database!$F:$I,CONCATENATE(I$16,$B44,"W"))</f>
        <v>3</v>
      </c>
      <c r="J44" s="123">
        <f>COUNTIFS(Database!$F:$I,CONCATENATE($B44,J$16,"L"))+COUNTIFS(Database!$F:$I,CONCATENATE(J$16,$B44,"L"))+COUNTIFS(Database!$F:$I,CONCATENATE($B44,J$16,"W"))+COUNTIFS(Database!$F:$I,CONCATENATE(J$16,$B44,"W"))</f>
        <v>1</v>
      </c>
      <c r="K44" s="123">
        <f>COUNTIFS(Database!$F:$I,CONCATENATE($B44,K$16,"L"))+COUNTIFS(Database!$F:$I,CONCATENATE(K$16,$B44,"L"))+COUNTIFS(Database!$F:$I,CONCATENATE($B44,K$16,"W"))+COUNTIFS(Database!$F:$I,CONCATENATE(K$16,$B44,"W"))</f>
        <v>0</v>
      </c>
      <c r="L44" s="123">
        <f>COUNTIFS(Database!$F:$I,CONCATENATE($B44,L$16,"L"))+COUNTIFS(Database!$F:$I,CONCATENATE(L$16,$B44,"L"))+COUNTIFS(Database!$F:$I,CONCATENATE($B44,L$16,"W"))+COUNTIFS(Database!$F:$I,CONCATENATE(L$16,$B44,"W"))</f>
        <v>0</v>
      </c>
      <c r="M44" s="123">
        <f>COUNTIFS(Database!$F:$I,CONCATENATE($B44,M$16,"L"))+COUNTIFS(Database!$F:$I,CONCATENATE(M$16,$B44,"L"))+COUNTIFS(Database!$F:$I,CONCATENATE($B44,M$16,"W"))+COUNTIFS(Database!$F:$I,CONCATENATE(M$16,$B44,"W"))</f>
        <v>0</v>
      </c>
      <c r="N44" s="123">
        <f>COUNTIFS(Database!$F:$I,CONCATENATE($B44,N$16,"L"))+COUNTIFS(Database!$F:$I,CONCATENATE(N$16,$B44,"L"))+COUNTIFS(Database!$F:$I,CONCATENATE($B44,N$16,"W"))+COUNTIFS(Database!$F:$I,CONCATENATE(N$16,$B44,"W"))</f>
        <v>0</v>
      </c>
      <c r="O44" s="123">
        <f>COUNTIFS(Database!$F:$I,CONCATENATE($B44,O$16,"L"))+COUNTIFS(Database!$F:$I,CONCATENATE(O$16,$B44,"L"))+COUNTIFS(Database!$F:$I,CONCATENATE($B44,O$16,"W"))+COUNTIFS(Database!$F:$I,CONCATENATE(O$16,$B44,"W"))</f>
        <v>0</v>
      </c>
      <c r="P44" s="123">
        <f>COUNTIFS(Database!$F:$I,CONCATENATE($B44,P$16,"L"))+COUNTIFS(Database!$F:$I,CONCATENATE(P$16,$B44,"L"))+COUNTIFS(Database!$F:$I,CONCATENATE($B44,P$16,"W"))+COUNTIFS(Database!$F:$I,CONCATENATE(P$16,$B44,"W"))</f>
        <v>0</v>
      </c>
      <c r="Q44" s="123">
        <f>COUNTIFS(Database!$F:$I,CONCATENATE($B44,Q$16,"L"))+COUNTIFS(Database!$F:$I,CONCATENATE(Q$16,$B44,"L"))+COUNTIFS(Database!$F:$I,CONCATENATE($B44,Q$16,"W"))+COUNTIFS(Database!$F:$I,CONCATENATE(Q$16,$B44,"W"))</f>
        <v>0</v>
      </c>
      <c r="R44" s="123">
        <f>COUNTIFS(Database!$F:$I,CONCATENATE($B44,R$16,"L"))+COUNTIFS(Database!$F:$I,CONCATENATE(R$16,$B44,"L"))+COUNTIFS(Database!$F:$I,CONCATENATE($B44,R$16,"W"))+COUNTIFS(Database!$F:$I,CONCATENATE(R$16,$B44,"W"))</f>
        <v>0</v>
      </c>
      <c r="S44" s="123">
        <f>COUNTIFS(Database!$F:$I,CONCATENATE($B44,S$16,"L"))+COUNTIFS(Database!$F:$I,CONCATENATE(S$16,$B44,"L"))+COUNTIFS(Database!$F:$I,CONCATENATE($B44,S$16,"W"))+COUNTIFS(Database!$F:$I,CONCATENATE(S$16,$B44,"W"))</f>
        <v>0</v>
      </c>
      <c r="T44" s="123">
        <f>COUNTIFS(Database!$F:$I,CONCATENATE($B44,T$16,"L"))+COUNTIFS(Database!$F:$I,CONCATENATE(T$16,$B44,"L"))+COUNTIFS(Database!$F:$I,CONCATENATE($B44,T$16,"W"))+COUNTIFS(Database!$F:$I,CONCATENATE(T$16,$B44,"W"))</f>
        <v>1</v>
      </c>
      <c r="U44" s="123">
        <f>COUNTIFS(Database!$F:$I,CONCATENATE($B44,U$16,"L"))+COUNTIFS(Database!$F:$I,CONCATENATE(U$16,$B44,"L"))+COUNTIFS(Database!$F:$I,CONCATENATE($B44,U$16,"W"))+COUNTIFS(Database!$F:$I,CONCATENATE(U$16,$B44,"W"))</f>
        <v>0</v>
      </c>
      <c r="V44" s="123">
        <f>COUNTIFS(Database!$F:$I,CONCATENATE($B44,V$16,"L"))+COUNTIFS(Database!$F:$I,CONCATENATE(V$16,$B44,"L"))+COUNTIFS(Database!$F:$I,CONCATENATE($B44,V$16,"W"))+COUNTIFS(Database!$F:$I,CONCATENATE(V$16,$B44,"W"))</f>
        <v>1</v>
      </c>
      <c r="W44" s="123">
        <f>COUNTIFS(Database!$F:$I,CONCATENATE($B44,W$16,"L"))+COUNTIFS(Database!$F:$I,CONCATENATE(W$16,$B44,"L"))+COUNTIFS(Database!$F:$I,CONCATENATE($B44,W$16,"W"))+COUNTIFS(Database!$F:$I,CONCATENATE(W$16,$B44,"W"))</f>
        <v>0</v>
      </c>
      <c r="X44" s="123">
        <f>COUNTIFS(Database!$F:$I,CONCATENATE($B44,X$16,"L"))+COUNTIFS(Database!$F:$I,CONCATENATE(X$16,$B44,"L"))+COUNTIFS(Database!$F:$I,CONCATENATE($B44,X$16,"W"))+COUNTIFS(Database!$F:$I,CONCATENATE(X$16,$B44,"W"))</f>
        <v>0</v>
      </c>
      <c r="Y44" s="123">
        <f>COUNTIFS(Database!$F:$I,CONCATENATE($B44,Y$16,"L"))+COUNTIFS(Database!$F:$I,CONCATENATE(Y$16,$B44,"L"))+COUNTIFS(Database!$F:$I,CONCATENATE($B44,Y$16,"W"))+COUNTIFS(Database!$F:$I,CONCATENATE(Y$16,$B44,"W"))</f>
        <v>0</v>
      </c>
      <c r="Z44" s="123">
        <f>COUNTIFS(Database!$F:$I,CONCATENATE($B44,Z$16,"L"))+COUNTIFS(Database!$F:$I,CONCATENATE(Z$16,$B44,"L"))+COUNTIFS(Database!$F:$I,CONCATENATE($B44,Z$16,"W"))+COUNTIFS(Database!$F:$I,CONCATENATE(Z$16,$B44,"W"))</f>
        <v>0</v>
      </c>
      <c r="AA44" s="123">
        <f>COUNTIFS(Database!$F:$I,CONCATENATE($B44,AA$16,"L"))+COUNTIFS(Database!$F:$I,CONCATENATE(AA$16,$B44,"L"))+COUNTIFS(Database!$F:$I,CONCATENATE($B44,AA$16,"W"))+COUNTIFS(Database!$F:$I,CONCATENATE(AA$16,$B44,"W"))</f>
        <v>0</v>
      </c>
      <c r="AB44" s="123">
        <f>COUNTIFS(Database!$F:$I,CONCATENATE($B44,AB$16,"L"))+COUNTIFS(Database!$F:$I,CONCATENATE(AB$16,$B44,"L"))+COUNTIFS(Database!$F:$I,CONCATENATE($B44,AB$16,"W"))+COUNTIFS(Database!$F:$I,CONCATENATE(AB$16,$B44,"W"))</f>
        <v>0</v>
      </c>
      <c r="AC44" s="123">
        <f>COUNTIFS(Database!$F:$I,CONCATENATE($B44,AC$16,"L"))+COUNTIFS(Database!$F:$I,CONCATENATE(AC$16,$B44,"L"))+COUNTIFS(Database!$F:$I,CONCATENATE($B44,AC$16,"W"))+COUNTIFS(Database!$F:$I,CONCATENATE(AC$16,$B44,"W"))</f>
        <v>1</v>
      </c>
      <c r="AD44" s="123">
        <f>COUNTIFS(Database!$F:$I,CONCATENATE($B44,AD$16,"L"))+COUNTIFS(Database!$F:$I,CONCATENATE(AD$16,$B44,"L"))+COUNTIFS(Database!$F:$I,CONCATENATE($B44,AD$16,"W"))+COUNTIFS(Database!$F:$I,CONCATENATE(AD$16,$B44,"W"))</f>
        <v>0</v>
      </c>
      <c r="AE44" s="123">
        <f>COUNTIFS(Database!$F:$I,CONCATENATE($B44,AE$16,"L"))+COUNTIFS(Database!$F:$I,CONCATENATE(AE$16,$B44,"L"))+COUNTIFS(Database!$F:$I,CONCATENATE($B44,AE$16,"W"))+COUNTIFS(Database!$F:$I,CONCATENATE(AE$16,$B44,"W"))</f>
        <v>0</v>
      </c>
      <c r="AF44" s="123">
        <f>COUNTIFS(Database!$F:$I,CONCATENATE($B44,AF$16,"L"))+COUNTIFS(Database!$F:$I,CONCATENATE(AF$16,$B44,"L"))+COUNTIFS(Database!$F:$I,CONCATENATE($B44,AF$16,"W"))+COUNTIFS(Database!$F:$I,CONCATENATE(AF$16,$B44,"W"))</f>
        <v>0</v>
      </c>
      <c r="AG44" s="123">
        <f>COUNTIFS(Database!$F:$I,CONCATENATE($B44,AG$16,"L"))+COUNTIFS(Database!$F:$I,CONCATENATE(AG$16,$B44,"L"))+COUNTIFS(Database!$F:$I,CONCATENATE($B44,AG$16,"W"))+COUNTIFS(Database!$F:$I,CONCATENATE(AG$16,$B44,"W"))</f>
        <v>0</v>
      </c>
      <c r="AH44" s="123">
        <f>COUNTIFS(Database!$F:$I,CONCATENATE($B44,AH$16,"L"))+COUNTIFS(Database!$F:$I,CONCATENATE(AH$16,$B44,"L"))+COUNTIFS(Database!$F:$I,CONCATENATE($B44,AH$16,"W"))+COUNTIFS(Database!$F:$I,CONCATENATE(AH$16,$B44,"W"))</f>
        <v>0</v>
      </c>
      <c r="AI44" s="123">
        <f>COUNTIFS(Database!$F:$I,CONCATENATE($B44,AI$16,"L"))+COUNTIFS(Database!$F:$I,CONCATENATE(AI$16,$B44,"L"))+COUNTIFS(Database!$F:$I,CONCATENATE($B44,AI$16,"W"))+COUNTIFS(Database!$F:$I,CONCATENATE(AI$16,$B44,"W"))</f>
        <v>0</v>
      </c>
      <c r="AJ44" s="123">
        <f>COUNTIFS(Database!$F:$I,CONCATENATE($B44,AJ$16,"L"))+COUNTIFS(Database!$F:$I,CONCATENATE(AJ$16,$B44,"L"))+COUNTIFS(Database!$F:$I,CONCATENATE($B44,AJ$16,"W"))+COUNTIFS(Database!$F:$I,CONCATENATE(AJ$16,$B44,"W"))</f>
        <v>0</v>
      </c>
      <c r="AK44" s="123">
        <f>COUNTIFS(Database!$F:$I,CONCATENATE($B44,AK$16,"L"))+COUNTIFS(Database!$F:$I,CONCATENATE(AK$16,$B44,"L"))+COUNTIFS(Database!$F:$I,CONCATENATE($B44,AK$16,"W"))+COUNTIFS(Database!$F:$I,CONCATENATE(AK$16,$B44,"W"))</f>
        <v>4</v>
      </c>
      <c r="AL44" s="123">
        <f>COUNTIFS(Database!$F:$I,CONCATENATE($B44,AL$16,"L"))+COUNTIFS(Database!$F:$I,CONCATENATE(AL$16,$B44,"L"))+COUNTIFS(Database!$F:$I,CONCATENATE($B44,AL$16,"W"))+COUNTIFS(Database!$F:$I,CONCATENATE(AL$16,$B44,"W"))</f>
        <v>2</v>
      </c>
      <c r="AM44" s="123">
        <f>COUNTIFS(Database!$F:$I,CONCATENATE($B44,AM$16,"L"))+COUNTIFS(Database!$F:$I,CONCATENATE(AM$16,$B44,"L"))+COUNTIFS(Database!$F:$I,CONCATENATE($B44,AM$16,"W"))+COUNTIFS(Database!$F:$I,CONCATENATE(AM$16,$B44,"W"))</f>
        <v>0</v>
      </c>
      <c r="AN44" s="123">
        <f>COUNTIFS(Database!$F:$I,CONCATENATE($B44,AN$16,"L"))+COUNTIFS(Database!$F:$I,CONCATENATE(AN$16,$B44,"L"))+COUNTIFS(Database!$F:$I,CONCATENATE($B44,AN$16,"W"))+COUNTIFS(Database!$F:$I,CONCATENATE(AN$16,$B44,"W"))</f>
        <v>0</v>
      </c>
      <c r="AO44" s="123">
        <f>COUNTIFS(Database!$F:$I,CONCATENATE($B44,AO$16,"L"))+COUNTIFS(Database!$F:$I,CONCATENATE(AO$16,$B44,"L"))+COUNTIFS(Database!$F:$I,CONCATENATE($B44,AO$16,"W"))+COUNTIFS(Database!$F:$I,CONCATENATE(AO$16,$B44,"W"))</f>
        <v>2</v>
      </c>
      <c r="AP44" s="123">
        <f>COUNTIFS(Database!$F:$I,CONCATENATE($B44,AP$16,"L"))+COUNTIFS(Database!$F:$I,CONCATENATE(AP$16,$B44,"L"))+COUNTIFS(Database!$F:$I,CONCATENATE($B44,AP$16,"W"))+COUNTIFS(Database!$F:$I,CONCATENATE(AP$16,$B44,"W"))</f>
        <v>0</v>
      </c>
      <c r="AQ44" s="123">
        <f>COUNTIFS(Database!$F:$I,CONCATENATE($B44,AQ$16,"L"))+COUNTIFS(Database!$F:$I,CONCATENATE(AQ$16,$B44,"L"))+COUNTIFS(Database!$F:$I,CONCATENATE($B44,AQ$16,"W"))+COUNTIFS(Database!$F:$I,CONCATENATE(AQ$16,$B44,"W"))</f>
        <v>0</v>
      </c>
      <c r="AR44" s="123">
        <f>COUNTIFS(Database!$F:$I,CONCATENATE($B44,AR$16,"L"))+COUNTIFS(Database!$F:$I,CONCATENATE(AR$16,$B44,"L"))+COUNTIFS(Database!$F:$I,CONCATENATE($B44,AR$16,"W"))+COUNTIFS(Database!$F:$I,CONCATENATE(AR$16,$B44,"W"))</f>
        <v>3</v>
      </c>
      <c r="AS44" s="123">
        <f>COUNTIFS(Database!$F:$I,CONCATENATE($B44,AS$16,"L"))+COUNTIFS(Database!$F:$I,CONCATENATE(AS$16,$B44,"L"))+COUNTIFS(Database!$F:$I,CONCATENATE($B44,AS$16,"W"))+COUNTIFS(Database!$F:$I,CONCATENATE(AS$16,$B44,"W"))</f>
        <v>1</v>
      </c>
      <c r="AT44" s="123">
        <f>COUNTIFS(Database!$F:$I,CONCATENATE($B44,AT$16,"L"))+COUNTIFS(Database!$F:$I,CONCATENATE(AT$16,$B44,"L"))+COUNTIFS(Database!$F:$I,CONCATENATE($B44,AT$16,"W"))+COUNTIFS(Database!$F:$I,CONCATENATE(AT$16,$B44,"W"))</f>
        <v>0</v>
      </c>
      <c r="AU44" s="123">
        <f>COUNTIFS(Database!$F:$I,CONCATENATE($B44,AU$16,"L"))+COUNTIFS(Database!$F:$I,CONCATENATE(AU$16,$B44,"L"))+COUNTIFS(Database!$F:$I,CONCATENATE($B44,AU$16,"W"))+COUNTIFS(Database!$F:$I,CONCATENATE(AU$16,$B44,"W"))</f>
        <v>0</v>
      </c>
      <c r="AV44" s="123">
        <f>COUNTIFS(Database!$F:$I,CONCATENATE($B44,AV$16,"L"))+COUNTIFS(Database!$F:$I,CONCATENATE(AV$16,$B44,"L"))+COUNTIFS(Database!$F:$I,CONCATENATE($B44,AV$16,"W"))+COUNTIFS(Database!$F:$I,CONCATENATE(AV$16,$B44,"W"))</f>
        <v>0</v>
      </c>
      <c r="AW44" s="123">
        <f>COUNTIFS(Database!$F:$I,CONCATENATE($B44,AW$16,"L"))+COUNTIFS(Database!$F:$I,CONCATENATE(AW$16,$B44,"L"))+COUNTIFS(Database!$F:$I,CONCATENATE($B44,AW$16,"W"))+COUNTIFS(Database!$F:$I,CONCATENATE(AW$16,$B44,"W"))</f>
        <v>1</v>
      </c>
      <c r="AX44" s="123">
        <f>COUNTIFS(Database!$F:$I,CONCATENATE($B44,AX$16,"L"))+COUNTIFS(Database!$F:$I,CONCATENATE(AX$16,$B44,"L"))+COUNTIFS(Database!$F:$I,CONCATENATE($B44,AX$16,"W"))+COUNTIFS(Database!$F:$I,CONCATENATE(AX$16,$B44,"W"))</f>
        <v>0</v>
      </c>
      <c r="AY44" s="123">
        <f>COUNTIFS(Database!$F:$I,CONCATENATE($B44,AY$16,"L"))+COUNTIFS(Database!$F:$I,CONCATENATE(AY$16,$B44,"L"))+COUNTIFS(Database!$F:$I,CONCATENATE($B44,AY$16,"W"))+COUNTIFS(Database!$F:$I,CONCATENATE(AY$16,$B44,"W"))</f>
        <v>4</v>
      </c>
    </row>
    <row r="45" spans="2:51" x14ac:dyDescent="0.25">
      <c r="B45" s="120" t="s">
        <v>20</v>
      </c>
      <c r="C45" s="123">
        <f>COUNTIFS(Database!$F:$I,CONCATENATE($B45,C$16,"L"))+COUNTIFS(Database!$F:$I,CONCATENATE(C$16,$B45,"L"))+COUNTIFS(Database!$F:$I,CONCATENATE($B45,C$16,"W"))+COUNTIFS(Database!$F:$I,CONCATENATE(C$16,$B45,"W"))</f>
        <v>0</v>
      </c>
      <c r="D45" s="123">
        <f>COUNTIFS(Database!$F:$I,CONCATENATE($B45,D$16,"L"))+COUNTIFS(Database!$F:$I,CONCATENATE(D$16,$B45,"L"))+COUNTIFS(Database!$F:$I,CONCATENATE($B45,D$16,"W"))+COUNTIFS(Database!$F:$I,CONCATENATE(D$16,$B45,"W"))</f>
        <v>0</v>
      </c>
      <c r="E45" s="123">
        <f>COUNTIFS(Database!$F:$I,CONCATENATE($B45,E$16,"L"))+COUNTIFS(Database!$F:$I,CONCATENATE(E$16,$B45,"L"))+COUNTIFS(Database!$F:$I,CONCATENATE($B45,E$16,"W"))+COUNTIFS(Database!$F:$I,CONCATENATE(E$16,$B45,"W"))</f>
        <v>0</v>
      </c>
      <c r="F45" s="123">
        <f>COUNTIFS(Database!$F:$I,CONCATENATE($B45,F$16,"L"))+COUNTIFS(Database!$F:$I,CONCATENATE(F$16,$B45,"L"))+COUNTIFS(Database!$F:$I,CONCATENATE($B45,F$16,"W"))+COUNTIFS(Database!$F:$I,CONCATENATE(F$16,$B45,"W"))</f>
        <v>0</v>
      </c>
      <c r="G45" s="123">
        <f>COUNTIFS(Database!$F:$I,CONCATENATE($B45,G$16,"L"))+COUNTIFS(Database!$F:$I,CONCATENATE(G$16,$B45,"L"))+COUNTIFS(Database!$F:$I,CONCATENATE($B45,G$16,"W"))+COUNTIFS(Database!$F:$I,CONCATENATE(G$16,$B45,"W"))</f>
        <v>0</v>
      </c>
      <c r="H45" s="123">
        <f>COUNTIFS(Database!$F:$I,CONCATENATE($B45,H$16,"L"))+COUNTIFS(Database!$F:$I,CONCATENATE(H$16,$B45,"L"))+COUNTIFS(Database!$F:$I,CONCATENATE($B45,H$16,"W"))+COUNTIFS(Database!$F:$I,CONCATENATE(H$16,$B45,"W"))</f>
        <v>1</v>
      </c>
      <c r="I45" s="123">
        <f>COUNTIFS(Database!$F:$I,CONCATENATE($B45,I$16,"L"))+COUNTIFS(Database!$F:$I,CONCATENATE(I$16,$B45,"L"))+COUNTIFS(Database!$F:$I,CONCATENATE($B45,I$16,"W"))+COUNTIFS(Database!$F:$I,CONCATENATE(I$16,$B45,"W"))</f>
        <v>0</v>
      </c>
      <c r="J45" s="123">
        <f>COUNTIFS(Database!$F:$I,CONCATENATE($B45,J$16,"L"))+COUNTIFS(Database!$F:$I,CONCATENATE(J$16,$B45,"L"))+COUNTIFS(Database!$F:$I,CONCATENATE($B45,J$16,"W"))+COUNTIFS(Database!$F:$I,CONCATENATE(J$16,$B45,"W"))</f>
        <v>0</v>
      </c>
      <c r="K45" s="123">
        <f>COUNTIFS(Database!$F:$I,CONCATENATE($B45,K$16,"L"))+COUNTIFS(Database!$F:$I,CONCATENATE(K$16,$B45,"L"))+COUNTIFS(Database!$F:$I,CONCATENATE($B45,K$16,"W"))+COUNTIFS(Database!$F:$I,CONCATENATE(K$16,$B45,"W"))</f>
        <v>0</v>
      </c>
      <c r="L45" s="123">
        <f>COUNTIFS(Database!$F:$I,CONCATENATE($B45,L$16,"L"))+COUNTIFS(Database!$F:$I,CONCATENATE(L$16,$B45,"L"))+COUNTIFS(Database!$F:$I,CONCATENATE($B45,L$16,"W"))+COUNTIFS(Database!$F:$I,CONCATENATE(L$16,$B45,"W"))</f>
        <v>0</v>
      </c>
      <c r="M45" s="123">
        <f>COUNTIFS(Database!$F:$I,CONCATENATE($B45,M$16,"L"))+COUNTIFS(Database!$F:$I,CONCATENATE(M$16,$B45,"L"))+COUNTIFS(Database!$F:$I,CONCATENATE($B45,M$16,"W"))+COUNTIFS(Database!$F:$I,CONCATENATE(M$16,$B45,"W"))</f>
        <v>0</v>
      </c>
      <c r="N45" s="123">
        <f>COUNTIFS(Database!$F:$I,CONCATENATE($B45,N$16,"L"))+COUNTIFS(Database!$F:$I,CONCATENATE(N$16,$B45,"L"))+COUNTIFS(Database!$F:$I,CONCATENATE($B45,N$16,"W"))+COUNTIFS(Database!$F:$I,CONCATENATE(N$16,$B45,"W"))</f>
        <v>0</v>
      </c>
      <c r="O45" s="123">
        <f>COUNTIFS(Database!$F:$I,CONCATENATE($B45,O$16,"L"))+COUNTIFS(Database!$F:$I,CONCATENATE(O$16,$B45,"L"))+COUNTIFS(Database!$F:$I,CONCATENATE($B45,O$16,"W"))+COUNTIFS(Database!$F:$I,CONCATENATE(O$16,$B45,"W"))</f>
        <v>0</v>
      </c>
      <c r="P45" s="123">
        <f>COUNTIFS(Database!$F:$I,CONCATENATE($B45,P$16,"L"))+COUNTIFS(Database!$F:$I,CONCATENATE(P$16,$B45,"L"))+COUNTIFS(Database!$F:$I,CONCATENATE($B45,P$16,"W"))+COUNTIFS(Database!$F:$I,CONCATENATE(P$16,$B45,"W"))</f>
        <v>0</v>
      </c>
      <c r="Q45" s="123">
        <f>COUNTIFS(Database!$F:$I,CONCATENATE($B45,Q$16,"L"))+COUNTIFS(Database!$F:$I,CONCATENATE(Q$16,$B45,"L"))+COUNTIFS(Database!$F:$I,CONCATENATE($B45,Q$16,"W"))+COUNTIFS(Database!$F:$I,CONCATENATE(Q$16,$B45,"W"))</f>
        <v>0</v>
      </c>
      <c r="R45" s="123">
        <f>COUNTIFS(Database!$F:$I,CONCATENATE($B45,R$16,"L"))+COUNTIFS(Database!$F:$I,CONCATENATE(R$16,$B45,"L"))+COUNTIFS(Database!$F:$I,CONCATENATE($B45,R$16,"W"))+COUNTIFS(Database!$F:$I,CONCATENATE(R$16,$B45,"W"))</f>
        <v>0</v>
      </c>
      <c r="S45" s="123">
        <f>COUNTIFS(Database!$F:$I,CONCATENATE($B45,S$16,"L"))+COUNTIFS(Database!$F:$I,CONCATENATE(S$16,$B45,"L"))+COUNTIFS(Database!$F:$I,CONCATENATE($B45,S$16,"W"))+COUNTIFS(Database!$F:$I,CONCATENATE(S$16,$B45,"W"))</f>
        <v>0</v>
      </c>
      <c r="T45" s="123">
        <f>COUNTIFS(Database!$F:$I,CONCATENATE($B45,T$16,"L"))+COUNTIFS(Database!$F:$I,CONCATENATE(T$16,$B45,"L"))+COUNTIFS(Database!$F:$I,CONCATENATE($B45,T$16,"W"))+COUNTIFS(Database!$F:$I,CONCATENATE(T$16,$B45,"W"))</f>
        <v>0</v>
      </c>
      <c r="U45" s="123">
        <f>COUNTIFS(Database!$F:$I,CONCATENATE($B45,U$16,"L"))+COUNTIFS(Database!$F:$I,CONCATENATE(U$16,$B45,"L"))+COUNTIFS(Database!$F:$I,CONCATENATE($B45,U$16,"W"))+COUNTIFS(Database!$F:$I,CONCATENATE(U$16,$B45,"W"))</f>
        <v>0</v>
      </c>
      <c r="V45" s="123">
        <f>COUNTIFS(Database!$F:$I,CONCATENATE($B45,V$16,"L"))+COUNTIFS(Database!$F:$I,CONCATENATE(V$16,$B45,"L"))+COUNTIFS(Database!$F:$I,CONCATENATE($B45,V$16,"W"))+COUNTIFS(Database!$F:$I,CONCATENATE(V$16,$B45,"W"))</f>
        <v>0</v>
      </c>
      <c r="W45" s="123">
        <f>COUNTIFS(Database!$F:$I,CONCATENATE($B45,W$16,"L"))+COUNTIFS(Database!$F:$I,CONCATENATE(W$16,$B45,"L"))+COUNTIFS(Database!$F:$I,CONCATENATE($B45,W$16,"W"))+COUNTIFS(Database!$F:$I,CONCATENATE(W$16,$B45,"W"))</f>
        <v>0</v>
      </c>
      <c r="X45" s="123">
        <f>COUNTIFS(Database!$F:$I,CONCATENATE($B45,X$16,"L"))+COUNTIFS(Database!$F:$I,CONCATENATE(X$16,$B45,"L"))+COUNTIFS(Database!$F:$I,CONCATENATE($B45,X$16,"W"))+COUNTIFS(Database!$F:$I,CONCATENATE(X$16,$B45,"W"))</f>
        <v>0</v>
      </c>
      <c r="Y45" s="123">
        <f>COUNTIFS(Database!$F:$I,CONCATENATE($B45,Y$16,"L"))+COUNTIFS(Database!$F:$I,CONCATENATE(Y$16,$B45,"L"))+COUNTIFS(Database!$F:$I,CONCATENATE($B45,Y$16,"W"))+COUNTIFS(Database!$F:$I,CONCATENATE(Y$16,$B45,"W"))</f>
        <v>0</v>
      </c>
      <c r="Z45" s="123">
        <f>COUNTIFS(Database!$F:$I,CONCATENATE($B45,Z$16,"L"))+COUNTIFS(Database!$F:$I,CONCATENATE(Z$16,$B45,"L"))+COUNTIFS(Database!$F:$I,CONCATENATE($B45,Z$16,"W"))+COUNTIFS(Database!$F:$I,CONCATENATE(Z$16,$B45,"W"))</f>
        <v>0</v>
      </c>
      <c r="AA45" s="123">
        <f>COUNTIFS(Database!$F:$I,CONCATENATE($B45,AA$16,"L"))+COUNTIFS(Database!$F:$I,CONCATENATE(AA$16,$B45,"L"))+COUNTIFS(Database!$F:$I,CONCATENATE($B45,AA$16,"W"))+COUNTIFS(Database!$F:$I,CONCATENATE(AA$16,$B45,"W"))</f>
        <v>0</v>
      </c>
      <c r="AB45" s="123">
        <f>COUNTIFS(Database!$F:$I,CONCATENATE($B45,AB$16,"L"))+COUNTIFS(Database!$F:$I,CONCATENATE(AB$16,$B45,"L"))+COUNTIFS(Database!$F:$I,CONCATENATE($B45,AB$16,"W"))+COUNTIFS(Database!$F:$I,CONCATENATE(AB$16,$B45,"W"))</f>
        <v>1</v>
      </c>
      <c r="AC45" s="123">
        <f>COUNTIFS(Database!$F:$I,CONCATENATE($B45,AC$16,"L"))+COUNTIFS(Database!$F:$I,CONCATENATE(AC$16,$B45,"L"))+COUNTIFS(Database!$F:$I,CONCATENATE($B45,AC$16,"W"))+COUNTIFS(Database!$F:$I,CONCATENATE(AC$16,$B45,"W"))</f>
        <v>0</v>
      </c>
      <c r="AD45" s="123">
        <f>COUNTIFS(Database!$F:$I,CONCATENATE($B45,AD$16,"L"))+COUNTIFS(Database!$F:$I,CONCATENATE(AD$16,$B45,"L"))+COUNTIFS(Database!$F:$I,CONCATENATE($B45,AD$16,"W"))+COUNTIFS(Database!$F:$I,CONCATENATE(AD$16,$B45,"W"))</f>
        <v>0</v>
      </c>
      <c r="AE45" s="123">
        <f>COUNTIFS(Database!$F:$I,CONCATENATE($B45,AE$16,"L"))+COUNTIFS(Database!$F:$I,CONCATENATE(AE$16,$B45,"L"))+COUNTIFS(Database!$F:$I,CONCATENATE($B45,AE$16,"W"))+COUNTIFS(Database!$F:$I,CONCATENATE(AE$16,$B45,"W"))</f>
        <v>0</v>
      </c>
      <c r="AF45" s="123">
        <f>COUNTIFS(Database!$F:$I,CONCATENATE($B45,AF$16,"L"))+COUNTIFS(Database!$F:$I,CONCATENATE(AF$16,$B45,"L"))+COUNTIFS(Database!$F:$I,CONCATENATE($B45,AF$16,"W"))+COUNTIFS(Database!$F:$I,CONCATENATE(AF$16,$B45,"W"))</f>
        <v>0</v>
      </c>
      <c r="AG45" s="123">
        <f>COUNTIFS(Database!$F:$I,CONCATENATE($B45,AG$16,"L"))+COUNTIFS(Database!$F:$I,CONCATENATE(AG$16,$B45,"L"))+COUNTIFS(Database!$F:$I,CONCATENATE($B45,AG$16,"W"))+COUNTIFS(Database!$F:$I,CONCATENATE(AG$16,$B45,"W"))</f>
        <v>0</v>
      </c>
      <c r="AH45" s="123">
        <f>COUNTIFS(Database!$F:$I,CONCATENATE($B45,AH$16,"L"))+COUNTIFS(Database!$F:$I,CONCATENATE(AH$16,$B45,"L"))+COUNTIFS(Database!$F:$I,CONCATENATE($B45,AH$16,"W"))+COUNTIFS(Database!$F:$I,CONCATENATE(AH$16,$B45,"W"))</f>
        <v>0</v>
      </c>
      <c r="AI45" s="123">
        <f>COUNTIFS(Database!$F:$I,CONCATENATE($B45,AI$16,"L"))+COUNTIFS(Database!$F:$I,CONCATENATE(AI$16,$B45,"L"))+COUNTIFS(Database!$F:$I,CONCATENATE($B45,AI$16,"W"))+COUNTIFS(Database!$F:$I,CONCATENATE(AI$16,$B45,"W"))</f>
        <v>0</v>
      </c>
      <c r="AJ45" s="123">
        <f>COUNTIFS(Database!$F:$I,CONCATENATE($B45,AJ$16,"L"))+COUNTIFS(Database!$F:$I,CONCATENATE(AJ$16,$B45,"L"))+COUNTIFS(Database!$F:$I,CONCATENATE($B45,AJ$16,"W"))+COUNTIFS(Database!$F:$I,CONCATENATE(AJ$16,$B45,"W"))</f>
        <v>0</v>
      </c>
      <c r="AK45" s="123">
        <f>COUNTIFS(Database!$F:$I,CONCATENATE($B45,AK$16,"L"))+COUNTIFS(Database!$F:$I,CONCATENATE(AK$16,$B45,"L"))+COUNTIFS(Database!$F:$I,CONCATENATE($B45,AK$16,"W"))+COUNTIFS(Database!$F:$I,CONCATENATE(AK$16,$B45,"W"))</f>
        <v>1</v>
      </c>
      <c r="AL45" s="123">
        <f>COUNTIFS(Database!$F:$I,CONCATENATE($B45,AL$16,"L"))+COUNTIFS(Database!$F:$I,CONCATENATE(AL$16,$B45,"L"))+COUNTIFS(Database!$F:$I,CONCATENATE($B45,AL$16,"W"))+COUNTIFS(Database!$F:$I,CONCATENATE(AL$16,$B45,"W"))</f>
        <v>0</v>
      </c>
      <c r="AM45" s="123">
        <f>COUNTIFS(Database!$F:$I,CONCATENATE($B45,AM$16,"L"))+COUNTIFS(Database!$F:$I,CONCATENATE(AM$16,$B45,"L"))+COUNTIFS(Database!$F:$I,CONCATENATE($B45,AM$16,"W"))+COUNTIFS(Database!$F:$I,CONCATENATE(AM$16,$B45,"W"))</f>
        <v>0</v>
      </c>
      <c r="AN45" s="123">
        <f>COUNTIFS(Database!$F:$I,CONCATENATE($B45,AN$16,"L"))+COUNTIFS(Database!$F:$I,CONCATENATE(AN$16,$B45,"L"))+COUNTIFS(Database!$F:$I,CONCATENATE($B45,AN$16,"W"))+COUNTIFS(Database!$F:$I,CONCATENATE(AN$16,$B45,"W"))</f>
        <v>0</v>
      </c>
      <c r="AO45" s="123">
        <f>COUNTIFS(Database!$F:$I,CONCATENATE($B45,AO$16,"L"))+COUNTIFS(Database!$F:$I,CONCATENATE(AO$16,$B45,"L"))+COUNTIFS(Database!$F:$I,CONCATENATE($B45,AO$16,"W"))+COUNTIFS(Database!$F:$I,CONCATENATE(AO$16,$B45,"W"))</f>
        <v>0</v>
      </c>
      <c r="AP45" s="123">
        <f>COUNTIFS(Database!$F:$I,CONCATENATE($B45,AP$16,"L"))+COUNTIFS(Database!$F:$I,CONCATENATE(AP$16,$B45,"L"))+COUNTIFS(Database!$F:$I,CONCATENATE($B45,AP$16,"W"))+COUNTIFS(Database!$F:$I,CONCATENATE(AP$16,$B45,"W"))</f>
        <v>0</v>
      </c>
      <c r="AQ45" s="123">
        <f>COUNTIFS(Database!$F:$I,CONCATENATE($B45,AQ$16,"L"))+COUNTIFS(Database!$F:$I,CONCATENATE(AQ$16,$B45,"L"))+COUNTIFS(Database!$F:$I,CONCATENATE($B45,AQ$16,"W"))+COUNTIFS(Database!$F:$I,CONCATENATE(AQ$16,$B45,"W"))</f>
        <v>0</v>
      </c>
      <c r="AR45" s="123">
        <f>COUNTIFS(Database!$F:$I,CONCATENATE($B45,AR$16,"L"))+COUNTIFS(Database!$F:$I,CONCATENATE(AR$16,$B45,"L"))+COUNTIFS(Database!$F:$I,CONCATENATE($B45,AR$16,"W"))+COUNTIFS(Database!$F:$I,CONCATENATE(AR$16,$B45,"W"))</f>
        <v>0</v>
      </c>
      <c r="AS45" s="123">
        <f>COUNTIFS(Database!$F:$I,CONCATENATE($B45,AS$16,"L"))+COUNTIFS(Database!$F:$I,CONCATENATE(AS$16,$B45,"L"))+COUNTIFS(Database!$F:$I,CONCATENATE($B45,AS$16,"W"))+COUNTIFS(Database!$F:$I,CONCATENATE(AS$16,$B45,"W"))</f>
        <v>0</v>
      </c>
      <c r="AT45" s="123">
        <f>COUNTIFS(Database!$F:$I,CONCATENATE($B45,AT$16,"L"))+COUNTIFS(Database!$F:$I,CONCATENATE(AT$16,$B45,"L"))+COUNTIFS(Database!$F:$I,CONCATENATE($B45,AT$16,"W"))+COUNTIFS(Database!$F:$I,CONCATENATE(AT$16,$B45,"W"))</f>
        <v>0</v>
      </c>
      <c r="AU45" s="123">
        <f>COUNTIFS(Database!$F:$I,CONCATENATE($B45,AU$16,"L"))+COUNTIFS(Database!$F:$I,CONCATENATE(AU$16,$B45,"L"))+COUNTIFS(Database!$F:$I,CONCATENATE($B45,AU$16,"W"))+COUNTIFS(Database!$F:$I,CONCATENATE(AU$16,$B45,"W"))</f>
        <v>0</v>
      </c>
      <c r="AV45" s="123">
        <f>COUNTIFS(Database!$F:$I,CONCATENATE($B45,AV$16,"L"))+COUNTIFS(Database!$F:$I,CONCATENATE(AV$16,$B45,"L"))+COUNTIFS(Database!$F:$I,CONCATENATE($B45,AV$16,"W"))+COUNTIFS(Database!$F:$I,CONCATENATE(AV$16,$B45,"W"))</f>
        <v>0</v>
      </c>
      <c r="AW45" s="123">
        <f>COUNTIFS(Database!$F:$I,CONCATENATE($B45,AW$16,"L"))+COUNTIFS(Database!$F:$I,CONCATENATE(AW$16,$B45,"L"))+COUNTIFS(Database!$F:$I,CONCATENATE($B45,AW$16,"W"))+COUNTIFS(Database!$F:$I,CONCATENATE(AW$16,$B45,"W"))</f>
        <v>1</v>
      </c>
      <c r="AX45" s="123">
        <f>COUNTIFS(Database!$F:$I,CONCATENATE($B45,AX$16,"L"))+COUNTIFS(Database!$F:$I,CONCATENATE(AX$16,$B45,"L"))+COUNTIFS(Database!$F:$I,CONCATENATE($B45,AX$16,"W"))+COUNTIFS(Database!$F:$I,CONCATENATE(AX$16,$B45,"W"))</f>
        <v>0</v>
      </c>
      <c r="AY45" s="123">
        <f>COUNTIFS(Database!$F:$I,CONCATENATE($B45,AY$16,"L"))+COUNTIFS(Database!$F:$I,CONCATENATE(AY$16,$B45,"L"))+COUNTIFS(Database!$F:$I,CONCATENATE($B45,AY$16,"W"))+COUNTIFS(Database!$F:$I,CONCATENATE(AY$16,$B45,"W"))</f>
        <v>0</v>
      </c>
    </row>
    <row r="46" spans="2:51" x14ac:dyDescent="0.25">
      <c r="B46" s="120" t="s">
        <v>51</v>
      </c>
      <c r="C46" s="123">
        <f>COUNTIFS(Database!$F:$I,CONCATENATE($B46,C$16,"L"))+COUNTIFS(Database!$F:$I,CONCATENATE(C$16,$B46,"L"))+COUNTIFS(Database!$F:$I,CONCATENATE($B46,C$16,"W"))+COUNTIFS(Database!$F:$I,CONCATENATE(C$16,$B46,"W"))</f>
        <v>0</v>
      </c>
      <c r="D46" s="123">
        <f>COUNTIFS(Database!$F:$I,CONCATENATE($B46,D$16,"L"))+COUNTIFS(Database!$F:$I,CONCATENATE(D$16,$B46,"L"))+COUNTIFS(Database!$F:$I,CONCATENATE($B46,D$16,"W"))+COUNTIFS(Database!$F:$I,CONCATENATE(D$16,$B46,"W"))</f>
        <v>0</v>
      </c>
      <c r="E46" s="123">
        <f>COUNTIFS(Database!$F:$I,CONCATENATE($B46,E$16,"L"))+COUNTIFS(Database!$F:$I,CONCATENATE(E$16,$B46,"L"))+COUNTIFS(Database!$F:$I,CONCATENATE($B46,E$16,"W"))+COUNTIFS(Database!$F:$I,CONCATENATE(E$16,$B46,"W"))</f>
        <v>0</v>
      </c>
      <c r="F46" s="123">
        <f>COUNTIFS(Database!$F:$I,CONCATENATE($B46,F$16,"L"))+COUNTIFS(Database!$F:$I,CONCATENATE(F$16,$B46,"L"))+COUNTIFS(Database!$F:$I,CONCATENATE($B46,F$16,"W"))+COUNTIFS(Database!$F:$I,CONCATENATE(F$16,$B46,"W"))</f>
        <v>0</v>
      </c>
      <c r="G46" s="123">
        <f>COUNTIFS(Database!$F:$I,CONCATENATE($B46,G$16,"L"))+COUNTIFS(Database!$F:$I,CONCATENATE(G$16,$B46,"L"))+COUNTIFS(Database!$F:$I,CONCATENATE($B46,G$16,"W"))+COUNTIFS(Database!$F:$I,CONCATENATE(G$16,$B46,"W"))</f>
        <v>0</v>
      </c>
      <c r="H46" s="123">
        <f>COUNTIFS(Database!$F:$I,CONCATENATE($B46,H$16,"L"))+COUNTIFS(Database!$F:$I,CONCATENATE(H$16,$B46,"L"))+COUNTIFS(Database!$F:$I,CONCATENATE($B46,H$16,"W"))+COUNTIFS(Database!$F:$I,CONCATENATE(H$16,$B46,"W"))</f>
        <v>0</v>
      </c>
      <c r="I46" s="123">
        <f>COUNTIFS(Database!$F:$I,CONCATENATE($B46,I$16,"L"))+COUNTIFS(Database!$F:$I,CONCATENATE(I$16,$B46,"L"))+COUNTIFS(Database!$F:$I,CONCATENATE($B46,I$16,"W"))+COUNTIFS(Database!$F:$I,CONCATENATE(I$16,$B46,"W"))</f>
        <v>0</v>
      </c>
      <c r="J46" s="123">
        <f>COUNTIFS(Database!$F:$I,CONCATENATE($B46,J$16,"L"))+COUNTIFS(Database!$F:$I,CONCATENATE(J$16,$B46,"L"))+COUNTIFS(Database!$F:$I,CONCATENATE($B46,J$16,"W"))+COUNTIFS(Database!$F:$I,CONCATENATE(J$16,$B46,"W"))</f>
        <v>0</v>
      </c>
      <c r="K46" s="123">
        <f>COUNTIFS(Database!$F:$I,CONCATENATE($B46,K$16,"L"))+COUNTIFS(Database!$F:$I,CONCATENATE(K$16,$B46,"L"))+COUNTIFS(Database!$F:$I,CONCATENATE($B46,K$16,"W"))+COUNTIFS(Database!$F:$I,CONCATENATE(K$16,$B46,"W"))</f>
        <v>1</v>
      </c>
      <c r="L46" s="123">
        <f>COUNTIFS(Database!$F:$I,CONCATENATE($B46,L$16,"L"))+COUNTIFS(Database!$F:$I,CONCATENATE(L$16,$B46,"L"))+COUNTIFS(Database!$F:$I,CONCATENATE($B46,L$16,"W"))+COUNTIFS(Database!$F:$I,CONCATENATE(L$16,$B46,"W"))</f>
        <v>0</v>
      </c>
      <c r="M46" s="123">
        <f>COUNTIFS(Database!$F:$I,CONCATENATE($B46,M$16,"L"))+COUNTIFS(Database!$F:$I,CONCATENATE(M$16,$B46,"L"))+COUNTIFS(Database!$F:$I,CONCATENATE($B46,M$16,"W"))+COUNTIFS(Database!$F:$I,CONCATENATE(M$16,$B46,"W"))</f>
        <v>0</v>
      </c>
      <c r="N46" s="123">
        <f>COUNTIFS(Database!$F:$I,CONCATENATE($B46,N$16,"L"))+COUNTIFS(Database!$F:$I,CONCATENATE(N$16,$B46,"L"))+COUNTIFS(Database!$F:$I,CONCATENATE($B46,N$16,"W"))+COUNTIFS(Database!$F:$I,CONCATENATE(N$16,$B46,"W"))</f>
        <v>0</v>
      </c>
      <c r="O46" s="123">
        <f>COUNTIFS(Database!$F:$I,CONCATENATE($B46,O$16,"L"))+COUNTIFS(Database!$F:$I,CONCATENATE(O$16,$B46,"L"))+COUNTIFS(Database!$F:$I,CONCATENATE($B46,O$16,"W"))+COUNTIFS(Database!$F:$I,CONCATENATE(O$16,$B46,"W"))</f>
        <v>1</v>
      </c>
      <c r="P46" s="123">
        <f>COUNTIFS(Database!$F:$I,CONCATENATE($B46,P$16,"L"))+COUNTIFS(Database!$F:$I,CONCATENATE(P$16,$B46,"L"))+COUNTIFS(Database!$F:$I,CONCATENATE($B46,P$16,"W"))+COUNTIFS(Database!$F:$I,CONCATENATE(P$16,$B46,"W"))</f>
        <v>0</v>
      </c>
      <c r="Q46" s="123">
        <f>COUNTIFS(Database!$F:$I,CONCATENATE($B46,Q$16,"L"))+COUNTIFS(Database!$F:$I,CONCATENATE(Q$16,$B46,"L"))+COUNTIFS(Database!$F:$I,CONCATENATE($B46,Q$16,"W"))+COUNTIFS(Database!$F:$I,CONCATENATE(Q$16,$B46,"W"))</f>
        <v>0</v>
      </c>
      <c r="R46" s="123">
        <f>COUNTIFS(Database!$F:$I,CONCATENATE($B46,R$16,"L"))+COUNTIFS(Database!$F:$I,CONCATENATE(R$16,$B46,"L"))+COUNTIFS(Database!$F:$I,CONCATENATE($B46,R$16,"W"))+COUNTIFS(Database!$F:$I,CONCATENATE(R$16,$B46,"W"))</f>
        <v>0</v>
      </c>
      <c r="S46" s="123">
        <f>COUNTIFS(Database!$F:$I,CONCATENATE($B46,S$16,"L"))+COUNTIFS(Database!$F:$I,CONCATENATE(S$16,$B46,"L"))+COUNTIFS(Database!$F:$I,CONCATENATE($B46,S$16,"W"))+COUNTIFS(Database!$F:$I,CONCATENATE(S$16,$B46,"W"))</f>
        <v>1</v>
      </c>
      <c r="T46" s="123">
        <f>COUNTIFS(Database!$F:$I,CONCATENATE($B46,T$16,"L"))+COUNTIFS(Database!$F:$I,CONCATENATE(T$16,$B46,"L"))+COUNTIFS(Database!$F:$I,CONCATENATE($B46,T$16,"W"))+COUNTIFS(Database!$F:$I,CONCATENATE(T$16,$B46,"W"))</f>
        <v>0</v>
      </c>
      <c r="U46" s="123">
        <f>COUNTIFS(Database!$F:$I,CONCATENATE($B46,U$16,"L"))+COUNTIFS(Database!$F:$I,CONCATENATE(U$16,$B46,"L"))+COUNTIFS(Database!$F:$I,CONCATENATE($B46,U$16,"W"))+COUNTIFS(Database!$F:$I,CONCATENATE(U$16,$B46,"W"))</f>
        <v>0</v>
      </c>
      <c r="V46" s="123">
        <f>COUNTIFS(Database!$F:$I,CONCATENATE($B46,V$16,"L"))+COUNTIFS(Database!$F:$I,CONCATENATE(V$16,$B46,"L"))+COUNTIFS(Database!$F:$I,CONCATENATE($B46,V$16,"W"))+COUNTIFS(Database!$F:$I,CONCATENATE(V$16,$B46,"W"))</f>
        <v>0</v>
      </c>
      <c r="W46" s="123">
        <f>COUNTIFS(Database!$F:$I,CONCATENATE($B46,W$16,"L"))+COUNTIFS(Database!$F:$I,CONCATENATE(W$16,$B46,"L"))+COUNTIFS(Database!$F:$I,CONCATENATE($B46,W$16,"W"))+COUNTIFS(Database!$F:$I,CONCATENATE(W$16,$B46,"W"))</f>
        <v>2</v>
      </c>
      <c r="X46" s="123">
        <f>COUNTIFS(Database!$F:$I,CONCATENATE($B46,X$16,"L"))+COUNTIFS(Database!$F:$I,CONCATENATE(X$16,$B46,"L"))+COUNTIFS(Database!$F:$I,CONCATENATE($B46,X$16,"W"))+COUNTIFS(Database!$F:$I,CONCATENATE(X$16,$B46,"W"))</f>
        <v>0</v>
      </c>
      <c r="Y46" s="123">
        <f>COUNTIFS(Database!$F:$I,CONCATENATE($B46,Y$16,"L"))+COUNTIFS(Database!$F:$I,CONCATENATE(Y$16,$B46,"L"))+COUNTIFS(Database!$F:$I,CONCATENATE($B46,Y$16,"W"))+COUNTIFS(Database!$F:$I,CONCATENATE(Y$16,$B46,"W"))</f>
        <v>0</v>
      </c>
      <c r="Z46" s="123">
        <f>COUNTIFS(Database!$F:$I,CONCATENATE($B46,Z$16,"L"))+COUNTIFS(Database!$F:$I,CONCATENATE(Z$16,$B46,"L"))+COUNTIFS(Database!$F:$I,CONCATENATE($B46,Z$16,"W"))+COUNTIFS(Database!$F:$I,CONCATENATE(Z$16,$B46,"W"))</f>
        <v>0</v>
      </c>
      <c r="AA46" s="123">
        <f>COUNTIFS(Database!$F:$I,CONCATENATE($B46,AA$16,"L"))+COUNTIFS(Database!$F:$I,CONCATENATE(AA$16,$B46,"L"))+COUNTIFS(Database!$F:$I,CONCATENATE($B46,AA$16,"W"))+COUNTIFS(Database!$F:$I,CONCATENATE(AA$16,$B46,"W"))</f>
        <v>0</v>
      </c>
      <c r="AB46" s="123">
        <f>COUNTIFS(Database!$F:$I,CONCATENATE($B46,AB$16,"L"))+COUNTIFS(Database!$F:$I,CONCATENATE(AB$16,$B46,"L"))+COUNTIFS(Database!$F:$I,CONCATENATE($B46,AB$16,"W"))+COUNTIFS(Database!$F:$I,CONCATENATE(AB$16,$B46,"W"))</f>
        <v>0</v>
      </c>
      <c r="AC46" s="123">
        <f>COUNTIFS(Database!$F:$I,CONCATENATE($B46,AC$16,"L"))+COUNTIFS(Database!$F:$I,CONCATENATE(AC$16,$B46,"L"))+COUNTIFS(Database!$F:$I,CONCATENATE($B46,AC$16,"W"))+COUNTIFS(Database!$F:$I,CONCATENATE(AC$16,$B46,"W"))</f>
        <v>0</v>
      </c>
      <c r="AD46" s="123">
        <f>COUNTIFS(Database!$F:$I,CONCATENATE($B46,AD$16,"L"))+COUNTIFS(Database!$F:$I,CONCATENATE(AD$16,$B46,"L"))+COUNTIFS(Database!$F:$I,CONCATENATE($B46,AD$16,"W"))+COUNTIFS(Database!$F:$I,CONCATENATE(AD$16,$B46,"W"))</f>
        <v>0</v>
      </c>
      <c r="AE46" s="123">
        <f>COUNTIFS(Database!$F:$I,CONCATENATE($B46,AE$16,"L"))+COUNTIFS(Database!$F:$I,CONCATENATE(AE$16,$B46,"L"))+COUNTIFS(Database!$F:$I,CONCATENATE($B46,AE$16,"W"))+COUNTIFS(Database!$F:$I,CONCATENATE(AE$16,$B46,"W"))</f>
        <v>0</v>
      </c>
      <c r="AF46" s="123">
        <f>COUNTIFS(Database!$F:$I,CONCATENATE($B46,AF$16,"L"))+COUNTIFS(Database!$F:$I,CONCATENATE(AF$16,$B46,"L"))+COUNTIFS(Database!$F:$I,CONCATENATE($B46,AF$16,"W"))+COUNTIFS(Database!$F:$I,CONCATENATE(AF$16,$B46,"W"))</f>
        <v>0</v>
      </c>
      <c r="AG46" s="123">
        <f>COUNTIFS(Database!$F:$I,CONCATENATE($B46,AG$16,"L"))+COUNTIFS(Database!$F:$I,CONCATENATE(AG$16,$B46,"L"))+COUNTIFS(Database!$F:$I,CONCATENATE($B46,AG$16,"W"))+COUNTIFS(Database!$F:$I,CONCATENATE(AG$16,$B46,"W"))</f>
        <v>0</v>
      </c>
      <c r="AH46" s="123">
        <f>COUNTIFS(Database!$F:$I,CONCATENATE($B46,AH$16,"L"))+COUNTIFS(Database!$F:$I,CONCATENATE(AH$16,$B46,"L"))+COUNTIFS(Database!$F:$I,CONCATENATE($B46,AH$16,"W"))+COUNTIFS(Database!$F:$I,CONCATENATE(AH$16,$B46,"W"))</f>
        <v>0</v>
      </c>
      <c r="AI46" s="123">
        <f>COUNTIFS(Database!$F:$I,CONCATENATE($B46,AI$16,"L"))+COUNTIFS(Database!$F:$I,CONCATENATE(AI$16,$B46,"L"))+COUNTIFS(Database!$F:$I,CONCATENATE($B46,AI$16,"W"))+COUNTIFS(Database!$F:$I,CONCATENATE(AI$16,$B46,"W"))</f>
        <v>2</v>
      </c>
      <c r="AJ46" s="123">
        <f>COUNTIFS(Database!$F:$I,CONCATENATE($B46,AJ$16,"L"))+COUNTIFS(Database!$F:$I,CONCATENATE(AJ$16,$B46,"L"))+COUNTIFS(Database!$F:$I,CONCATENATE($B46,AJ$16,"W"))+COUNTIFS(Database!$F:$I,CONCATENATE(AJ$16,$B46,"W"))</f>
        <v>0</v>
      </c>
      <c r="AK46" s="123">
        <f>COUNTIFS(Database!$F:$I,CONCATENATE($B46,AK$16,"L"))+COUNTIFS(Database!$F:$I,CONCATENATE(AK$16,$B46,"L"))+COUNTIFS(Database!$F:$I,CONCATENATE($B46,AK$16,"W"))+COUNTIFS(Database!$F:$I,CONCATENATE(AK$16,$B46,"W"))</f>
        <v>1</v>
      </c>
      <c r="AL46" s="123">
        <f>COUNTIFS(Database!$F:$I,CONCATENATE($B46,AL$16,"L"))+COUNTIFS(Database!$F:$I,CONCATENATE(AL$16,$B46,"L"))+COUNTIFS(Database!$F:$I,CONCATENATE($B46,AL$16,"W"))+COUNTIFS(Database!$F:$I,CONCATENATE(AL$16,$B46,"W"))</f>
        <v>0</v>
      </c>
      <c r="AM46" s="123">
        <f>COUNTIFS(Database!$F:$I,CONCATENATE($B46,AM$16,"L"))+COUNTIFS(Database!$F:$I,CONCATENATE(AM$16,$B46,"L"))+COUNTIFS(Database!$F:$I,CONCATENATE($B46,AM$16,"W"))+COUNTIFS(Database!$F:$I,CONCATENATE(AM$16,$B46,"W"))</f>
        <v>0</v>
      </c>
      <c r="AN46" s="123">
        <f>COUNTIFS(Database!$F:$I,CONCATENATE($B46,AN$16,"L"))+COUNTIFS(Database!$F:$I,CONCATENATE(AN$16,$B46,"L"))+COUNTIFS(Database!$F:$I,CONCATENATE($B46,AN$16,"W"))+COUNTIFS(Database!$F:$I,CONCATENATE(AN$16,$B46,"W"))</f>
        <v>0</v>
      </c>
      <c r="AO46" s="123">
        <f>COUNTIFS(Database!$F:$I,CONCATENATE($B46,AO$16,"L"))+COUNTIFS(Database!$F:$I,CONCATENATE(AO$16,$B46,"L"))+COUNTIFS(Database!$F:$I,CONCATENATE($B46,AO$16,"W"))+COUNTIFS(Database!$F:$I,CONCATENATE(AO$16,$B46,"W"))</f>
        <v>0</v>
      </c>
      <c r="AP46" s="123">
        <f>COUNTIFS(Database!$F:$I,CONCATENATE($B46,AP$16,"L"))+COUNTIFS(Database!$F:$I,CONCATENATE(AP$16,$B46,"L"))+COUNTIFS(Database!$F:$I,CONCATENATE($B46,AP$16,"W"))+COUNTIFS(Database!$F:$I,CONCATENATE(AP$16,$B46,"W"))</f>
        <v>2</v>
      </c>
      <c r="AQ46" s="123">
        <f>COUNTIFS(Database!$F:$I,CONCATENATE($B46,AQ$16,"L"))+COUNTIFS(Database!$F:$I,CONCATENATE(AQ$16,$B46,"L"))+COUNTIFS(Database!$F:$I,CONCATENATE($B46,AQ$16,"W"))+COUNTIFS(Database!$F:$I,CONCATENATE(AQ$16,$B46,"W"))</f>
        <v>0</v>
      </c>
      <c r="AR46" s="123">
        <f>COUNTIFS(Database!$F:$I,CONCATENATE($B46,AR$16,"L"))+COUNTIFS(Database!$F:$I,CONCATENATE(AR$16,$B46,"L"))+COUNTIFS(Database!$F:$I,CONCATENATE($B46,AR$16,"W"))+COUNTIFS(Database!$F:$I,CONCATENATE(AR$16,$B46,"W"))</f>
        <v>0</v>
      </c>
      <c r="AS46" s="123">
        <f>COUNTIFS(Database!$F:$I,CONCATENATE($B46,AS$16,"L"))+COUNTIFS(Database!$F:$I,CONCATENATE(AS$16,$B46,"L"))+COUNTIFS(Database!$F:$I,CONCATENATE($B46,AS$16,"W"))+COUNTIFS(Database!$F:$I,CONCATENATE(AS$16,$B46,"W"))</f>
        <v>0</v>
      </c>
      <c r="AT46" s="123">
        <f>COUNTIFS(Database!$F:$I,CONCATENATE($B46,AT$16,"L"))+COUNTIFS(Database!$F:$I,CONCATENATE(AT$16,$B46,"L"))+COUNTIFS(Database!$F:$I,CONCATENATE($B46,AT$16,"W"))+COUNTIFS(Database!$F:$I,CONCATENATE(AT$16,$B46,"W"))</f>
        <v>0</v>
      </c>
      <c r="AU46" s="123">
        <f>COUNTIFS(Database!$F:$I,CONCATENATE($B46,AU$16,"L"))+COUNTIFS(Database!$F:$I,CONCATENATE(AU$16,$B46,"L"))+COUNTIFS(Database!$F:$I,CONCATENATE($B46,AU$16,"W"))+COUNTIFS(Database!$F:$I,CONCATENATE(AU$16,$B46,"W"))</f>
        <v>2</v>
      </c>
      <c r="AV46" s="123">
        <f>COUNTIFS(Database!$F:$I,CONCATENATE($B46,AV$16,"L"))+COUNTIFS(Database!$F:$I,CONCATENATE(AV$16,$B46,"L"))+COUNTIFS(Database!$F:$I,CONCATENATE($B46,AV$16,"W"))+COUNTIFS(Database!$F:$I,CONCATENATE(AV$16,$B46,"W"))</f>
        <v>0</v>
      </c>
      <c r="AW46" s="123">
        <f>COUNTIFS(Database!$F:$I,CONCATENATE($B46,AW$16,"L"))+COUNTIFS(Database!$F:$I,CONCATENATE(AW$16,$B46,"L"))+COUNTIFS(Database!$F:$I,CONCATENATE($B46,AW$16,"W"))+COUNTIFS(Database!$F:$I,CONCATENATE(AW$16,$B46,"W"))</f>
        <v>0</v>
      </c>
      <c r="AX46" s="123">
        <f>COUNTIFS(Database!$F:$I,CONCATENATE($B46,AX$16,"L"))+COUNTIFS(Database!$F:$I,CONCATENATE(AX$16,$B46,"L"))+COUNTIFS(Database!$F:$I,CONCATENATE($B46,AX$16,"W"))+COUNTIFS(Database!$F:$I,CONCATENATE(AX$16,$B46,"W"))</f>
        <v>0</v>
      </c>
      <c r="AY46" s="123">
        <f>COUNTIFS(Database!$F:$I,CONCATENATE($B46,AY$16,"L"))+COUNTIFS(Database!$F:$I,CONCATENATE(AY$16,$B46,"L"))+COUNTIFS(Database!$F:$I,CONCATENATE($B46,AY$16,"W"))+COUNTIFS(Database!$F:$I,CONCATENATE(AY$16,$B46,"W"))</f>
        <v>0</v>
      </c>
    </row>
    <row r="47" spans="2:51" x14ac:dyDescent="0.25">
      <c r="B47" s="120" t="s">
        <v>22</v>
      </c>
      <c r="C47" s="123">
        <f>COUNTIFS(Database!$F:$I,CONCATENATE($B47,C$16,"L"))+COUNTIFS(Database!$F:$I,CONCATENATE(C$16,$B47,"L"))+COUNTIFS(Database!$F:$I,CONCATENATE($B47,C$16,"W"))+COUNTIFS(Database!$F:$I,CONCATENATE(C$16,$B47,"W"))</f>
        <v>1</v>
      </c>
      <c r="D47" s="123">
        <f>COUNTIFS(Database!$F:$I,CONCATENATE($B47,D$16,"L"))+COUNTIFS(Database!$F:$I,CONCATENATE(D$16,$B47,"L"))+COUNTIFS(Database!$F:$I,CONCATENATE($B47,D$16,"W"))+COUNTIFS(Database!$F:$I,CONCATENATE(D$16,$B47,"W"))</f>
        <v>1</v>
      </c>
      <c r="E47" s="123">
        <f>COUNTIFS(Database!$F:$I,CONCATENATE($B47,E$16,"L"))+COUNTIFS(Database!$F:$I,CONCATENATE(E$16,$B47,"L"))+COUNTIFS(Database!$F:$I,CONCATENATE($B47,E$16,"W"))+COUNTIFS(Database!$F:$I,CONCATENATE(E$16,$B47,"W"))</f>
        <v>1</v>
      </c>
      <c r="F47" s="123">
        <f>COUNTIFS(Database!$F:$I,CONCATENATE($B47,F$16,"L"))+COUNTIFS(Database!$F:$I,CONCATENATE(F$16,$B47,"L"))+COUNTIFS(Database!$F:$I,CONCATENATE($B47,F$16,"W"))+COUNTIFS(Database!$F:$I,CONCATENATE(F$16,$B47,"W"))</f>
        <v>0</v>
      </c>
      <c r="G47" s="123">
        <f>COUNTIFS(Database!$F:$I,CONCATENATE($B47,G$16,"L"))+COUNTIFS(Database!$F:$I,CONCATENATE(G$16,$B47,"L"))+COUNTIFS(Database!$F:$I,CONCATENATE($B47,G$16,"W"))+COUNTIFS(Database!$F:$I,CONCATENATE(G$16,$B47,"W"))</f>
        <v>0</v>
      </c>
      <c r="H47" s="123">
        <f>COUNTIFS(Database!$F:$I,CONCATENATE($B47,H$16,"L"))+COUNTIFS(Database!$F:$I,CONCATENATE(H$16,$B47,"L"))+COUNTIFS(Database!$F:$I,CONCATENATE($B47,H$16,"W"))+COUNTIFS(Database!$F:$I,CONCATENATE(H$16,$B47,"W"))</f>
        <v>0</v>
      </c>
      <c r="I47" s="123">
        <f>COUNTIFS(Database!$F:$I,CONCATENATE($B47,I$16,"L"))+COUNTIFS(Database!$F:$I,CONCATENATE(I$16,$B47,"L"))+COUNTIFS(Database!$F:$I,CONCATENATE($B47,I$16,"W"))+COUNTIFS(Database!$F:$I,CONCATENATE(I$16,$B47,"W"))</f>
        <v>0</v>
      </c>
      <c r="J47" s="123">
        <f>COUNTIFS(Database!$F:$I,CONCATENATE($B47,J$16,"L"))+COUNTIFS(Database!$F:$I,CONCATENATE(J$16,$B47,"L"))+COUNTIFS(Database!$F:$I,CONCATENATE($B47,J$16,"W"))+COUNTIFS(Database!$F:$I,CONCATENATE(J$16,$B47,"W"))</f>
        <v>0</v>
      </c>
      <c r="K47" s="123">
        <f>COUNTIFS(Database!$F:$I,CONCATENATE($B47,K$16,"L"))+COUNTIFS(Database!$F:$I,CONCATENATE(K$16,$B47,"L"))+COUNTIFS(Database!$F:$I,CONCATENATE($B47,K$16,"W"))+COUNTIFS(Database!$F:$I,CONCATENATE(K$16,$B47,"W"))</f>
        <v>1</v>
      </c>
      <c r="L47" s="123">
        <f>COUNTIFS(Database!$F:$I,CONCATENATE($B47,L$16,"L"))+COUNTIFS(Database!$F:$I,CONCATENATE(L$16,$B47,"L"))+COUNTIFS(Database!$F:$I,CONCATENATE($B47,L$16,"W"))+COUNTIFS(Database!$F:$I,CONCATENATE(L$16,$B47,"W"))</f>
        <v>0</v>
      </c>
      <c r="M47" s="123">
        <f>COUNTIFS(Database!$F:$I,CONCATENATE($B47,M$16,"L"))+COUNTIFS(Database!$F:$I,CONCATENATE(M$16,$B47,"L"))+COUNTIFS(Database!$F:$I,CONCATENATE($B47,M$16,"W"))+COUNTIFS(Database!$F:$I,CONCATENATE(M$16,$B47,"W"))</f>
        <v>0</v>
      </c>
      <c r="N47" s="123">
        <f>COUNTIFS(Database!$F:$I,CONCATENATE($B47,N$16,"L"))+COUNTIFS(Database!$F:$I,CONCATENATE(N$16,$B47,"L"))+COUNTIFS(Database!$F:$I,CONCATENATE($B47,N$16,"W"))+COUNTIFS(Database!$F:$I,CONCATENATE(N$16,$B47,"W"))</f>
        <v>0</v>
      </c>
      <c r="O47" s="123">
        <f>COUNTIFS(Database!$F:$I,CONCATENATE($B47,O$16,"L"))+COUNTIFS(Database!$F:$I,CONCATENATE(O$16,$B47,"L"))+COUNTIFS(Database!$F:$I,CONCATENATE($B47,O$16,"W"))+COUNTIFS(Database!$F:$I,CONCATENATE(O$16,$B47,"W"))</f>
        <v>1</v>
      </c>
      <c r="P47" s="123">
        <f>COUNTIFS(Database!$F:$I,CONCATENATE($B47,P$16,"L"))+COUNTIFS(Database!$F:$I,CONCATENATE(P$16,$B47,"L"))+COUNTIFS(Database!$F:$I,CONCATENATE($B47,P$16,"W"))+COUNTIFS(Database!$F:$I,CONCATENATE(P$16,$B47,"W"))</f>
        <v>0</v>
      </c>
      <c r="Q47" s="123">
        <f>COUNTIFS(Database!$F:$I,CONCATENATE($B47,Q$16,"L"))+COUNTIFS(Database!$F:$I,CONCATENATE(Q$16,$B47,"L"))+COUNTIFS(Database!$F:$I,CONCATENATE($B47,Q$16,"W"))+COUNTIFS(Database!$F:$I,CONCATENATE(Q$16,$B47,"W"))</f>
        <v>0</v>
      </c>
      <c r="R47" s="123">
        <f>COUNTIFS(Database!$F:$I,CONCATENATE($B47,R$16,"L"))+COUNTIFS(Database!$F:$I,CONCATENATE(R$16,$B47,"L"))+COUNTIFS(Database!$F:$I,CONCATENATE($B47,R$16,"W"))+COUNTIFS(Database!$F:$I,CONCATENATE(R$16,$B47,"W"))</f>
        <v>0</v>
      </c>
      <c r="S47" s="123">
        <f>COUNTIFS(Database!$F:$I,CONCATENATE($B47,S$16,"L"))+COUNTIFS(Database!$F:$I,CONCATENATE(S$16,$B47,"L"))+COUNTIFS(Database!$F:$I,CONCATENATE($B47,S$16,"W"))+COUNTIFS(Database!$F:$I,CONCATENATE(S$16,$B47,"W"))</f>
        <v>0</v>
      </c>
      <c r="T47" s="123">
        <f>COUNTIFS(Database!$F:$I,CONCATENATE($B47,T$16,"L"))+COUNTIFS(Database!$F:$I,CONCATENATE(T$16,$B47,"L"))+COUNTIFS(Database!$F:$I,CONCATENATE($B47,T$16,"W"))+COUNTIFS(Database!$F:$I,CONCATENATE(T$16,$B47,"W"))</f>
        <v>0</v>
      </c>
      <c r="U47" s="123">
        <f>COUNTIFS(Database!$F:$I,CONCATENATE($B47,U$16,"L"))+COUNTIFS(Database!$F:$I,CONCATENATE(U$16,$B47,"L"))+COUNTIFS(Database!$F:$I,CONCATENATE($B47,U$16,"W"))+COUNTIFS(Database!$F:$I,CONCATENATE(U$16,$B47,"W"))</f>
        <v>0</v>
      </c>
      <c r="V47" s="123">
        <f>COUNTIFS(Database!$F:$I,CONCATENATE($B47,V$16,"L"))+COUNTIFS(Database!$F:$I,CONCATENATE(V$16,$B47,"L"))+COUNTIFS(Database!$F:$I,CONCATENATE($B47,V$16,"W"))+COUNTIFS(Database!$F:$I,CONCATENATE(V$16,$B47,"W"))</f>
        <v>0</v>
      </c>
      <c r="W47" s="123">
        <f>COUNTIFS(Database!$F:$I,CONCATENATE($B47,W$16,"L"))+COUNTIFS(Database!$F:$I,CONCATENATE(W$16,$B47,"L"))+COUNTIFS(Database!$F:$I,CONCATENATE($B47,W$16,"W"))+COUNTIFS(Database!$F:$I,CONCATENATE(W$16,$B47,"W"))</f>
        <v>0</v>
      </c>
      <c r="X47" s="123">
        <f>COUNTIFS(Database!$F:$I,CONCATENATE($B47,X$16,"L"))+COUNTIFS(Database!$F:$I,CONCATENATE(X$16,$B47,"L"))+COUNTIFS(Database!$F:$I,CONCATENATE($B47,X$16,"W"))+COUNTIFS(Database!$F:$I,CONCATENATE(X$16,$B47,"W"))</f>
        <v>0</v>
      </c>
      <c r="Y47" s="123">
        <f>COUNTIFS(Database!$F:$I,CONCATENATE($B47,Y$16,"L"))+COUNTIFS(Database!$F:$I,CONCATENATE(Y$16,$B47,"L"))+COUNTIFS(Database!$F:$I,CONCATENATE($B47,Y$16,"W"))+COUNTIFS(Database!$F:$I,CONCATENATE(Y$16,$B47,"W"))</f>
        <v>0</v>
      </c>
      <c r="Z47" s="123">
        <f>COUNTIFS(Database!$F:$I,CONCATENATE($B47,Z$16,"L"))+COUNTIFS(Database!$F:$I,CONCATENATE(Z$16,$B47,"L"))+COUNTIFS(Database!$F:$I,CONCATENATE($B47,Z$16,"W"))+COUNTIFS(Database!$F:$I,CONCATENATE(Z$16,$B47,"W"))</f>
        <v>0</v>
      </c>
      <c r="AA47" s="123">
        <f>COUNTIFS(Database!$F:$I,CONCATENATE($B47,AA$16,"L"))+COUNTIFS(Database!$F:$I,CONCATENATE(AA$16,$B47,"L"))+COUNTIFS(Database!$F:$I,CONCATENATE($B47,AA$16,"W"))+COUNTIFS(Database!$F:$I,CONCATENATE(AA$16,$B47,"W"))</f>
        <v>0</v>
      </c>
      <c r="AB47" s="123">
        <f>COUNTIFS(Database!$F:$I,CONCATENATE($B47,AB$16,"L"))+COUNTIFS(Database!$F:$I,CONCATENATE(AB$16,$B47,"L"))+COUNTIFS(Database!$F:$I,CONCATENATE($B47,AB$16,"W"))+COUNTIFS(Database!$F:$I,CONCATENATE(AB$16,$B47,"W"))</f>
        <v>1</v>
      </c>
      <c r="AC47" s="123">
        <f>COUNTIFS(Database!$F:$I,CONCATENATE($B47,AC$16,"L"))+COUNTIFS(Database!$F:$I,CONCATENATE(AC$16,$B47,"L"))+COUNTIFS(Database!$F:$I,CONCATENATE($B47,AC$16,"W"))+COUNTIFS(Database!$F:$I,CONCATENATE(AC$16,$B47,"W"))</f>
        <v>2</v>
      </c>
      <c r="AD47" s="123">
        <f>COUNTIFS(Database!$F:$I,CONCATENATE($B47,AD$16,"L"))+COUNTIFS(Database!$F:$I,CONCATENATE(AD$16,$B47,"L"))+COUNTIFS(Database!$F:$I,CONCATENATE($B47,AD$16,"W"))+COUNTIFS(Database!$F:$I,CONCATENATE(AD$16,$B47,"W"))</f>
        <v>0</v>
      </c>
      <c r="AE47" s="123">
        <f>COUNTIFS(Database!$F:$I,CONCATENATE($B47,AE$16,"L"))+COUNTIFS(Database!$F:$I,CONCATENATE(AE$16,$B47,"L"))+COUNTIFS(Database!$F:$I,CONCATENATE($B47,AE$16,"W"))+COUNTIFS(Database!$F:$I,CONCATENATE(AE$16,$B47,"W"))</f>
        <v>0</v>
      </c>
      <c r="AF47" s="123">
        <f>COUNTIFS(Database!$F:$I,CONCATENATE($B47,AF$16,"L"))+COUNTIFS(Database!$F:$I,CONCATENATE(AF$16,$B47,"L"))+COUNTIFS(Database!$F:$I,CONCATENATE($B47,AF$16,"W"))+COUNTIFS(Database!$F:$I,CONCATENATE(AF$16,$B47,"W"))</f>
        <v>0</v>
      </c>
      <c r="AG47" s="123">
        <f>COUNTIFS(Database!$F:$I,CONCATENATE($B47,AG$16,"L"))+COUNTIFS(Database!$F:$I,CONCATENATE(AG$16,$B47,"L"))+COUNTIFS(Database!$F:$I,CONCATENATE($B47,AG$16,"W"))+COUNTIFS(Database!$F:$I,CONCATENATE(AG$16,$B47,"W"))</f>
        <v>0</v>
      </c>
      <c r="AH47" s="123">
        <f>COUNTIFS(Database!$F:$I,CONCATENATE($B47,AH$16,"L"))+COUNTIFS(Database!$F:$I,CONCATENATE(AH$16,$B47,"L"))+COUNTIFS(Database!$F:$I,CONCATENATE($B47,AH$16,"W"))+COUNTIFS(Database!$F:$I,CONCATENATE(AH$16,$B47,"W"))</f>
        <v>1</v>
      </c>
      <c r="AI47" s="123">
        <f>COUNTIFS(Database!$F:$I,CONCATENATE($B47,AI$16,"L"))+COUNTIFS(Database!$F:$I,CONCATENATE(AI$16,$B47,"L"))+COUNTIFS(Database!$F:$I,CONCATENATE($B47,AI$16,"W"))+COUNTIFS(Database!$F:$I,CONCATENATE(AI$16,$B47,"W"))</f>
        <v>0</v>
      </c>
      <c r="AJ47" s="123">
        <f>COUNTIFS(Database!$F:$I,CONCATENATE($B47,AJ$16,"L"))+COUNTIFS(Database!$F:$I,CONCATENATE(AJ$16,$B47,"L"))+COUNTIFS(Database!$F:$I,CONCATENATE($B47,AJ$16,"W"))+COUNTIFS(Database!$F:$I,CONCATENATE(AJ$16,$B47,"W"))</f>
        <v>0</v>
      </c>
      <c r="AK47" s="123">
        <f>COUNTIFS(Database!$F:$I,CONCATENATE($B47,AK$16,"L"))+COUNTIFS(Database!$F:$I,CONCATENATE(AK$16,$B47,"L"))+COUNTIFS(Database!$F:$I,CONCATENATE($B47,AK$16,"W"))+COUNTIFS(Database!$F:$I,CONCATENATE(AK$16,$B47,"W"))</f>
        <v>0</v>
      </c>
      <c r="AL47" s="123">
        <f>COUNTIFS(Database!$F:$I,CONCATENATE($B47,AL$16,"L"))+COUNTIFS(Database!$F:$I,CONCATENATE(AL$16,$B47,"L"))+COUNTIFS(Database!$F:$I,CONCATENATE($B47,AL$16,"W"))+COUNTIFS(Database!$F:$I,CONCATENATE(AL$16,$B47,"W"))</f>
        <v>1</v>
      </c>
      <c r="AM47" s="123">
        <f>COUNTIFS(Database!$F:$I,CONCATENATE($B47,AM$16,"L"))+COUNTIFS(Database!$F:$I,CONCATENATE(AM$16,$B47,"L"))+COUNTIFS(Database!$F:$I,CONCATENATE($B47,AM$16,"W"))+COUNTIFS(Database!$F:$I,CONCATENATE(AM$16,$B47,"W"))</f>
        <v>0</v>
      </c>
      <c r="AN47" s="123">
        <f>COUNTIFS(Database!$F:$I,CONCATENATE($B47,AN$16,"L"))+COUNTIFS(Database!$F:$I,CONCATENATE(AN$16,$B47,"L"))+COUNTIFS(Database!$F:$I,CONCATENATE($B47,AN$16,"W"))+COUNTIFS(Database!$F:$I,CONCATENATE(AN$16,$B47,"W"))</f>
        <v>0</v>
      </c>
      <c r="AO47" s="123">
        <f>COUNTIFS(Database!$F:$I,CONCATENATE($B47,AO$16,"L"))+COUNTIFS(Database!$F:$I,CONCATENATE(AO$16,$B47,"L"))+COUNTIFS(Database!$F:$I,CONCATENATE($B47,AO$16,"W"))+COUNTIFS(Database!$F:$I,CONCATENATE(AO$16,$B47,"W"))</f>
        <v>2</v>
      </c>
      <c r="AP47" s="123">
        <f>COUNTIFS(Database!$F:$I,CONCATENATE($B47,AP$16,"L"))+COUNTIFS(Database!$F:$I,CONCATENATE(AP$16,$B47,"L"))+COUNTIFS(Database!$F:$I,CONCATENATE($B47,AP$16,"W"))+COUNTIFS(Database!$F:$I,CONCATENATE(AP$16,$B47,"W"))</f>
        <v>0</v>
      </c>
      <c r="AQ47" s="123">
        <f>COUNTIFS(Database!$F:$I,CONCATENATE($B47,AQ$16,"L"))+COUNTIFS(Database!$F:$I,CONCATENATE(AQ$16,$B47,"L"))+COUNTIFS(Database!$F:$I,CONCATENATE($B47,AQ$16,"W"))+COUNTIFS(Database!$F:$I,CONCATENATE(AQ$16,$B47,"W"))</f>
        <v>1</v>
      </c>
      <c r="AR47" s="123">
        <f>COUNTIFS(Database!$F:$I,CONCATENATE($B47,AR$16,"L"))+COUNTIFS(Database!$F:$I,CONCATENATE(AR$16,$B47,"L"))+COUNTIFS(Database!$F:$I,CONCATENATE($B47,AR$16,"W"))+COUNTIFS(Database!$F:$I,CONCATENATE(AR$16,$B47,"W"))</f>
        <v>1</v>
      </c>
      <c r="AS47" s="123">
        <f>COUNTIFS(Database!$F:$I,CONCATENATE($B47,AS$16,"L"))+COUNTIFS(Database!$F:$I,CONCATENATE(AS$16,$B47,"L"))+COUNTIFS(Database!$F:$I,CONCATENATE($B47,AS$16,"W"))+COUNTIFS(Database!$F:$I,CONCATENATE(AS$16,$B47,"W"))</f>
        <v>0</v>
      </c>
      <c r="AT47" s="123">
        <f>COUNTIFS(Database!$F:$I,CONCATENATE($B47,AT$16,"L"))+COUNTIFS(Database!$F:$I,CONCATENATE(AT$16,$B47,"L"))+COUNTIFS(Database!$F:$I,CONCATENATE($B47,AT$16,"W"))+COUNTIFS(Database!$F:$I,CONCATENATE(AT$16,$B47,"W"))</f>
        <v>0</v>
      </c>
      <c r="AU47" s="123">
        <f>COUNTIFS(Database!$F:$I,CONCATENATE($B47,AU$16,"L"))+COUNTIFS(Database!$F:$I,CONCATENATE(AU$16,$B47,"L"))+COUNTIFS(Database!$F:$I,CONCATENATE($B47,AU$16,"W"))+COUNTIFS(Database!$F:$I,CONCATENATE(AU$16,$B47,"W"))</f>
        <v>0</v>
      </c>
      <c r="AV47" s="123">
        <f>COUNTIFS(Database!$F:$I,CONCATENATE($B47,AV$16,"L"))+COUNTIFS(Database!$F:$I,CONCATENATE(AV$16,$B47,"L"))+COUNTIFS(Database!$F:$I,CONCATENATE($B47,AV$16,"W"))+COUNTIFS(Database!$F:$I,CONCATENATE(AV$16,$B47,"W"))</f>
        <v>0</v>
      </c>
      <c r="AW47" s="123">
        <f>COUNTIFS(Database!$F:$I,CONCATENATE($B47,AW$16,"L"))+COUNTIFS(Database!$F:$I,CONCATENATE(AW$16,$B47,"L"))+COUNTIFS(Database!$F:$I,CONCATENATE($B47,AW$16,"W"))+COUNTIFS(Database!$F:$I,CONCATENATE(AW$16,$B47,"W"))</f>
        <v>0</v>
      </c>
      <c r="AX47" s="123">
        <f>COUNTIFS(Database!$F:$I,CONCATENATE($B47,AX$16,"L"))+COUNTIFS(Database!$F:$I,CONCATENATE(AX$16,$B47,"L"))+COUNTIFS(Database!$F:$I,CONCATENATE($B47,AX$16,"W"))+COUNTIFS(Database!$F:$I,CONCATENATE(AX$16,$B47,"W"))</f>
        <v>1</v>
      </c>
      <c r="AY47" s="123">
        <f>COUNTIFS(Database!$F:$I,CONCATENATE($B47,AY$16,"L"))+COUNTIFS(Database!$F:$I,CONCATENATE(AY$16,$B47,"L"))+COUNTIFS(Database!$F:$I,CONCATENATE($B47,AY$16,"W"))+COUNTIFS(Database!$F:$I,CONCATENATE(AY$16,$B47,"W"))</f>
        <v>0</v>
      </c>
    </row>
    <row r="48" spans="2:51" x14ac:dyDescent="0.25">
      <c r="B48" s="120" t="s">
        <v>140</v>
      </c>
      <c r="C48" s="123">
        <f>COUNTIFS(Database!$F:$I,CONCATENATE($B48,C$16,"L"))+COUNTIFS(Database!$F:$I,CONCATENATE(C$16,$B48,"L"))+COUNTIFS(Database!$F:$I,CONCATENATE($B48,C$16,"W"))+COUNTIFS(Database!$F:$I,CONCATENATE(C$16,$B48,"W"))</f>
        <v>0</v>
      </c>
      <c r="D48" s="123">
        <f>COUNTIFS(Database!$F:$I,CONCATENATE($B48,D$16,"L"))+COUNTIFS(Database!$F:$I,CONCATENATE(D$16,$B48,"L"))+COUNTIFS(Database!$F:$I,CONCATENATE($B48,D$16,"W"))+COUNTIFS(Database!$F:$I,CONCATENATE(D$16,$B48,"W"))</f>
        <v>0</v>
      </c>
      <c r="E48" s="123">
        <f>COUNTIFS(Database!$F:$I,CONCATENATE($B48,E$16,"L"))+COUNTIFS(Database!$F:$I,CONCATENATE(E$16,$B48,"L"))+COUNTIFS(Database!$F:$I,CONCATENATE($B48,E$16,"W"))+COUNTIFS(Database!$F:$I,CONCATENATE(E$16,$B48,"W"))</f>
        <v>0</v>
      </c>
      <c r="F48" s="123">
        <f>COUNTIFS(Database!$F:$I,CONCATENATE($B48,F$16,"L"))+COUNTIFS(Database!$F:$I,CONCATENATE(F$16,$B48,"L"))+COUNTIFS(Database!$F:$I,CONCATENATE($B48,F$16,"W"))+COUNTIFS(Database!$F:$I,CONCATENATE(F$16,$B48,"W"))</f>
        <v>0</v>
      </c>
      <c r="G48" s="123">
        <f>COUNTIFS(Database!$F:$I,CONCATENATE($B48,G$16,"L"))+COUNTIFS(Database!$F:$I,CONCATENATE(G$16,$B48,"L"))+COUNTIFS(Database!$F:$I,CONCATENATE($B48,G$16,"W"))+COUNTIFS(Database!$F:$I,CONCATENATE(G$16,$B48,"W"))</f>
        <v>0</v>
      </c>
      <c r="H48" s="123">
        <f>COUNTIFS(Database!$F:$I,CONCATENATE($B48,H$16,"L"))+COUNTIFS(Database!$F:$I,CONCATENATE(H$16,$B48,"L"))+COUNTIFS(Database!$F:$I,CONCATENATE($B48,H$16,"W"))+COUNTIFS(Database!$F:$I,CONCATENATE(H$16,$B48,"W"))</f>
        <v>0</v>
      </c>
      <c r="I48" s="123">
        <f>COUNTIFS(Database!$F:$I,CONCATENATE($B48,I$16,"L"))+COUNTIFS(Database!$F:$I,CONCATENATE(I$16,$B48,"L"))+COUNTIFS(Database!$F:$I,CONCATENATE($B48,I$16,"W"))+COUNTIFS(Database!$F:$I,CONCATENATE(I$16,$B48,"W"))</f>
        <v>0</v>
      </c>
      <c r="J48" s="123">
        <f>COUNTIFS(Database!$F:$I,CONCATENATE($B48,J$16,"L"))+COUNTIFS(Database!$F:$I,CONCATENATE(J$16,$B48,"L"))+COUNTIFS(Database!$F:$I,CONCATENATE($B48,J$16,"W"))+COUNTIFS(Database!$F:$I,CONCATENATE(J$16,$B48,"W"))</f>
        <v>0</v>
      </c>
      <c r="K48" s="123">
        <f>COUNTIFS(Database!$F:$I,CONCATENATE($B48,K$16,"L"))+COUNTIFS(Database!$F:$I,CONCATENATE(K$16,$B48,"L"))+COUNTIFS(Database!$F:$I,CONCATENATE($B48,K$16,"W"))+COUNTIFS(Database!$F:$I,CONCATENATE(K$16,$B48,"W"))</f>
        <v>0</v>
      </c>
      <c r="L48" s="123">
        <f>COUNTIFS(Database!$F:$I,CONCATENATE($B48,L$16,"L"))+COUNTIFS(Database!$F:$I,CONCATENATE(L$16,$B48,"L"))+COUNTIFS(Database!$F:$I,CONCATENATE($B48,L$16,"W"))+COUNTIFS(Database!$F:$I,CONCATENATE(L$16,$B48,"W"))</f>
        <v>0</v>
      </c>
      <c r="M48" s="123">
        <f>COUNTIFS(Database!$F:$I,CONCATENATE($B48,M$16,"L"))+COUNTIFS(Database!$F:$I,CONCATENATE(M$16,$B48,"L"))+COUNTIFS(Database!$F:$I,CONCATENATE($B48,M$16,"W"))+COUNTIFS(Database!$F:$I,CONCATENATE(M$16,$B48,"W"))</f>
        <v>0</v>
      </c>
      <c r="N48" s="123">
        <f>COUNTIFS(Database!$F:$I,CONCATENATE($B48,N$16,"L"))+COUNTIFS(Database!$F:$I,CONCATENATE(N$16,$B48,"L"))+COUNTIFS(Database!$F:$I,CONCATENATE($B48,N$16,"W"))+COUNTIFS(Database!$F:$I,CONCATENATE(N$16,$B48,"W"))</f>
        <v>0</v>
      </c>
      <c r="O48" s="123">
        <f>COUNTIFS(Database!$F:$I,CONCATENATE($B48,O$16,"L"))+COUNTIFS(Database!$F:$I,CONCATENATE(O$16,$B48,"L"))+COUNTIFS(Database!$F:$I,CONCATENATE($B48,O$16,"W"))+COUNTIFS(Database!$F:$I,CONCATENATE(O$16,$B48,"W"))</f>
        <v>0</v>
      </c>
      <c r="P48" s="123">
        <f>COUNTIFS(Database!$F:$I,CONCATENATE($B48,P$16,"L"))+COUNTIFS(Database!$F:$I,CONCATENATE(P$16,$B48,"L"))+COUNTIFS(Database!$F:$I,CONCATENATE($B48,P$16,"W"))+COUNTIFS(Database!$F:$I,CONCATENATE(P$16,$B48,"W"))</f>
        <v>0</v>
      </c>
      <c r="Q48" s="123">
        <f>COUNTIFS(Database!$F:$I,CONCATENATE($B48,Q$16,"L"))+COUNTIFS(Database!$F:$I,CONCATENATE(Q$16,$B48,"L"))+COUNTIFS(Database!$F:$I,CONCATENATE($B48,Q$16,"W"))+COUNTIFS(Database!$F:$I,CONCATENATE(Q$16,$B48,"W"))</f>
        <v>0</v>
      </c>
      <c r="R48" s="123">
        <f>COUNTIFS(Database!$F:$I,CONCATENATE($B48,R$16,"L"))+COUNTIFS(Database!$F:$I,CONCATENATE(R$16,$B48,"L"))+COUNTIFS(Database!$F:$I,CONCATENATE($B48,R$16,"W"))+COUNTIFS(Database!$F:$I,CONCATENATE(R$16,$B48,"W"))</f>
        <v>0</v>
      </c>
      <c r="S48" s="123">
        <f>COUNTIFS(Database!$F:$I,CONCATENATE($B48,S$16,"L"))+COUNTIFS(Database!$F:$I,CONCATENATE(S$16,$B48,"L"))+COUNTIFS(Database!$F:$I,CONCATENATE($B48,S$16,"W"))+COUNTIFS(Database!$F:$I,CONCATENATE(S$16,$B48,"W"))</f>
        <v>0</v>
      </c>
      <c r="T48" s="123">
        <f>COUNTIFS(Database!$F:$I,CONCATENATE($B48,T$16,"L"))+COUNTIFS(Database!$F:$I,CONCATENATE(T$16,$B48,"L"))+COUNTIFS(Database!$F:$I,CONCATENATE($B48,T$16,"W"))+COUNTIFS(Database!$F:$I,CONCATENATE(T$16,$B48,"W"))</f>
        <v>0</v>
      </c>
      <c r="U48" s="123">
        <f>COUNTIFS(Database!$F:$I,CONCATENATE($B48,U$16,"L"))+COUNTIFS(Database!$F:$I,CONCATENATE(U$16,$B48,"L"))+COUNTIFS(Database!$F:$I,CONCATENATE($B48,U$16,"W"))+COUNTIFS(Database!$F:$I,CONCATENATE(U$16,$B48,"W"))</f>
        <v>0</v>
      </c>
      <c r="V48" s="123">
        <f>COUNTIFS(Database!$F:$I,CONCATENATE($B48,V$16,"L"))+COUNTIFS(Database!$F:$I,CONCATENATE(V$16,$B48,"L"))+COUNTIFS(Database!$F:$I,CONCATENATE($B48,V$16,"W"))+COUNTIFS(Database!$F:$I,CONCATENATE(V$16,$B48,"W"))</f>
        <v>0</v>
      </c>
      <c r="W48" s="123">
        <f>COUNTIFS(Database!$F:$I,CONCATENATE($B48,W$16,"L"))+COUNTIFS(Database!$F:$I,CONCATENATE(W$16,$B48,"L"))+COUNTIFS(Database!$F:$I,CONCATENATE($B48,W$16,"W"))+COUNTIFS(Database!$F:$I,CONCATENATE(W$16,$B48,"W"))</f>
        <v>0</v>
      </c>
      <c r="X48" s="123">
        <f>COUNTIFS(Database!$F:$I,CONCATENATE($B48,X$16,"L"))+COUNTIFS(Database!$F:$I,CONCATENATE(X$16,$B48,"L"))+COUNTIFS(Database!$F:$I,CONCATENATE($B48,X$16,"W"))+COUNTIFS(Database!$F:$I,CONCATENATE(X$16,$B48,"W"))</f>
        <v>0</v>
      </c>
      <c r="Y48" s="123">
        <f>COUNTIFS(Database!$F:$I,CONCATENATE($B48,Y$16,"L"))+COUNTIFS(Database!$F:$I,CONCATENATE(Y$16,$B48,"L"))+COUNTIFS(Database!$F:$I,CONCATENATE($B48,Y$16,"W"))+COUNTIFS(Database!$F:$I,CONCATENATE(Y$16,$B48,"W"))</f>
        <v>0</v>
      </c>
      <c r="Z48" s="123">
        <f>COUNTIFS(Database!$F:$I,CONCATENATE($B48,Z$16,"L"))+COUNTIFS(Database!$F:$I,CONCATENATE(Z$16,$B48,"L"))+COUNTIFS(Database!$F:$I,CONCATENATE($B48,Z$16,"W"))+COUNTIFS(Database!$F:$I,CONCATENATE(Z$16,$B48,"W"))</f>
        <v>0</v>
      </c>
      <c r="AA48" s="123">
        <f>COUNTIFS(Database!$F:$I,CONCATENATE($B48,AA$16,"L"))+COUNTIFS(Database!$F:$I,CONCATENATE(AA$16,$B48,"L"))+COUNTIFS(Database!$F:$I,CONCATENATE($B48,AA$16,"W"))+COUNTIFS(Database!$F:$I,CONCATENATE(AA$16,$B48,"W"))</f>
        <v>0</v>
      </c>
      <c r="AB48" s="123">
        <f>COUNTIFS(Database!$F:$I,CONCATENATE($B48,AB$16,"L"))+COUNTIFS(Database!$F:$I,CONCATENATE(AB$16,$B48,"L"))+COUNTIFS(Database!$F:$I,CONCATENATE($B48,AB$16,"W"))+COUNTIFS(Database!$F:$I,CONCATENATE(AB$16,$B48,"W"))</f>
        <v>1</v>
      </c>
      <c r="AC48" s="123">
        <f>COUNTIFS(Database!$F:$I,CONCATENATE($B48,AC$16,"L"))+COUNTIFS(Database!$F:$I,CONCATENATE(AC$16,$B48,"L"))+COUNTIFS(Database!$F:$I,CONCATENATE($B48,AC$16,"W"))+COUNTIFS(Database!$F:$I,CONCATENATE(AC$16,$B48,"W"))</f>
        <v>1</v>
      </c>
      <c r="AD48" s="123">
        <f>COUNTIFS(Database!$F:$I,CONCATENATE($B48,AD$16,"L"))+COUNTIFS(Database!$F:$I,CONCATENATE(AD$16,$B48,"L"))+COUNTIFS(Database!$F:$I,CONCATENATE($B48,AD$16,"W"))+COUNTIFS(Database!$F:$I,CONCATENATE(AD$16,$B48,"W"))</f>
        <v>0</v>
      </c>
      <c r="AE48" s="123">
        <f>COUNTIFS(Database!$F:$I,CONCATENATE($B48,AE$16,"L"))+COUNTIFS(Database!$F:$I,CONCATENATE(AE$16,$B48,"L"))+COUNTIFS(Database!$F:$I,CONCATENATE($B48,AE$16,"W"))+COUNTIFS(Database!$F:$I,CONCATENATE(AE$16,$B48,"W"))</f>
        <v>0</v>
      </c>
      <c r="AF48" s="123">
        <f>COUNTIFS(Database!$F:$I,CONCATENATE($B48,AF$16,"L"))+COUNTIFS(Database!$F:$I,CONCATENATE(AF$16,$B48,"L"))+COUNTIFS(Database!$F:$I,CONCATENATE($B48,AF$16,"W"))+COUNTIFS(Database!$F:$I,CONCATENATE(AF$16,$B48,"W"))</f>
        <v>0</v>
      </c>
      <c r="AG48" s="123">
        <f>COUNTIFS(Database!$F:$I,CONCATENATE($B48,AG$16,"L"))+COUNTIFS(Database!$F:$I,CONCATENATE(AG$16,$B48,"L"))+COUNTIFS(Database!$F:$I,CONCATENATE($B48,AG$16,"W"))+COUNTIFS(Database!$F:$I,CONCATENATE(AG$16,$B48,"W"))</f>
        <v>1</v>
      </c>
      <c r="AH48" s="123">
        <f>COUNTIFS(Database!$F:$I,CONCATENATE($B48,AH$16,"L"))+COUNTIFS(Database!$F:$I,CONCATENATE(AH$16,$B48,"L"))+COUNTIFS(Database!$F:$I,CONCATENATE($B48,AH$16,"W"))+COUNTIFS(Database!$F:$I,CONCATENATE(AH$16,$B48,"W"))</f>
        <v>0</v>
      </c>
      <c r="AI48" s="123">
        <f>COUNTIFS(Database!$F:$I,CONCATENATE($B48,AI$16,"L"))+COUNTIFS(Database!$F:$I,CONCATENATE(AI$16,$B48,"L"))+COUNTIFS(Database!$F:$I,CONCATENATE($B48,AI$16,"W"))+COUNTIFS(Database!$F:$I,CONCATENATE(AI$16,$B48,"W"))</f>
        <v>0</v>
      </c>
      <c r="AJ48" s="123">
        <f>COUNTIFS(Database!$F:$I,CONCATENATE($B48,AJ$16,"L"))+COUNTIFS(Database!$F:$I,CONCATENATE(AJ$16,$B48,"L"))+COUNTIFS(Database!$F:$I,CONCATENATE($B48,AJ$16,"W"))+COUNTIFS(Database!$F:$I,CONCATENATE(AJ$16,$B48,"W"))</f>
        <v>0</v>
      </c>
      <c r="AK48" s="123">
        <f>COUNTIFS(Database!$F:$I,CONCATENATE($B48,AK$16,"L"))+COUNTIFS(Database!$F:$I,CONCATENATE(AK$16,$B48,"L"))+COUNTIFS(Database!$F:$I,CONCATENATE($B48,AK$16,"W"))+COUNTIFS(Database!$F:$I,CONCATENATE(AK$16,$B48,"W"))</f>
        <v>0</v>
      </c>
      <c r="AL48" s="123">
        <f>COUNTIFS(Database!$F:$I,CONCATENATE($B48,AL$16,"L"))+COUNTIFS(Database!$F:$I,CONCATENATE(AL$16,$B48,"L"))+COUNTIFS(Database!$F:$I,CONCATENATE($B48,AL$16,"W"))+COUNTIFS(Database!$F:$I,CONCATENATE(AL$16,$B48,"W"))</f>
        <v>0</v>
      </c>
      <c r="AM48" s="123">
        <f>COUNTIFS(Database!$F:$I,CONCATENATE($B48,AM$16,"L"))+COUNTIFS(Database!$F:$I,CONCATENATE(AM$16,$B48,"L"))+COUNTIFS(Database!$F:$I,CONCATENATE($B48,AM$16,"W"))+COUNTIFS(Database!$F:$I,CONCATENATE(AM$16,$B48,"W"))</f>
        <v>0</v>
      </c>
      <c r="AN48" s="123">
        <f>COUNTIFS(Database!$F:$I,CONCATENATE($B48,AN$16,"L"))+COUNTIFS(Database!$F:$I,CONCATENATE(AN$16,$B48,"L"))+COUNTIFS(Database!$F:$I,CONCATENATE($B48,AN$16,"W"))+COUNTIFS(Database!$F:$I,CONCATENATE(AN$16,$B48,"W"))</f>
        <v>0</v>
      </c>
      <c r="AO48" s="123">
        <f>COUNTIFS(Database!$F:$I,CONCATENATE($B48,AO$16,"L"))+COUNTIFS(Database!$F:$I,CONCATENATE(AO$16,$B48,"L"))+COUNTIFS(Database!$F:$I,CONCATENATE($B48,AO$16,"W"))+COUNTIFS(Database!$F:$I,CONCATENATE(AO$16,$B48,"W"))</f>
        <v>0</v>
      </c>
      <c r="AP48" s="123">
        <f>COUNTIFS(Database!$F:$I,CONCATENATE($B48,AP$16,"L"))+COUNTIFS(Database!$F:$I,CONCATENATE(AP$16,$B48,"L"))+COUNTIFS(Database!$F:$I,CONCATENATE($B48,AP$16,"W"))+COUNTIFS(Database!$F:$I,CONCATENATE(AP$16,$B48,"W"))</f>
        <v>0</v>
      </c>
      <c r="AQ48" s="123">
        <f>COUNTIFS(Database!$F:$I,CONCATENATE($B48,AQ$16,"L"))+COUNTIFS(Database!$F:$I,CONCATENATE(AQ$16,$B48,"L"))+COUNTIFS(Database!$F:$I,CONCATENATE($B48,AQ$16,"W"))+COUNTIFS(Database!$F:$I,CONCATENATE(AQ$16,$B48,"W"))</f>
        <v>0</v>
      </c>
      <c r="AR48" s="123">
        <f>COUNTIFS(Database!$F:$I,CONCATENATE($B48,AR$16,"L"))+COUNTIFS(Database!$F:$I,CONCATENATE(AR$16,$B48,"L"))+COUNTIFS(Database!$F:$I,CONCATENATE($B48,AR$16,"W"))+COUNTIFS(Database!$F:$I,CONCATENATE(AR$16,$B48,"W"))</f>
        <v>0</v>
      </c>
      <c r="AS48" s="123">
        <f>COUNTIFS(Database!$F:$I,CONCATENATE($B48,AS$16,"L"))+COUNTIFS(Database!$F:$I,CONCATENATE(AS$16,$B48,"L"))+COUNTIFS(Database!$F:$I,CONCATENATE($B48,AS$16,"W"))+COUNTIFS(Database!$F:$I,CONCATENATE(AS$16,$B48,"W"))</f>
        <v>0</v>
      </c>
      <c r="AT48" s="123">
        <f>COUNTIFS(Database!$F:$I,CONCATENATE($B48,AT$16,"L"))+COUNTIFS(Database!$F:$I,CONCATENATE(AT$16,$B48,"L"))+COUNTIFS(Database!$F:$I,CONCATENATE($B48,AT$16,"W"))+COUNTIFS(Database!$F:$I,CONCATENATE(AT$16,$B48,"W"))</f>
        <v>0</v>
      </c>
      <c r="AU48" s="123">
        <f>COUNTIFS(Database!$F:$I,CONCATENATE($B48,AU$16,"L"))+COUNTIFS(Database!$F:$I,CONCATENATE(AU$16,$B48,"L"))+COUNTIFS(Database!$F:$I,CONCATENATE($B48,AU$16,"W"))+COUNTIFS(Database!$F:$I,CONCATENATE(AU$16,$B48,"W"))</f>
        <v>0</v>
      </c>
      <c r="AV48" s="123">
        <f>COUNTIFS(Database!$F:$I,CONCATENATE($B48,AV$16,"L"))+COUNTIFS(Database!$F:$I,CONCATENATE(AV$16,$B48,"L"))+COUNTIFS(Database!$F:$I,CONCATENATE($B48,AV$16,"W"))+COUNTIFS(Database!$F:$I,CONCATENATE(AV$16,$B48,"W"))</f>
        <v>0</v>
      </c>
      <c r="AW48" s="123">
        <f>COUNTIFS(Database!$F:$I,CONCATENATE($B48,AW$16,"L"))+COUNTIFS(Database!$F:$I,CONCATENATE(AW$16,$B48,"L"))+COUNTIFS(Database!$F:$I,CONCATENATE($B48,AW$16,"W"))+COUNTIFS(Database!$F:$I,CONCATENATE(AW$16,$B48,"W"))</f>
        <v>0</v>
      </c>
      <c r="AX48" s="123">
        <f>COUNTIFS(Database!$F:$I,CONCATENATE($B48,AX$16,"L"))+COUNTIFS(Database!$F:$I,CONCATENATE(AX$16,$B48,"L"))+COUNTIFS(Database!$F:$I,CONCATENATE($B48,AX$16,"W"))+COUNTIFS(Database!$F:$I,CONCATENATE(AX$16,$B48,"W"))</f>
        <v>0</v>
      </c>
      <c r="AY48" s="123">
        <f>COUNTIFS(Database!$F:$I,CONCATENATE($B48,AY$16,"L"))+COUNTIFS(Database!$F:$I,CONCATENATE(AY$16,$B48,"L"))+COUNTIFS(Database!$F:$I,CONCATENATE($B48,AY$16,"W"))+COUNTIFS(Database!$F:$I,CONCATENATE(AY$16,$B48,"W"))</f>
        <v>0</v>
      </c>
    </row>
    <row r="49" spans="2:51" x14ac:dyDescent="0.25">
      <c r="B49" s="120" t="s">
        <v>43</v>
      </c>
      <c r="C49" s="123">
        <f>COUNTIFS(Database!$F:$I,CONCATENATE($B49,C$16,"L"))+COUNTIFS(Database!$F:$I,CONCATENATE(C$16,$B49,"L"))+COUNTIFS(Database!$F:$I,CONCATENATE($B49,C$16,"W"))+COUNTIFS(Database!$F:$I,CONCATENATE(C$16,$B49,"W"))</f>
        <v>3</v>
      </c>
      <c r="D49" s="123">
        <f>COUNTIFS(Database!$F:$I,CONCATENATE($B49,D$16,"L"))+COUNTIFS(Database!$F:$I,CONCATENATE(D$16,$B49,"L"))+COUNTIFS(Database!$F:$I,CONCATENATE($B49,D$16,"W"))+COUNTIFS(Database!$F:$I,CONCATENATE(D$16,$B49,"W"))</f>
        <v>2</v>
      </c>
      <c r="E49" s="123">
        <f>COUNTIFS(Database!$F:$I,CONCATENATE($B49,E$16,"L"))+COUNTIFS(Database!$F:$I,CONCATENATE(E$16,$B49,"L"))+COUNTIFS(Database!$F:$I,CONCATENATE($B49,E$16,"W"))+COUNTIFS(Database!$F:$I,CONCATENATE(E$16,$B49,"W"))</f>
        <v>2</v>
      </c>
      <c r="F49" s="123">
        <f>COUNTIFS(Database!$F:$I,CONCATENATE($B49,F$16,"L"))+COUNTIFS(Database!$F:$I,CONCATENATE(F$16,$B49,"L"))+COUNTIFS(Database!$F:$I,CONCATENATE($B49,F$16,"W"))+COUNTIFS(Database!$F:$I,CONCATENATE(F$16,$B49,"W"))</f>
        <v>0</v>
      </c>
      <c r="G49" s="123">
        <f>COUNTIFS(Database!$F:$I,CONCATENATE($B49,G$16,"L"))+COUNTIFS(Database!$F:$I,CONCATENATE(G$16,$B49,"L"))+COUNTIFS(Database!$F:$I,CONCATENATE($B49,G$16,"W"))+COUNTIFS(Database!$F:$I,CONCATENATE(G$16,$B49,"W"))</f>
        <v>0</v>
      </c>
      <c r="H49" s="123">
        <f>COUNTIFS(Database!$F:$I,CONCATENATE($B49,H$16,"L"))+COUNTIFS(Database!$F:$I,CONCATENATE(H$16,$B49,"L"))+COUNTIFS(Database!$F:$I,CONCATENATE($B49,H$16,"W"))+COUNTIFS(Database!$F:$I,CONCATENATE(H$16,$B49,"W"))</f>
        <v>0</v>
      </c>
      <c r="I49" s="123">
        <f>COUNTIFS(Database!$F:$I,CONCATENATE($B49,I$16,"L"))+COUNTIFS(Database!$F:$I,CONCATENATE(I$16,$B49,"L"))+COUNTIFS(Database!$F:$I,CONCATENATE($B49,I$16,"W"))+COUNTIFS(Database!$F:$I,CONCATENATE(I$16,$B49,"W"))</f>
        <v>0</v>
      </c>
      <c r="J49" s="123">
        <f>COUNTIFS(Database!$F:$I,CONCATENATE($B49,J$16,"L"))+COUNTIFS(Database!$F:$I,CONCATENATE(J$16,$B49,"L"))+COUNTIFS(Database!$F:$I,CONCATENATE($B49,J$16,"W"))+COUNTIFS(Database!$F:$I,CONCATENATE(J$16,$B49,"W"))</f>
        <v>0</v>
      </c>
      <c r="K49" s="123">
        <f>COUNTIFS(Database!$F:$I,CONCATENATE($B49,K$16,"L"))+COUNTIFS(Database!$F:$I,CONCATENATE(K$16,$B49,"L"))+COUNTIFS(Database!$F:$I,CONCATENATE($B49,K$16,"W"))+COUNTIFS(Database!$F:$I,CONCATENATE(K$16,$B49,"W"))</f>
        <v>2</v>
      </c>
      <c r="L49" s="123">
        <f>COUNTIFS(Database!$F:$I,CONCATENATE($B49,L$16,"L"))+COUNTIFS(Database!$F:$I,CONCATENATE(L$16,$B49,"L"))+COUNTIFS(Database!$F:$I,CONCATENATE($B49,L$16,"W"))+COUNTIFS(Database!$F:$I,CONCATENATE(L$16,$B49,"W"))</f>
        <v>0</v>
      </c>
      <c r="M49" s="123">
        <f>COUNTIFS(Database!$F:$I,CONCATENATE($B49,M$16,"L"))+COUNTIFS(Database!$F:$I,CONCATENATE(M$16,$B49,"L"))+COUNTIFS(Database!$F:$I,CONCATENATE($B49,M$16,"W"))+COUNTIFS(Database!$F:$I,CONCATENATE(M$16,$B49,"W"))</f>
        <v>0</v>
      </c>
      <c r="N49" s="123">
        <f>COUNTIFS(Database!$F:$I,CONCATENATE($B49,N$16,"L"))+COUNTIFS(Database!$F:$I,CONCATENATE(N$16,$B49,"L"))+COUNTIFS(Database!$F:$I,CONCATENATE($B49,N$16,"W"))+COUNTIFS(Database!$F:$I,CONCATENATE(N$16,$B49,"W"))</f>
        <v>0</v>
      </c>
      <c r="O49" s="123">
        <f>COUNTIFS(Database!$F:$I,CONCATENATE($B49,O$16,"L"))+COUNTIFS(Database!$F:$I,CONCATENATE(O$16,$B49,"L"))+COUNTIFS(Database!$F:$I,CONCATENATE($B49,O$16,"W"))+COUNTIFS(Database!$F:$I,CONCATENATE(O$16,$B49,"W"))</f>
        <v>1</v>
      </c>
      <c r="P49" s="123">
        <f>COUNTIFS(Database!$F:$I,CONCATENATE($B49,P$16,"L"))+COUNTIFS(Database!$F:$I,CONCATENATE(P$16,$B49,"L"))+COUNTIFS(Database!$F:$I,CONCATENATE($B49,P$16,"W"))+COUNTIFS(Database!$F:$I,CONCATENATE(P$16,$B49,"W"))</f>
        <v>0</v>
      </c>
      <c r="Q49" s="123">
        <f>COUNTIFS(Database!$F:$I,CONCATENATE($B49,Q$16,"L"))+COUNTIFS(Database!$F:$I,CONCATENATE(Q$16,$B49,"L"))+COUNTIFS(Database!$F:$I,CONCATENATE($B49,Q$16,"W"))+COUNTIFS(Database!$F:$I,CONCATENATE(Q$16,$B49,"W"))</f>
        <v>0</v>
      </c>
      <c r="R49" s="123">
        <f>COUNTIFS(Database!$F:$I,CONCATENATE($B49,R$16,"L"))+COUNTIFS(Database!$F:$I,CONCATENATE(R$16,$B49,"L"))+COUNTIFS(Database!$F:$I,CONCATENATE($B49,R$16,"W"))+COUNTIFS(Database!$F:$I,CONCATENATE(R$16,$B49,"W"))</f>
        <v>0</v>
      </c>
      <c r="S49" s="123">
        <f>COUNTIFS(Database!$F:$I,CONCATENATE($B49,S$16,"L"))+COUNTIFS(Database!$F:$I,CONCATENATE(S$16,$B49,"L"))+COUNTIFS(Database!$F:$I,CONCATENATE($B49,S$16,"W"))+COUNTIFS(Database!$F:$I,CONCATENATE(S$16,$B49,"W"))</f>
        <v>1</v>
      </c>
      <c r="T49" s="123">
        <f>COUNTIFS(Database!$F:$I,CONCATENATE($B49,T$16,"L"))+COUNTIFS(Database!$F:$I,CONCATENATE(T$16,$B49,"L"))+COUNTIFS(Database!$F:$I,CONCATENATE($B49,T$16,"W"))+COUNTIFS(Database!$F:$I,CONCATENATE(T$16,$B49,"W"))</f>
        <v>1</v>
      </c>
      <c r="U49" s="123">
        <f>COUNTIFS(Database!$F:$I,CONCATENATE($B49,U$16,"L"))+COUNTIFS(Database!$F:$I,CONCATENATE(U$16,$B49,"L"))+COUNTIFS(Database!$F:$I,CONCATENATE($B49,U$16,"W"))+COUNTIFS(Database!$F:$I,CONCATENATE(U$16,$B49,"W"))</f>
        <v>0</v>
      </c>
      <c r="V49" s="123">
        <f>COUNTIFS(Database!$F:$I,CONCATENATE($B49,V$16,"L"))+COUNTIFS(Database!$F:$I,CONCATENATE(V$16,$B49,"L"))+COUNTIFS(Database!$F:$I,CONCATENATE($B49,V$16,"W"))+COUNTIFS(Database!$F:$I,CONCATENATE(V$16,$B49,"W"))</f>
        <v>0</v>
      </c>
      <c r="W49" s="123">
        <f>COUNTIFS(Database!$F:$I,CONCATENATE($B49,W$16,"L"))+COUNTIFS(Database!$F:$I,CONCATENATE(W$16,$B49,"L"))+COUNTIFS(Database!$F:$I,CONCATENATE($B49,W$16,"W"))+COUNTIFS(Database!$F:$I,CONCATENATE(W$16,$B49,"W"))</f>
        <v>4</v>
      </c>
      <c r="X49" s="123">
        <f>COUNTIFS(Database!$F:$I,CONCATENATE($B49,X$16,"L"))+COUNTIFS(Database!$F:$I,CONCATENATE(X$16,$B49,"L"))+COUNTIFS(Database!$F:$I,CONCATENATE($B49,X$16,"W"))+COUNTIFS(Database!$F:$I,CONCATENATE(X$16,$B49,"W"))</f>
        <v>2</v>
      </c>
      <c r="Y49" s="123">
        <f>COUNTIFS(Database!$F:$I,CONCATENATE($B49,Y$16,"L"))+COUNTIFS(Database!$F:$I,CONCATENATE(Y$16,$B49,"L"))+COUNTIFS(Database!$F:$I,CONCATENATE($B49,Y$16,"W"))+COUNTIFS(Database!$F:$I,CONCATENATE(Y$16,$B49,"W"))</f>
        <v>0</v>
      </c>
      <c r="Z49" s="123">
        <f>COUNTIFS(Database!$F:$I,CONCATENATE($B49,Z$16,"L"))+COUNTIFS(Database!$F:$I,CONCATENATE(Z$16,$B49,"L"))+COUNTIFS(Database!$F:$I,CONCATENATE($B49,Z$16,"W"))+COUNTIFS(Database!$F:$I,CONCATENATE(Z$16,$B49,"W"))</f>
        <v>0</v>
      </c>
      <c r="AA49" s="123">
        <f>COUNTIFS(Database!$F:$I,CONCATENATE($B49,AA$16,"L"))+COUNTIFS(Database!$F:$I,CONCATENATE(AA$16,$B49,"L"))+COUNTIFS(Database!$F:$I,CONCATENATE($B49,AA$16,"W"))+COUNTIFS(Database!$F:$I,CONCATENATE(AA$16,$B49,"W"))</f>
        <v>0</v>
      </c>
      <c r="AB49" s="123">
        <f>COUNTIFS(Database!$F:$I,CONCATENATE($B49,AB$16,"L"))+COUNTIFS(Database!$F:$I,CONCATENATE(AB$16,$B49,"L"))+COUNTIFS(Database!$F:$I,CONCATENATE($B49,AB$16,"W"))+COUNTIFS(Database!$F:$I,CONCATENATE(AB$16,$B49,"W"))</f>
        <v>1</v>
      </c>
      <c r="AC49" s="123">
        <f>COUNTIFS(Database!$F:$I,CONCATENATE($B49,AC$16,"L"))+COUNTIFS(Database!$F:$I,CONCATENATE(AC$16,$B49,"L"))+COUNTIFS(Database!$F:$I,CONCATENATE($B49,AC$16,"W"))+COUNTIFS(Database!$F:$I,CONCATENATE(AC$16,$B49,"W"))</f>
        <v>4</v>
      </c>
      <c r="AD49" s="123">
        <f>COUNTIFS(Database!$F:$I,CONCATENATE($B49,AD$16,"L"))+COUNTIFS(Database!$F:$I,CONCATENATE(AD$16,$B49,"L"))+COUNTIFS(Database!$F:$I,CONCATENATE($B49,AD$16,"W"))+COUNTIFS(Database!$F:$I,CONCATENATE(AD$16,$B49,"W"))</f>
        <v>0</v>
      </c>
      <c r="AE49" s="123">
        <f>COUNTIFS(Database!$F:$I,CONCATENATE($B49,AE$16,"L"))+COUNTIFS(Database!$F:$I,CONCATENATE(AE$16,$B49,"L"))+COUNTIFS(Database!$F:$I,CONCATENATE($B49,AE$16,"W"))+COUNTIFS(Database!$F:$I,CONCATENATE(AE$16,$B49,"W"))</f>
        <v>0</v>
      </c>
      <c r="AF49" s="123">
        <f>COUNTIFS(Database!$F:$I,CONCATENATE($B49,AF$16,"L"))+COUNTIFS(Database!$F:$I,CONCATENATE(AF$16,$B49,"L"))+COUNTIFS(Database!$F:$I,CONCATENATE($B49,AF$16,"W"))+COUNTIFS(Database!$F:$I,CONCATENATE(AF$16,$B49,"W"))</f>
        <v>2</v>
      </c>
      <c r="AG49" s="123">
        <f>COUNTIFS(Database!$F:$I,CONCATENATE($B49,AG$16,"L"))+COUNTIFS(Database!$F:$I,CONCATENATE(AG$16,$B49,"L"))+COUNTIFS(Database!$F:$I,CONCATENATE($B49,AG$16,"W"))+COUNTIFS(Database!$F:$I,CONCATENATE(AG$16,$B49,"W"))</f>
        <v>0</v>
      </c>
      <c r="AH49" s="123">
        <f>COUNTIFS(Database!$F:$I,CONCATENATE($B49,AH$16,"L"))+COUNTIFS(Database!$F:$I,CONCATENATE(AH$16,$B49,"L"))+COUNTIFS(Database!$F:$I,CONCATENATE($B49,AH$16,"W"))+COUNTIFS(Database!$F:$I,CONCATENATE(AH$16,$B49,"W"))</f>
        <v>0</v>
      </c>
      <c r="AI49" s="123">
        <f>COUNTIFS(Database!$F:$I,CONCATENATE($B49,AI$16,"L"))+COUNTIFS(Database!$F:$I,CONCATENATE(AI$16,$B49,"L"))+COUNTIFS(Database!$F:$I,CONCATENATE($B49,AI$16,"W"))+COUNTIFS(Database!$F:$I,CONCATENATE(AI$16,$B49,"W"))</f>
        <v>0</v>
      </c>
      <c r="AJ49" s="123">
        <f>COUNTIFS(Database!$F:$I,CONCATENATE($B49,AJ$16,"L"))+COUNTIFS(Database!$F:$I,CONCATENATE(AJ$16,$B49,"L"))+COUNTIFS(Database!$F:$I,CONCATENATE($B49,AJ$16,"W"))+COUNTIFS(Database!$F:$I,CONCATENATE(AJ$16,$B49,"W"))</f>
        <v>0</v>
      </c>
      <c r="AK49" s="123">
        <f>COUNTIFS(Database!$F:$I,CONCATENATE($B49,AK$16,"L"))+COUNTIFS(Database!$F:$I,CONCATENATE(AK$16,$B49,"L"))+COUNTIFS(Database!$F:$I,CONCATENATE($B49,AK$16,"W"))+COUNTIFS(Database!$F:$I,CONCATENATE(AK$16,$B49,"W"))</f>
        <v>0</v>
      </c>
      <c r="AL49" s="123">
        <f>COUNTIFS(Database!$F:$I,CONCATENATE($B49,AL$16,"L"))+COUNTIFS(Database!$F:$I,CONCATENATE(AL$16,$B49,"L"))+COUNTIFS(Database!$F:$I,CONCATENATE($B49,AL$16,"W"))+COUNTIFS(Database!$F:$I,CONCATENATE(AL$16,$B49,"W"))</f>
        <v>0</v>
      </c>
      <c r="AM49" s="123">
        <f>COUNTIFS(Database!$F:$I,CONCATENATE($B49,AM$16,"L"))+COUNTIFS(Database!$F:$I,CONCATENATE(AM$16,$B49,"L"))+COUNTIFS(Database!$F:$I,CONCATENATE($B49,AM$16,"W"))+COUNTIFS(Database!$F:$I,CONCATENATE(AM$16,$B49,"W"))</f>
        <v>0</v>
      </c>
      <c r="AN49" s="123">
        <f>COUNTIFS(Database!$F:$I,CONCATENATE($B49,AN$16,"L"))+COUNTIFS(Database!$F:$I,CONCATENATE(AN$16,$B49,"L"))+COUNTIFS(Database!$F:$I,CONCATENATE($B49,AN$16,"W"))+COUNTIFS(Database!$F:$I,CONCATENATE(AN$16,$B49,"W"))</f>
        <v>0</v>
      </c>
      <c r="AO49" s="123">
        <f>COUNTIFS(Database!$F:$I,CONCATENATE($B49,AO$16,"L"))+COUNTIFS(Database!$F:$I,CONCATENATE(AO$16,$B49,"L"))+COUNTIFS(Database!$F:$I,CONCATENATE($B49,AO$16,"W"))+COUNTIFS(Database!$F:$I,CONCATENATE(AO$16,$B49,"W"))</f>
        <v>4</v>
      </c>
      <c r="AP49" s="123">
        <f>COUNTIFS(Database!$F:$I,CONCATENATE($B49,AP$16,"L"))+COUNTIFS(Database!$F:$I,CONCATENATE(AP$16,$B49,"L"))+COUNTIFS(Database!$F:$I,CONCATENATE($B49,AP$16,"W"))+COUNTIFS(Database!$F:$I,CONCATENATE(AP$16,$B49,"W"))</f>
        <v>2</v>
      </c>
      <c r="AQ49" s="123">
        <f>COUNTIFS(Database!$F:$I,CONCATENATE($B49,AQ$16,"L"))+COUNTIFS(Database!$F:$I,CONCATENATE(AQ$16,$B49,"L"))+COUNTIFS(Database!$F:$I,CONCATENATE($B49,AQ$16,"W"))+COUNTIFS(Database!$F:$I,CONCATENATE(AQ$16,$B49,"W"))</f>
        <v>0</v>
      </c>
      <c r="AR49" s="123">
        <f>COUNTIFS(Database!$F:$I,CONCATENATE($B49,AR$16,"L"))+COUNTIFS(Database!$F:$I,CONCATENATE(AR$16,$B49,"L"))+COUNTIFS(Database!$F:$I,CONCATENATE($B49,AR$16,"W"))+COUNTIFS(Database!$F:$I,CONCATENATE(AR$16,$B49,"W"))</f>
        <v>2</v>
      </c>
      <c r="AS49" s="123">
        <f>COUNTIFS(Database!$F:$I,CONCATENATE($B49,AS$16,"L"))+COUNTIFS(Database!$F:$I,CONCATENATE(AS$16,$B49,"L"))+COUNTIFS(Database!$F:$I,CONCATENATE($B49,AS$16,"W"))+COUNTIFS(Database!$F:$I,CONCATENATE(AS$16,$B49,"W"))</f>
        <v>0</v>
      </c>
      <c r="AT49" s="123">
        <f>COUNTIFS(Database!$F:$I,CONCATENATE($B49,AT$16,"L"))+COUNTIFS(Database!$F:$I,CONCATENATE(AT$16,$B49,"L"))+COUNTIFS(Database!$F:$I,CONCATENATE($B49,AT$16,"W"))+COUNTIFS(Database!$F:$I,CONCATENATE(AT$16,$B49,"W"))</f>
        <v>0</v>
      </c>
      <c r="AU49" s="123">
        <f>COUNTIFS(Database!$F:$I,CONCATENATE($B49,AU$16,"L"))+COUNTIFS(Database!$F:$I,CONCATENATE(AU$16,$B49,"L"))+COUNTIFS(Database!$F:$I,CONCATENATE($B49,AU$16,"W"))+COUNTIFS(Database!$F:$I,CONCATENATE(AU$16,$B49,"W"))</f>
        <v>3</v>
      </c>
      <c r="AV49" s="123">
        <f>COUNTIFS(Database!$F:$I,CONCATENATE($B49,AV$16,"L"))+COUNTIFS(Database!$F:$I,CONCATENATE(AV$16,$B49,"L"))+COUNTIFS(Database!$F:$I,CONCATENATE($B49,AV$16,"W"))+COUNTIFS(Database!$F:$I,CONCATENATE(AV$16,$B49,"W"))</f>
        <v>1</v>
      </c>
      <c r="AW49" s="123">
        <f>COUNTIFS(Database!$F:$I,CONCATENATE($B49,AW$16,"L"))+COUNTIFS(Database!$F:$I,CONCATENATE(AW$16,$B49,"L"))+COUNTIFS(Database!$F:$I,CONCATENATE($B49,AW$16,"W"))+COUNTIFS(Database!$F:$I,CONCATENATE(AW$16,$B49,"W"))</f>
        <v>1</v>
      </c>
      <c r="AX49" s="123">
        <f>COUNTIFS(Database!$F:$I,CONCATENATE($B49,AX$16,"L"))+COUNTIFS(Database!$F:$I,CONCATENATE(AX$16,$B49,"L"))+COUNTIFS(Database!$F:$I,CONCATENATE($B49,AX$16,"W"))+COUNTIFS(Database!$F:$I,CONCATENATE(AX$16,$B49,"W"))</f>
        <v>1</v>
      </c>
      <c r="AY49" s="123">
        <f>COUNTIFS(Database!$F:$I,CONCATENATE($B49,AY$16,"L"))+COUNTIFS(Database!$F:$I,CONCATENATE(AY$16,$B49,"L"))+COUNTIFS(Database!$F:$I,CONCATENATE($B49,AY$16,"W"))+COUNTIFS(Database!$F:$I,CONCATENATE(AY$16,$B49,"W"))</f>
        <v>1</v>
      </c>
    </row>
    <row r="50" spans="2:51" x14ac:dyDescent="0.25">
      <c r="B50" s="120" t="s">
        <v>39</v>
      </c>
      <c r="C50" s="123">
        <f>COUNTIFS(Database!$F:$I,CONCATENATE($B50,C$16,"L"))+COUNTIFS(Database!$F:$I,CONCATENATE(C$16,$B50,"L"))+COUNTIFS(Database!$F:$I,CONCATENATE($B50,C$16,"W"))+COUNTIFS(Database!$F:$I,CONCATENATE(C$16,$B50,"W"))</f>
        <v>0</v>
      </c>
      <c r="D50" s="123">
        <f>COUNTIFS(Database!$F:$I,CONCATENATE($B50,D$16,"L"))+COUNTIFS(Database!$F:$I,CONCATENATE(D$16,$B50,"L"))+COUNTIFS(Database!$F:$I,CONCATENATE($B50,D$16,"W"))+COUNTIFS(Database!$F:$I,CONCATENATE(D$16,$B50,"W"))</f>
        <v>1</v>
      </c>
      <c r="E50" s="123">
        <f>COUNTIFS(Database!$F:$I,CONCATENATE($B50,E$16,"L"))+COUNTIFS(Database!$F:$I,CONCATENATE(E$16,$B50,"L"))+COUNTIFS(Database!$F:$I,CONCATENATE($B50,E$16,"W"))+COUNTIFS(Database!$F:$I,CONCATENATE(E$16,$B50,"W"))</f>
        <v>4</v>
      </c>
      <c r="F50" s="123">
        <f>COUNTIFS(Database!$F:$I,CONCATENATE($B50,F$16,"L"))+COUNTIFS(Database!$F:$I,CONCATENATE(F$16,$B50,"L"))+COUNTIFS(Database!$F:$I,CONCATENATE($B50,F$16,"W"))+COUNTIFS(Database!$F:$I,CONCATENATE(F$16,$B50,"W"))</f>
        <v>4</v>
      </c>
      <c r="G50" s="123">
        <f>COUNTIFS(Database!$F:$I,CONCATENATE($B50,G$16,"L"))+COUNTIFS(Database!$F:$I,CONCATENATE(G$16,$B50,"L"))+COUNTIFS(Database!$F:$I,CONCATENATE($B50,G$16,"W"))+COUNTIFS(Database!$F:$I,CONCATENATE(G$16,$B50,"W"))</f>
        <v>0</v>
      </c>
      <c r="H50" s="123">
        <f>COUNTIFS(Database!$F:$I,CONCATENATE($B50,H$16,"L"))+COUNTIFS(Database!$F:$I,CONCATENATE(H$16,$B50,"L"))+COUNTIFS(Database!$F:$I,CONCATENATE($B50,H$16,"W"))+COUNTIFS(Database!$F:$I,CONCATENATE(H$16,$B50,"W"))</f>
        <v>0</v>
      </c>
      <c r="I50" s="123">
        <f>COUNTIFS(Database!$F:$I,CONCATENATE($B50,I$16,"L"))+COUNTIFS(Database!$F:$I,CONCATENATE(I$16,$B50,"L"))+COUNTIFS(Database!$F:$I,CONCATENATE($B50,I$16,"W"))+COUNTIFS(Database!$F:$I,CONCATENATE(I$16,$B50,"W"))</f>
        <v>0</v>
      </c>
      <c r="J50" s="123">
        <f>COUNTIFS(Database!$F:$I,CONCATENATE($B50,J$16,"L"))+COUNTIFS(Database!$F:$I,CONCATENATE(J$16,$B50,"L"))+COUNTIFS(Database!$F:$I,CONCATENATE($B50,J$16,"W"))+COUNTIFS(Database!$F:$I,CONCATENATE(J$16,$B50,"W"))</f>
        <v>0</v>
      </c>
      <c r="K50" s="123">
        <f>COUNTIFS(Database!$F:$I,CONCATENATE($B50,K$16,"L"))+COUNTIFS(Database!$F:$I,CONCATENATE(K$16,$B50,"L"))+COUNTIFS(Database!$F:$I,CONCATENATE($B50,K$16,"W"))+COUNTIFS(Database!$F:$I,CONCATENATE(K$16,$B50,"W"))</f>
        <v>3</v>
      </c>
      <c r="L50" s="123">
        <f>COUNTIFS(Database!$F:$I,CONCATENATE($B50,L$16,"L"))+COUNTIFS(Database!$F:$I,CONCATENATE(L$16,$B50,"L"))+COUNTIFS(Database!$F:$I,CONCATENATE($B50,L$16,"W"))+COUNTIFS(Database!$F:$I,CONCATENATE(L$16,$B50,"W"))</f>
        <v>1</v>
      </c>
      <c r="M50" s="123">
        <f>COUNTIFS(Database!$F:$I,CONCATENATE($B50,M$16,"L"))+COUNTIFS(Database!$F:$I,CONCATENATE(M$16,$B50,"L"))+COUNTIFS(Database!$F:$I,CONCATENATE($B50,M$16,"W"))+COUNTIFS(Database!$F:$I,CONCATENATE(M$16,$B50,"W"))</f>
        <v>0</v>
      </c>
      <c r="N50" s="123">
        <f>COUNTIFS(Database!$F:$I,CONCATENATE($B50,N$16,"L"))+COUNTIFS(Database!$F:$I,CONCATENATE(N$16,$B50,"L"))+COUNTIFS(Database!$F:$I,CONCATENATE($B50,N$16,"W"))+COUNTIFS(Database!$F:$I,CONCATENATE(N$16,$B50,"W"))</f>
        <v>0</v>
      </c>
      <c r="O50" s="123">
        <f>COUNTIFS(Database!$F:$I,CONCATENATE($B50,O$16,"L"))+COUNTIFS(Database!$F:$I,CONCATENATE(O$16,$B50,"L"))+COUNTIFS(Database!$F:$I,CONCATENATE($B50,O$16,"W"))+COUNTIFS(Database!$F:$I,CONCATENATE(O$16,$B50,"W"))</f>
        <v>2</v>
      </c>
      <c r="P50" s="123">
        <f>COUNTIFS(Database!$F:$I,CONCATENATE($B50,P$16,"L"))+COUNTIFS(Database!$F:$I,CONCATENATE(P$16,$B50,"L"))+COUNTIFS(Database!$F:$I,CONCATENATE($B50,P$16,"W"))+COUNTIFS(Database!$F:$I,CONCATENATE(P$16,$B50,"W"))</f>
        <v>0</v>
      </c>
      <c r="Q50" s="123">
        <f>COUNTIFS(Database!$F:$I,CONCATENATE($B50,Q$16,"L"))+COUNTIFS(Database!$F:$I,CONCATENATE(Q$16,$B50,"L"))+COUNTIFS(Database!$F:$I,CONCATENATE($B50,Q$16,"W"))+COUNTIFS(Database!$F:$I,CONCATENATE(Q$16,$B50,"W"))</f>
        <v>0</v>
      </c>
      <c r="R50" s="123">
        <f>COUNTIFS(Database!$F:$I,CONCATENATE($B50,R$16,"L"))+COUNTIFS(Database!$F:$I,CONCATENATE(R$16,$B50,"L"))+COUNTIFS(Database!$F:$I,CONCATENATE($B50,R$16,"W"))+COUNTIFS(Database!$F:$I,CONCATENATE(R$16,$B50,"W"))</f>
        <v>0</v>
      </c>
      <c r="S50" s="123">
        <f>COUNTIFS(Database!$F:$I,CONCATENATE($B50,S$16,"L"))+COUNTIFS(Database!$F:$I,CONCATENATE(S$16,$B50,"L"))+COUNTIFS(Database!$F:$I,CONCATENATE($B50,S$16,"W"))+COUNTIFS(Database!$F:$I,CONCATENATE(S$16,$B50,"W"))</f>
        <v>2</v>
      </c>
      <c r="T50" s="123">
        <f>COUNTIFS(Database!$F:$I,CONCATENATE($B50,T$16,"L"))+COUNTIFS(Database!$F:$I,CONCATENATE(T$16,$B50,"L"))+COUNTIFS(Database!$F:$I,CONCATENATE($B50,T$16,"W"))+COUNTIFS(Database!$F:$I,CONCATENATE(T$16,$B50,"W"))</f>
        <v>0</v>
      </c>
      <c r="U50" s="123">
        <f>COUNTIFS(Database!$F:$I,CONCATENATE($B50,U$16,"L"))+COUNTIFS(Database!$F:$I,CONCATENATE(U$16,$B50,"L"))+COUNTIFS(Database!$F:$I,CONCATENATE($B50,U$16,"W"))+COUNTIFS(Database!$F:$I,CONCATENATE(U$16,$B50,"W"))</f>
        <v>0</v>
      </c>
      <c r="V50" s="123">
        <f>COUNTIFS(Database!$F:$I,CONCATENATE($B50,V$16,"L"))+COUNTIFS(Database!$F:$I,CONCATENATE(V$16,$B50,"L"))+COUNTIFS(Database!$F:$I,CONCATENATE($B50,V$16,"W"))+COUNTIFS(Database!$F:$I,CONCATENATE(V$16,$B50,"W"))</f>
        <v>0</v>
      </c>
      <c r="W50" s="123">
        <f>COUNTIFS(Database!$F:$I,CONCATENATE($B50,W$16,"L"))+COUNTIFS(Database!$F:$I,CONCATENATE(W$16,$B50,"L"))+COUNTIFS(Database!$F:$I,CONCATENATE($B50,W$16,"W"))+COUNTIFS(Database!$F:$I,CONCATENATE(W$16,$B50,"W"))</f>
        <v>4</v>
      </c>
      <c r="X50" s="123">
        <f>COUNTIFS(Database!$F:$I,CONCATENATE($B50,X$16,"L"))+COUNTIFS(Database!$F:$I,CONCATENATE(X$16,$B50,"L"))+COUNTIFS(Database!$F:$I,CONCATENATE($B50,X$16,"W"))+COUNTIFS(Database!$F:$I,CONCATENATE(X$16,$B50,"W"))</f>
        <v>1</v>
      </c>
      <c r="Y50" s="123">
        <f>COUNTIFS(Database!$F:$I,CONCATENATE($B50,Y$16,"L"))+COUNTIFS(Database!$F:$I,CONCATENATE(Y$16,$B50,"L"))+COUNTIFS(Database!$F:$I,CONCATENATE($B50,Y$16,"W"))+COUNTIFS(Database!$F:$I,CONCATENATE(Y$16,$B50,"W"))</f>
        <v>0</v>
      </c>
      <c r="Z50" s="123">
        <f>COUNTIFS(Database!$F:$I,CONCATENATE($B50,Z$16,"L"))+COUNTIFS(Database!$F:$I,CONCATENATE(Z$16,$B50,"L"))+COUNTIFS(Database!$F:$I,CONCATENATE($B50,Z$16,"W"))+COUNTIFS(Database!$F:$I,CONCATENATE(Z$16,$B50,"W"))</f>
        <v>0</v>
      </c>
      <c r="AA50" s="123">
        <f>COUNTIFS(Database!$F:$I,CONCATENATE($B50,AA$16,"L"))+COUNTIFS(Database!$F:$I,CONCATENATE(AA$16,$B50,"L"))+COUNTIFS(Database!$F:$I,CONCATENATE($B50,AA$16,"W"))+COUNTIFS(Database!$F:$I,CONCATENATE(AA$16,$B50,"W"))</f>
        <v>1</v>
      </c>
      <c r="AB50" s="123">
        <f>COUNTIFS(Database!$F:$I,CONCATENATE($B50,AB$16,"L"))+COUNTIFS(Database!$F:$I,CONCATENATE(AB$16,$B50,"L"))+COUNTIFS(Database!$F:$I,CONCATENATE($B50,AB$16,"W"))+COUNTIFS(Database!$F:$I,CONCATENATE(AB$16,$B50,"W"))</f>
        <v>2</v>
      </c>
      <c r="AC50" s="123">
        <f>COUNTIFS(Database!$F:$I,CONCATENATE($B50,AC$16,"L"))+COUNTIFS(Database!$F:$I,CONCATENATE(AC$16,$B50,"L"))+COUNTIFS(Database!$F:$I,CONCATENATE($B50,AC$16,"W"))+COUNTIFS(Database!$F:$I,CONCATENATE(AC$16,$B50,"W"))</f>
        <v>4</v>
      </c>
      <c r="AD50" s="123">
        <f>COUNTIFS(Database!$F:$I,CONCATENATE($B50,AD$16,"L"))+COUNTIFS(Database!$F:$I,CONCATENATE(AD$16,$B50,"L"))+COUNTIFS(Database!$F:$I,CONCATENATE($B50,AD$16,"W"))+COUNTIFS(Database!$F:$I,CONCATENATE(AD$16,$B50,"W"))</f>
        <v>0</v>
      </c>
      <c r="AE50" s="123">
        <f>COUNTIFS(Database!$F:$I,CONCATENATE($B50,AE$16,"L"))+COUNTIFS(Database!$F:$I,CONCATENATE(AE$16,$B50,"L"))+COUNTIFS(Database!$F:$I,CONCATENATE($B50,AE$16,"W"))+COUNTIFS(Database!$F:$I,CONCATENATE(AE$16,$B50,"W"))</f>
        <v>0</v>
      </c>
      <c r="AF50" s="123">
        <f>COUNTIFS(Database!$F:$I,CONCATENATE($B50,AF$16,"L"))+COUNTIFS(Database!$F:$I,CONCATENATE(AF$16,$B50,"L"))+COUNTIFS(Database!$F:$I,CONCATENATE($B50,AF$16,"W"))+COUNTIFS(Database!$F:$I,CONCATENATE(AF$16,$B50,"W"))</f>
        <v>0</v>
      </c>
      <c r="AG50" s="123">
        <f>COUNTIFS(Database!$F:$I,CONCATENATE($B50,AG$16,"L"))+COUNTIFS(Database!$F:$I,CONCATENATE(AG$16,$B50,"L"))+COUNTIFS(Database!$F:$I,CONCATENATE($B50,AG$16,"W"))+COUNTIFS(Database!$F:$I,CONCATENATE(AG$16,$B50,"W"))</f>
        <v>0</v>
      </c>
      <c r="AH50" s="123">
        <f>COUNTIFS(Database!$F:$I,CONCATENATE($B50,AH$16,"L"))+COUNTIFS(Database!$F:$I,CONCATENATE(AH$16,$B50,"L"))+COUNTIFS(Database!$F:$I,CONCATENATE($B50,AH$16,"W"))+COUNTIFS(Database!$F:$I,CONCATENATE(AH$16,$B50,"W"))</f>
        <v>0</v>
      </c>
      <c r="AI50" s="123">
        <f>COUNTIFS(Database!$F:$I,CONCATENATE($B50,AI$16,"L"))+COUNTIFS(Database!$F:$I,CONCATENATE(AI$16,$B50,"L"))+COUNTIFS(Database!$F:$I,CONCATENATE($B50,AI$16,"W"))+COUNTIFS(Database!$F:$I,CONCATENATE(AI$16,$B50,"W"))</f>
        <v>0</v>
      </c>
      <c r="AJ50" s="123">
        <f>COUNTIFS(Database!$F:$I,CONCATENATE($B50,AJ$16,"L"))+COUNTIFS(Database!$F:$I,CONCATENATE(AJ$16,$B50,"L"))+COUNTIFS(Database!$F:$I,CONCATENATE($B50,AJ$16,"W"))+COUNTIFS(Database!$F:$I,CONCATENATE(AJ$16,$B50,"W"))</f>
        <v>0</v>
      </c>
      <c r="AK50" s="123">
        <f>COUNTIFS(Database!$F:$I,CONCATENATE($B50,AK$16,"L"))+COUNTIFS(Database!$F:$I,CONCATENATE(AK$16,$B50,"L"))+COUNTIFS(Database!$F:$I,CONCATENATE($B50,AK$16,"W"))+COUNTIFS(Database!$F:$I,CONCATENATE(AK$16,$B50,"W"))</f>
        <v>0</v>
      </c>
      <c r="AL50" s="123">
        <f>COUNTIFS(Database!$F:$I,CONCATENATE($B50,AL$16,"L"))+COUNTIFS(Database!$F:$I,CONCATENATE(AL$16,$B50,"L"))+COUNTIFS(Database!$F:$I,CONCATENATE($B50,AL$16,"W"))+COUNTIFS(Database!$F:$I,CONCATENATE(AL$16,$B50,"W"))</f>
        <v>0</v>
      </c>
      <c r="AM50" s="123">
        <f>COUNTIFS(Database!$F:$I,CONCATENATE($B50,AM$16,"L"))+COUNTIFS(Database!$F:$I,CONCATENATE(AM$16,$B50,"L"))+COUNTIFS(Database!$F:$I,CONCATENATE($B50,AM$16,"W"))+COUNTIFS(Database!$F:$I,CONCATENATE(AM$16,$B50,"W"))</f>
        <v>0</v>
      </c>
      <c r="AN50" s="123">
        <f>COUNTIFS(Database!$F:$I,CONCATENATE($B50,AN$16,"L"))+COUNTIFS(Database!$F:$I,CONCATENATE(AN$16,$B50,"L"))+COUNTIFS(Database!$F:$I,CONCATENATE($B50,AN$16,"W"))+COUNTIFS(Database!$F:$I,CONCATENATE(AN$16,$B50,"W"))</f>
        <v>0</v>
      </c>
      <c r="AO50" s="123">
        <f>COUNTIFS(Database!$F:$I,CONCATENATE($B50,AO$16,"L"))+COUNTIFS(Database!$F:$I,CONCATENATE(AO$16,$B50,"L"))+COUNTIFS(Database!$F:$I,CONCATENATE($B50,AO$16,"W"))+COUNTIFS(Database!$F:$I,CONCATENATE(AO$16,$B50,"W"))</f>
        <v>1</v>
      </c>
      <c r="AP50" s="123">
        <f>COUNTIFS(Database!$F:$I,CONCATENATE($B50,AP$16,"L"))+COUNTIFS(Database!$F:$I,CONCATENATE(AP$16,$B50,"L"))+COUNTIFS(Database!$F:$I,CONCATENATE($B50,AP$16,"W"))+COUNTIFS(Database!$F:$I,CONCATENATE(AP$16,$B50,"W"))</f>
        <v>0</v>
      </c>
      <c r="AQ50" s="123">
        <f>COUNTIFS(Database!$F:$I,CONCATENATE($B50,AQ$16,"L"))+COUNTIFS(Database!$F:$I,CONCATENATE(AQ$16,$B50,"L"))+COUNTIFS(Database!$F:$I,CONCATENATE($B50,AQ$16,"W"))+COUNTIFS(Database!$F:$I,CONCATENATE(AQ$16,$B50,"W"))</f>
        <v>0</v>
      </c>
      <c r="AR50" s="123">
        <f>COUNTIFS(Database!$F:$I,CONCATENATE($B50,AR$16,"L"))+COUNTIFS(Database!$F:$I,CONCATENATE(AR$16,$B50,"L"))+COUNTIFS(Database!$F:$I,CONCATENATE($B50,AR$16,"W"))+COUNTIFS(Database!$F:$I,CONCATENATE(AR$16,$B50,"W"))</f>
        <v>2</v>
      </c>
      <c r="AS50" s="123">
        <f>COUNTIFS(Database!$F:$I,CONCATENATE($B50,AS$16,"L"))+COUNTIFS(Database!$F:$I,CONCATENATE(AS$16,$B50,"L"))+COUNTIFS(Database!$F:$I,CONCATENATE($B50,AS$16,"W"))+COUNTIFS(Database!$F:$I,CONCATENATE(AS$16,$B50,"W"))</f>
        <v>0</v>
      </c>
      <c r="AT50" s="123">
        <f>COUNTIFS(Database!$F:$I,CONCATENATE($B50,AT$16,"L"))+COUNTIFS(Database!$F:$I,CONCATENATE(AT$16,$B50,"L"))+COUNTIFS(Database!$F:$I,CONCATENATE($B50,AT$16,"W"))+COUNTIFS(Database!$F:$I,CONCATENATE(AT$16,$B50,"W"))</f>
        <v>0</v>
      </c>
      <c r="AU50" s="123">
        <f>COUNTIFS(Database!$F:$I,CONCATENATE($B50,AU$16,"L"))+COUNTIFS(Database!$F:$I,CONCATENATE(AU$16,$B50,"L"))+COUNTIFS(Database!$F:$I,CONCATENATE($B50,AU$16,"W"))+COUNTIFS(Database!$F:$I,CONCATENATE(AU$16,$B50,"W"))</f>
        <v>1</v>
      </c>
      <c r="AV50" s="123">
        <f>COUNTIFS(Database!$F:$I,CONCATENATE($B50,AV$16,"L"))+COUNTIFS(Database!$F:$I,CONCATENATE(AV$16,$B50,"L"))+COUNTIFS(Database!$F:$I,CONCATENATE($B50,AV$16,"W"))+COUNTIFS(Database!$F:$I,CONCATENATE(AV$16,$B50,"W"))</f>
        <v>1</v>
      </c>
      <c r="AW50" s="123">
        <f>COUNTIFS(Database!$F:$I,CONCATENATE($B50,AW$16,"L"))+COUNTIFS(Database!$F:$I,CONCATENATE(AW$16,$B50,"L"))+COUNTIFS(Database!$F:$I,CONCATENATE($B50,AW$16,"W"))+COUNTIFS(Database!$F:$I,CONCATENATE(AW$16,$B50,"W"))</f>
        <v>4</v>
      </c>
      <c r="AX50" s="123">
        <f>COUNTIFS(Database!$F:$I,CONCATENATE($B50,AX$16,"L"))+COUNTIFS(Database!$F:$I,CONCATENATE(AX$16,$B50,"L"))+COUNTIFS(Database!$F:$I,CONCATENATE($B50,AX$16,"W"))+COUNTIFS(Database!$F:$I,CONCATENATE(AX$16,$B50,"W"))</f>
        <v>0</v>
      </c>
      <c r="AY50" s="123">
        <f>COUNTIFS(Database!$F:$I,CONCATENATE($B50,AY$16,"L"))+COUNTIFS(Database!$F:$I,CONCATENATE(AY$16,$B50,"L"))+COUNTIFS(Database!$F:$I,CONCATENATE($B50,AY$16,"W"))+COUNTIFS(Database!$F:$I,CONCATENATE(AY$16,$B50,"W"))</f>
        <v>0</v>
      </c>
    </row>
    <row r="51" spans="2:51" x14ac:dyDescent="0.25">
      <c r="B51" s="120" t="s">
        <v>42</v>
      </c>
      <c r="C51" s="123">
        <f>COUNTIFS(Database!$F:$I,CONCATENATE($B51,C$16,"L"))+COUNTIFS(Database!$F:$I,CONCATENATE(C$16,$B51,"L"))+COUNTIFS(Database!$F:$I,CONCATENATE($B51,C$16,"W"))+COUNTIFS(Database!$F:$I,CONCATENATE(C$16,$B51,"W"))</f>
        <v>9</v>
      </c>
      <c r="D51" s="123">
        <f>COUNTIFS(Database!$F:$I,CONCATENATE($B51,D$16,"L"))+COUNTIFS(Database!$F:$I,CONCATENATE(D$16,$B51,"L"))+COUNTIFS(Database!$F:$I,CONCATENATE($B51,D$16,"W"))+COUNTIFS(Database!$F:$I,CONCATENATE(D$16,$B51,"W"))</f>
        <v>0</v>
      </c>
      <c r="E51" s="123">
        <f>COUNTIFS(Database!$F:$I,CONCATENATE($B51,E$16,"L"))+COUNTIFS(Database!$F:$I,CONCATENATE(E$16,$B51,"L"))+COUNTIFS(Database!$F:$I,CONCATENATE($B51,E$16,"W"))+COUNTIFS(Database!$F:$I,CONCATENATE(E$16,$B51,"W"))</f>
        <v>4</v>
      </c>
      <c r="F51" s="123">
        <f>COUNTIFS(Database!$F:$I,CONCATENATE($B51,F$16,"L"))+COUNTIFS(Database!$F:$I,CONCATENATE(F$16,$B51,"L"))+COUNTIFS(Database!$F:$I,CONCATENATE($B51,F$16,"W"))+COUNTIFS(Database!$F:$I,CONCATENATE(F$16,$B51,"W"))</f>
        <v>2</v>
      </c>
      <c r="G51" s="123">
        <f>COUNTIFS(Database!$F:$I,CONCATENATE($B51,G$16,"L"))+COUNTIFS(Database!$F:$I,CONCATENATE(G$16,$B51,"L"))+COUNTIFS(Database!$F:$I,CONCATENATE($B51,G$16,"W"))+COUNTIFS(Database!$F:$I,CONCATENATE(G$16,$B51,"W"))</f>
        <v>0</v>
      </c>
      <c r="H51" s="123">
        <f>COUNTIFS(Database!$F:$I,CONCATENATE($B51,H$16,"L"))+COUNTIFS(Database!$F:$I,CONCATENATE(H$16,$B51,"L"))+COUNTIFS(Database!$F:$I,CONCATENATE($B51,H$16,"W"))+COUNTIFS(Database!$F:$I,CONCATENATE(H$16,$B51,"W"))</f>
        <v>1</v>
      </c>
      <c r="I51" s="123">
        <f>COUNTIFS(Database!$F:$I,CONCATENATE($B51,I$16,"L"))+COUNTIFS(Database!$F:$I,CONCATENATE(I$16,$B51,"L"))+COUNTIFS(Database!$F:$I,CONCATENATE($B51,I$16,"W"))+COUNTIFS(Database!$F:$I,CONCATENATE(I$16,$B51,"W"))</f>
        <v>3</v>
      </c>
      <c r="J51" s="123">
        <f>COUNTIFS(Database!$F:$I,CONCATENATE($B51,J$16,"L"))+COUNTIFS(Database!$F:$I,CONCATENATE(J$16,$B51,"L"))+COUNTIFS(Database!$F:$I,CONCATENATE($B51,J$16,"W"))+COUNTIFS(Database!$F:$I,CONCATENATE(J$16,$B51,"W"))</f>
        <v>8</v>
      </c>
      <c r="K51" s="123">
        <f>COUNTIFS(Database!$F:$I,CONCATENATE($B51,K$16,"L"))+COUNTIFS(Database!$F:$I,CONCATENATE(K$16,$B51,"L"))+COUNTIFS(Database!$F:$I,CONCATENATE($B51,K$16,"W"))+COUNTIFS(Database!$F:$I,CONCATENATE(K$16,$B51,"W"))</f>
        <v>10</v>
      </c>
      <c r="L51" s="123">
        <f>COUNTIFS(Database!$F:$I,CONCATENATE($B51,L$16,"L"))+COUNTIFS(Database!$F:$I,CONCATENATE(L$16,$B51,"L"))+COUNTIFS(Database!$F:$I,CONCATENATE($B51,L$16,"W"))+COUNTIFS(Database!$F:$I,CONCATENATE(L$16,$B51,"W"))</f>
        <v>4</v>
      </c>
      <c r="M51" s="123">
        <f>COUNTIFS(Database!$F:$I,CONCATENATE($B51,M$16,"L"))+COUNTIFS(Database!$F:$I,CONCATENATE(M$16,$B51,"L"))+COUNTIFS(Database!$F:$I,CONCATENATE($B51,M$16,"W"))+COUNTIFS(Database!$F:$I,CONCATENATE(M$16,$B51,"W"))</f>
        <v>2</v>
      </c>
      <c r="N51" s="123">
        <f>COUNTIFS(Database!$F:$I,CONCATENATE($B51,N$16,"L"))+COUNTIFS(Database!$F:$I,CONCATENATE(N$16,$B51,"L"))+COUNTIFS(Database!$F:$I,CONCATENATE($B51,N$16,"W"))+COUNTIFS(Database!$F:$I,CONCATENATE(N$16,$B51,"W"))</f>
        <v>1</v>
      </c>
      <c r="O51" s="123">
        <f>COUNTIFS(Database!$F:$I,CONCATENATE($B51,O$16,"L"))+COUNTIFS(Database!$F:$I,CONCATENATE(O$16,$B51,"L"))+COUNTIFS(Database!$F:$I,CONCATENATE($B51,O$16,"W"))+COUNTIFS(Database!$F:$I,CONCATENATE(O$16,$B51,"W"))</f>
        <v>8</v>
      </c>
      <c r="P51" s="123">
        <f>COUNTIFS(Database!$F:$I,CONCATENATE($B51,P$16,"L"))+COUNTIFS(Database!$F:$I,CONCATENATE(P$16,$B51,"L"))+COUNTIFS(Database!$F:$I,CONCATENATE($B51,P$16,"W"))+COUNTIFS(Database!$F:$I,CONCATENATE(P$16,$B51,"W"))</f>
        <v>0</v>
      </c>
      <c r="Q51" s="123">
        <f>COUNTIFS(Database!$F:$I,CONCATENATE($B51,Q$16,"L"))+COUNTIFS(Database!$F:$I,CONCATENATE(Q$16,$B51,"L"))+COUNTIFS(Database!$F:$I,CONCATENATE($B51,Q$16,"W"))+COUNTIFS(Database!$F:$I,CONCATENATE(Q$16,$B51,"W"))</f>
        <v>0</v>
      </c>
      <c r="R51" s="123">
        <f>COUNTIFS(Database!$F:$I,CONCATENATE($B51,R$16,"L"))+COUNTIFS(Database!$F:$I,CONCATENATE(R$16,$B51,"L"))+COUNTIFS(Database!$F:$I,CONCATENATE($B51,R$16,"W"))+COUNTIFS(Database!$F:$I,CONCATENATE(R$16,$B51,"W"))</f>
        <v>1</v>
      </c>
      <c r="S51" s="123">
        <f>COUNTIFS(Database!$F:$I,CONCATENATE($B51,S$16,"L"))+COUNTIFS(Database!$F:$I,CONCATENATE(S$16,$B51,"L"))+COUNTIFS(Database!$F:$I,CONCATENATE($B51,S$16,"W"))+COUNTIFS(Database!$F:$I,CONCATENATE(S$16,$B51,"W"))</f>
        <v>3</v>
      </c>
      <c r="T51" s="123">
        <f>COUNTIFS(Database!$F:$I,CONCATENATE($B51,T$16,"L"))+COUNTIFS(Database!$F:$I,CONCATENATE(T$16,$B51,"L"))+COUNTIFS(Database!$F:$I,CONCATENATE($B51,T$16,"W"))+COUNTIFS(Database!$F:$I,CONCATENATE(T$16,$B51,"W"))</f>
        <v>2</v>
      </c>
      <c r="U51" s="123">
        <f>COUNTIFS(Database!$F:$I,CONCATENATE($B51,U$16,"L"))+COUNTIFS(Database!$F:$I,CONCATENATE(U$16,$B51,"L"))+COUNTIFS(Database!$F:$I,CONCATENATE($B51,U$16,"W"))+COUNTIFS(Database!$F:$I,CONCATENATE(U$16,$B51,"W"))</f>
        <v>1</v>
      </c>
      <c r="V51" s="123">
        <f>COUNTIFS(Database!$F:$I,CONCATENATE($B51,V$16,"L"))+COUNTIFS(Database!$F:$I,CONCATENATE(V$16,$B51,"L"))+COUNTIFS(Database!$F:$I,CONCATENATE($B51,V$16,"W"))+COUNTIFS(Database!$F:$I,CONCATENATE(V$16,$B51,"W"))</f>
        <v>2</v>
      </c>
      <c r="W51" s="123">
        <f>COUNTIFS(Database!$F:$I,CONCATENATE($B51,W$16,"L"))+COUNTIFS(Database!$F:$I,CONCATENATE(W$16,$B51,"L"))+COUNTIFS(Database!$F:$I,CONCATENATE($B51,W$16,"W"))+COUNTIFS(Database!$F:$I,CONCATENATE(W$16,$B51,"W"))</f>
        <v>7</v>
      </c>
      <c r="X51" s="123">
        <f>COUNTIFS(Database!$F:$I,CONCATENATE($B51,X$16,"L"))+COUNTIFS(Database!$F:$I,CONCATENATE(X$16,$B51,"L"))+COUNTIFS(Database!$F:$I,CONCATENATE($B51,X$16,"W"))+COUNTIFS(Database!$F:$I,CONCATENATE(X$16,$B51,"W"))</f>
        <v>1</v>
      </c>
      <c r="Y51" s="123">
        <f>COUNTIFS(Database!$F:$I,CONCATENATE($B51,Y$16,"L"))+COUNTIFS(Database!$F:$I,CONCATENATE(Y$16,$B51,"L"))+COUNTIFS(Database!$F:$I,CONCATENATE($B51,Y$16,"W"))+COUNTIFS(Database!$F:$I,CONCATENATE(Y$16,$B51,"W"))</f>
        <v>2</v>
      </c>
      <c r="Z51" s="123">
        <f>COUNTIFS(Database!$F:$I,CONCATENATE($B51,Z$16,"L"))+COUNTIFS(Database!$F:$I,CONCATENATE(Z$16,$B51,"L"))+COUNTIFS(Database!$F:$I,CONCATENATE($B51,Z$16,"W"))+COUNTIFS(Database!$F:$I,CONCATENATE(Z$16,$B51,"W"))</f>
        <v>0</v>
      </c>
      <c r="AA51" s="123">
        <f>COUNTIFS(Database!$F:$I,CONCATENATE($B51,AA$16,"L"))+COUNTIFS(Database!$F:$I,CONCATENATE(AA$16,$B51,"L"))+COUNTIFS(Database!$F:$I,CONCATENATE($B51,AA$16,"W"))+COUNTIFS(Database!$F:$I,CONCATENATE(AA$16,$B51,"W"))</f>
        <v>1</v>
      </c>
      <c r="AB51" s="123">
        <f>COUNTIFS(Database!$F:$I,CONCATENATE($B51,AB$16,"L"))+COUNTIFS(Database!$F:$I,CONCATENATE(AB$16,$B51,"L"))+COUNTIFS(Database!$F:$I,CONCATENATE($B51,AB$16,"W"))+COUNTIFS(Database!$F:$I,CONCATENATE(AB$16,$B51,"W"))</f>
        <v>3</v>
      </c>
      <c r="AC51" s="123">
        <f>COUNTIFS(Database!$F:$I,CONCATENATE($B51,AC$16,"L"))+COUNTIFS(Database!$F:$I,CONCATENATE(AC$16,$B51,"L"))+COUNTIFS(Database!$F:$I,CONCATENATE($B51,AC$16,"W"))+COUNTIFS(Database!$F:$I,CONCATENATE(AC$16,$B51,"W"))</f>
        <v>3</v>
      </c>
      <c r="AD51" s="123">
        <f>COUNTIFS(Database!$F:$I,CONCATENATE($B51,AD$16,"L"))+COUNTIFS(Database!$F:$I,CONCATENATE(AD$16,$B51,"L"))+COUNTIFS(Database!$F:$I,CONCATENATE($B51,AD$16,"W"))+COUNTIFS(Database!$F:$I,CONCATENATE(AD$16,$B51,"W"))</f>
        <v>4</v>
      </c>
      <c r="AE51" s="123">
        <f>COUNTIFS(Database!$F:$I,CONCATENATE($B51,AE$16,"L"))+COUNTIFS(Database!$F:$I,CONCATENATE(AE$16,$B51,"L"))+COUNTIFS(Database!$F:$I,CONCATENATE($B51,AE$16,"W"))+COUNTIFS(Database!$F:$I,CONCATENATE(AE$16,$B51,"W"))</f>
        <v>1</v>
      </c>
      <c r="AF51" s="123">
        <f>COUNTIFS(Database!$F:$I,CONCATENATE($B51,AF$16,"L"))+COUNTIFS(Database!$F:$I,CONCATENATE(AF$16,$B51,"L"))+COUNTIFS(Database!$F:$I,CONCATENATE($B51,AF$16,"W"))+COUNTIFS(Database!$F:$I,CONCATENATE(AF$16,$B51,"W"))</f>
        <v>1</v>
      </c>
      <c r="AG51" s="123">
        <f>COUNTIFS(Database!$F:$I,CONCATENATE($B51,AG$16,"L"))+COUNTIFS(Database!$F:$I,CONCATENATE(AG$16,$B51,"L"))+COUNTIFS(Database!$F:$I,CONCATENATE($B51,AG$16,"W"))+COUNTIFS(Database!$F:$I,CONCATENATE(AG$16,$B51,"W"))</f>
        <v>0</v>
      </c>
      <c r="AH51" s="123">
        <f>COUNTIFS(Database!$F:$I,CONCATENATE($B51,AH$16,"L"))+COUNTIFS(Database!$F:$I,CONCATENATE(AH$16,$B51,"L"))+COUNTIFS(Database!$F:$I,CONCATENATE($B51,AH$16,"W"))+COUNTIFS(Database!$F:$I,CONCATENATE(AH$16,$B51,"W"))</f>
        <v>0</v>
      </c>
      <c r="AI51" s="123">
        <f>COUNTIFS(Database!$F:$I,CONCATENATE($B51,AI$16,"L"))+COUNTIFS(Database!$F:$I,CONCATENATE(AI$16,$B51,"L"))+COUNTIFS(Database!$F:$I,CONCATENATE($B51,AI$16,"W"))+COUNTIFS(Database!$F:$I,CONCATENATE(AI$16,$B51,"W"))</f>
        <v>0</v>
      </c>
      <c r="AJ51" s="123">
        <f>COUNTIFS(Database!$F:$I,CONCATENATE($B51,AJ$16,"L"))+COUNTIFS(Database!$F:$I,CONCATENATE(AJ$16,$B51,"L"))+COUNTIFS(Database!$F:$I,CONCATENATE($B51,AJ$16,"W"))+COUNTIFS(Database!$F:$I,CONCATENATE(AJ$16,$B51,"W"))</f>
        <v>0</v>
      </c>
      <c r="AK51" s="123">
        <f>COUNTIFS(Database!$F:$I,CONCATENATE($B51,AK$16,"L"))+COUNTIFS(Database!$F:$I,CONCATENATE(AK$16,$B51,"L"))+COUNTIFS(Database!$F:$I,CONCATENATE($B51,AK$16,"W"))+COUNTIFS(Database!$F:$I,CONCATENATE(AK$16,$B51,"W"))</f>
        <v>0</v>
      </c>
      <c r="AL51" s="123">
        <f>COUNTIFS(Database!$F:$I,CONCATENATE($B51,AL$16,"L"))+COUNTIFS(Database!$F:$I,CONCATENATE(AL$16,$B51,"L"))+COUNTIFS(Database!$F:$I,CONCATENATE($B51,AL$16,"W"))+COUNTIFS(Database!$F:$I,CONCATENATE(AL$16,$B51,"W"))</f>
        <v>2</v>
      </c>
      <c r="AM51" s="123">
        <f>COUNTIFS(Database!$F:$I,CONCATENATE($B51,AM$16,"L"))+COUNTIFS(Database!$F:$I,CONCATENATE(AM$16,$B51,"L"))+COUNTIFS(Database!$F:$I,CONCATENATE($B51,AM$16,"W"))+COUNTIFS(Database!$F:$I,CONCATENATE(AM$16,$B51,"W"))</f>
        <v>0</v>
      </c>
      <c r="AN51" s="123">
        <f>COUNTIFS(Database!$F:$I,CONCATENATE($B51,AN$16,"L"))+COUNTIFS(Database!$F:$I,CONCATENATE(AN$16,$B51,"L"))+COUNTIFS(Database!$F:$I,CONCATENATE($B51,AN$16,"W"))+COUNTIFS(Database!$F:$I,CONCATENATE(AN$16,$B51,"W"))</f>
        <v>1</v>
      </c>
      <c r="AO51" s="123">
        <f>COUNTIFS(Database!$F:$I,CONCATENATE($B51,AO$16,"L"))+COUNTIFS(Database!$F:$I,CONCATENATE(AO$16,$B51,"L"))+COUNTIFS(Database!$F:$I,CONCATENATE($B51,AO$16,"W"))+COUNTIFS(Database!$F:$I,CONCATENATE(AO$16,$B51,"W"))</f>
        <v>3</v>
      </c>
      <c r="AP51" s="123">
        <f>COUNTIFS(Database!$F:$I,CONCATENATE($B51,AP$16,"L"))+COUNTIFS(Database!$F:$I,CONCATENATE(AP$16,$B51,"L"))+COUNTIFS(Database!$F:$I,CONCATENATE($B51,AP$16,"W"))+COUNTIFS(Database!$F:$I,CONCATENATE(AP$16,$B51,"W"))</f>
        <v>0</v>
      </c>
      <c r="AQ51" s="123">
        <f>COUNTIFS(Database!$F:$I,CONCATENATE($B51,AQ$16,"L"))+COUNTIFS(Database!$F:$I,CONCATENATE(AQ$16,$B51,"L"))+COUNTIFS(Database!$F:$I,CONCATENATE($B51,AQ$16,"W"))+COUNTIFS(Database!$F:$I,CONCATENATE(AQ$16,$B51,"W"))</f>
        <v>2</v>
      </c>
      <c r="AR51" s="123">
        <f>COUNTIFS(Database!$F:$I,CONCATENATE($B51,AR$16,"L"))+COUNTIFS(Database!$F:$I,CONCATENATE(AR$16,$B51,"L"))+COUNTIFS(Database!$F:$I,CONCATENATE($B51,AR$16,"W"))+COUNTIFS(Database!$F:$I,CONCATENATE(AR$16,$B51,"W"))</f>
        <v>8</v>
      </c>
      <c r="AS51" s="123">
        <f>COUNTIFS(Database!$F:$I,CONCATENATE($B51,AS$16,"L"))+COUNTIFS(Database!$F:$I,CONCATENATE(AS$16,$B51,"L"))+COUNTIFS(Database!$F:$I,CONCATENATE($B51,AS$16,"W"))+COUNTIFS(Database!$F:$I,CONCATENATE(AS$16,$B51,"W"))</f>
        <v>0</v>
      </c>
      <c r="AT51" s="123">
        <f>COUNTIFS(Database!$F:$I,CONCATENATE($B51,AT$16,"L"))+COUNTIFS(Database!$F:$I,CONCATENATE(AT$16,$B51,"L"))+COUNTIFS(Database!$F:$I,CONCATENATE($B51,AT$16,"W"))+COUNTIFS(Database!$F:$I,CONCATENATE(AT$16,$B51,"W"))</f>
        <v>2</v>
      </c>
      <c r="AU51" s="123">
        <f>COUNTIFS(Database!$F:$I,CONCATENATE($B51,AU$16,"L"))+COUNTIFS(Database!$F:$I,CONCATENATE(AU$16,$B51,"L"))+COUNTIFS(Database!$F:$I,CONCATENATE($B51,AU$16,"W"))+COUNTIFS(Database!$F:$I,CONCATENATE(AU$16,$B51,"W"))</f>
        <v>7</v>
      </c>
      <c r="AV51" s="123">
        <f>COUNTIFS(Database!$F:$I,CONCATENATE($B51,AV$16,"L"))+COUNTIFS(Database!$F:$I,CONCATENATE(AV$16,$B51,"L"))+COUNTIFS(Database!$F:$I,CONCATENATE($B51,AV$16,"W"))+COUNTIFS(Database!$F:$I,CONCATENATE(AV$16,$B51,"W"))</f>
        <v>1</v>
      </c>
      <c r="AW51" s="123">
        <f>COUNTIFS(Database!$F:$I,CONCATENATE($B51,AW$16,"L"))+COUNTIFS(Database!$F:$I,CONCATENATE(AW$16,$B51,"L"))+COUNTIFS(Database!$F:$I,CONCATENATE($B51,AW$16,"W"))+COUNTIFS(Database!$F:$I,CONCATENATE(AW$16,$B51,"W"))</f>
        <v>4</v>
      </c>
      <c r="AX51" s="123">
        <f>COUNTIFS(Database!$F:$I,CONCATENATE($B51,AX$16,"L"))+COUNTIFS(Database!$F:$I,CONCATENATE(AX$16,$B51,"L"))+COUNTIFS(Database!$F:$I,CONCATENATE($B51,AX$16,"W"))+COUNTIFS(Database!$F:$I,CONCATENATE(AX$16,$B51,"W"))</f>
        <v>0</v>
      </c>
      <c r="AY51" s="123">
        <f>COUNTIFS(Database!$F:$I,CONCATENATE($B51,AY$16,"L"))+COUNTIFS(Database!$F:$I,CONCATENATE(AY$16,$B51,"L"))+COUNTIFS(Database!$F:$I,CONCATENATE($B51,AY$16,"W"))+COUNTIFS(Database!$F:$I,CONCATENATE(AY$16,$B51,"W"))</f>
        <v>7</v>
      </c>
    </row>
    <row r="52" spans="2:51" x14ac:dyDescent="0.25">
      <c r="B52" s="120" t="s">
        <v>48</v>
      </c>
      <c r="C52" s="123">
        <f>COUNTIFS(Database!$F:$I,CONCATENATE($B52,C$16,"L"))+COUNTIFS(Database!$F:$I,CONCATENATE(C$16,$B52,"L"))+COUNTIFS(Database!$F:$I,CONCATENATE($B52,C$16,"W"))+COUNTIFS(Database!$F:$I,CONCATENATE(C$16,$B52,"W"))</f>
        <v>5</v>
      </c>
      <c r="D52" s="123">
        <f>COUNTIFS(Database!$F:$I,CONCATENATE($B52,D$16,"L"))+COUNTIFS(Database!$F:$I,CONCATENATE(D$16,$B52,"L"))+COUNTIFS(Database!$F:$I,CONCATENATE($B52,D$16,"W"))+COUNTIFS(Database!$F:$I,CONCATENATE(D$16,$B52,"W"))</f>
        <v>1</v>
      </c>
      <c r="E52" s="123">
        <f>COUNTIFS(Database!$F:$I,CONCATENATE($B52,E$16,"L"))+COUNTIFS(Database!$F:$I,CONCATENATE(E$16,$B52,"L"))+COUNTIFS(Database!$F:$I,CONCATENATE($B52,E$16,"W"))+COUNTIFS(Database!$F:$I,CONCATENATE(E$16,$B52,"W"))</f>
        <v>2</v>
      </c>
      <c r="F52" s="123">
        <f>COUNTIFS(Database!$F:$I,CONCATENATE($B52,F$16,"L"))+COUNTIFS(Database!$F:$I,CONCATENATE(F$16,$B52,"L"))+COUNTIFS(Database!$F:$I,CONCATENATE($B52,F$16,"W"))+COUNTIFS(Database!$F:$I,CONCATENATE(F$16,$B52,"W"))</f>
        <v>2</v>
      </c>
      <c r="G52" s="123">
        <f>COUNTIFS(Database!$F:$I,CONCATENATE($B52,G$16,"L"))+COUNTIFS(Database!$F:$I,CONCATENATE(G$16,$B52,"L"))+COUNTIFS(Database!$F:$I,CONCATENATE($B52,G$16,"W"))+COUNTIFS(Database!$F:$I,CONCATENATE(G$16,$B52,"W"))</f>
        <v>1</v>
      </c>
      <c r="H52" s="123">
        <f>COUNTIFS(Database!$F:$I,CONCATENATE($B52,H$16,"L"))+COUNTIFS(Database!$F:$I,CONCATENATE(H$16,$B52,"L"))+COUNTIFS(Database!$F:$I,CONCATENATE($B52,H$16,"W"))+COUNTIFS(Database!$F:$I,CONCATENATE(H$16,$B52,"W"))</f>
        <v>0</v>
      </c>
      <c r="I52" s="123">
        <f>COUNTIFS(Database!$F:$I,CONCATENATE($B52,I$16,"L"))+COUNTIFS(Database!$F:$I,CONCATENATE(I$16,$B52,"L"))+COUNTIFS(Database!$F:$I,CONCATENATE($B52,I$16,"W"))+COUNTIFS(Database!$F:$I,CONCATENATE(I$16,$B52,"W"))</f>
        <v>0</v>
      </c>
      <c r="J52" s="123">
        <f>COUNTIFS(Database!$F:$I,CONCATENATE($B52,J$16,"L"))+COUNTIFS(Database!$F:$I,CONCATENATE(J$16,$B52,"L"))+COUNTIFS(Database!$F:$I,CONCATENATE($B52,J$16,"W"))+COUNTIFS(Database!$F:$I,CONCATENATE(J$16,$B52,"W"))</f>
        <v>1</v>
      </c>
      <c r="K52" s="123">
        <f>COUNTIFS(Database!$F:$I,CONCATENATE($B52,K$16,"L"))+COUNTIFS(Database!$F:$I,CONCATENATE(K$16,$B52,"L"))+COUNTIFS(Database!$F:$I,CONCATENATE($B52,K$16,"W"))+COUNTIFS(Database!$F:$I,CONCATENATE(K$16,$B52,"W"))</f>
        <v>3</v>
      </c>
      <c r="L52" s="123">
        <f>COUNTIFS(Database!$F:$I,CONCATENATE($B52,L$16,"L"))+COUNTIFS(Database!$F:$I,CONCATENATE(L$16,$B52,"L"))+COUNTIFS(Database!$F:$I,CONCATENATE($B52,L$16,"W"))+COUNTIFS(Database!$F:$I,CONCATENATE(L$16,$B52,"W"))</f>
        <v>0</v>
      </c>
      <c r="M52" s="123">
        <f>COUNTIFS(Database!$F:$I,CONCATENATE($B52,M$16,"L"))+COUNTIFS(Database!$F:$I,CONCATENATE(M$16,$B52,"L"))+COUNTIFS(Database!$F:$I,CONCATENATE($B52,M$16,"W"))+COUNTIFS(Database!$F:$I,CONCATENATE(M$16,$B52,"W"))</f>
        <v>0</v>
      </c>
      <c r="N52" s="123">
        <f>COUNTIFS(Database!$F:$I,CONCATENATE($B52,N$16,"L"))+COUNTIFS(Database!$F:$I,CONCATENATE(N$16,$B52,"L"))+COUNTIFS(Database!$F:$I,CONCATENATE($B52,N$16,"W"))+COUNTIFS(Database!$F:$I,CONCATENATE(N$16,$B52,"W"))</f>
        <v>1</v>
      </c>
      <c r="O52" s="123">
        <f>COUNTIFS(Database!$F:$I,CONCATENATE($B52,O$16,"L"))+COUNTIFS(Database!$F:$I,CONCATENATE(O$16,$B52,"L"))+COUNTIFS(Database!$F:$I,CONCATENATE($B52,O$16,"W"))+COUNTIFS(Database!$F:$I,CONCATENATE(O$16,$B52,"W"))</f>
        <v>3</v>
      </c>
      <c r="P52" s="123">
        <f>COUNTIFS(Database!$F:$I,CONCATENATE($B52,P$16,"L"))+COUNTIFS(Database!$F:$I,CONCATENATE(P$16,$B52,"L"))+COUNTIFS(Database!$F:$I,CONCATENATE($B52,P$16,"W"))+COUNTIFS(Database!$F:$I,CONCATENATE(P$16,$B52,"W"))</f>
        <v>0</v>
      </c>
      <c r="Q52" s="123">
        <f>COUNTIFS(Database!$F:$I,CONCATENATE($B52,Q$16,"L"))+COUNTIFS(Database!$F:$I,CONCATENATE(Q$16,$B52,"L"))+COUNTIFS(Database!$F:$I,CONCATENATE($B52,Q$16,"W"))+COUNTIFS(Database!$F:$I,CONCATENATE(Q$16,$B52,"W"))</f>
        <v>0</v>
      </c>
      <c r="R52" s="123">
        <f>COUNTIFS(Database!$F:$I,CONCATENATE($B52,R$16,"L"))+COUNTIFS(Database!$F:$I,CONCATENATE(R$16,$B52,"L"))+COUNTIFS(Database!$F:$I,CONCATENATE($B52,R$16,"W"))+COUNTIFS(Database!$F:$I,CONCATENATE(R$16,$B52,"W"))</f>
        <v>0</v>
      </c>
      <c r="S52" s="123">
        <f>COUNTIFS(Database!$F:$I,CONCATENATE($B52,S$16,"L"))+COUNTIFS(Database!$F:$I,CONCATENATE(S$16,$B52,"L"))+COUNTIFS(Database!$F:$I,CONCATENATE($B52,S$16,"W"))+COUNTIFS(Database!$F:$I,CONCATENATE(S$16,$B52,"W"))</f>
        <v>0</v>
      </c>
      <c r="T52" s="123">
        <f>COUNTIFS(Database!$F:$I,CONCATENATE($B52,T$16,"L"))+COUNTIFS(Database!$F:$I,CONCATENATE(T$16,$B52,"L"))+COUNTIFS(Database!$F:$I,CONCATENATE($B52,T$16,"W"))+COUNTIFS(Database!$F:$I,CONCATENATE(T$16,$B52,"W"))</f>
        <v>0</v>
      </c>
      <c r="U52" s="123">
        <f>COUNTIFS(Database!$F:$I,CONCATENATE($B52,U$16,"L"))+COUNTIFS(Database!$F:$I,CONCATENATE(U$16,$B52,"L"))+COUNTIFS(Database!$F:$I,CONCATENATE($B52,U$16,"W"))+COUNTIFS(Database!$F:$I,CONCATENATE(U$16,$B52,"W"))</f>
        <v>0</v>
      </c>
      <c r="V52" s="123">
        <f>COUNTIFS(Database!$F:$I,CONCATENATE($B52,V$16,"L"))+COUNTIFS(Database!$F:$I,CONCATENATE(V$16,$B52,"L"))+COUNTIFS(Database!$F:$I,CONCATENATE($B52,V$16,"W"))+COUNTIFS(Database!$F:$I,CONCATENATE(V$16,$B52,"W"))</f>
        <v>0</v>
      </c>
      <c r="W52" s="123">
        <f>COUNTIFS(Database!$F:$I,CONCATENATE($B52,W$16,"L"))+COUNTIFS(Database!$F:$I,CONCATENATE(W$16,$B52,"L"))+COUNTIFS(Database!$F:$I,CONCATENATE($B52,W$16,"W"))+COUNTIFS(Database!$F:$I,CONCATENATE(W$16,$B52,"W"))</f>
        <v>1</v>
      </c>
      <c r="X52" s="123">
        <f>COUNTIFS(Database!$F:$I,CONCATENATE($B52,X$16,"L"))+COUNTIFS(Database!$F:$I,CONCATENATE(X$16,$B52,"L"))+COUNTIFS(Database!$F:$I,CONCATENATE($B52,X$16,"W"))+COUNTIFS(Database!$F:$I,CONCATENATE(X$16,$B52,"W"))</f>
        <v>0</v>
      </c>
      <c r="Y52" s="123">
        <f>COUNTIFS(Database!$F:$I,CONCATENATE($B52,Y$16,"L"))+COUNTIFS(Database!$F:$I,CONCATENATE(Y$16,$B52,"L"))+COUNTIFS(Database!$F:$I,CONCATENATE($B52,Y$16,"W"))+COUNTIFS(Database!$F:$I,CONCATENATE(Y$16,$B52,"W"))</f>
        <v>0</v>
      </c>
      <c r="Z52" s="123">
        <f>COUNTIFS(Database!$F:$I,CONCATENATE($B52,Z$16,"L"))+COUNTIFS(Database!$F:$I,CONCATENATE(Z$16,$B52,"L"))+COUNTIFS(Database!$F:$I,CONCATENATE($B52,Z$16,"W"))+COUNTIFS(Database!$F:$I,CONCATENATE(Z$16,$B52,"W"))</f>
        <v>0</v>
      </c>
      <c r="AA52" s="123">
        <f>COUNTIFS(Database!$F:$I,CONCATENATE($B52,AA$16,"L"))+COUNTIFS(Database!$F:$I,CONCATENATE(AA$16,$B52,"L"))+COUNTIFS(Database!$F:$I,CONCATENATE($B52,AA$16,"W"))+COUNTIFS(Database!$F:$I,CONCATENATE(AA$16,$B52,"W"))</f>
        <v>0</v>
      </c>
      <c r="AB52" s="123">
        <f>COUNTIFS(Database!$F:$I,CONCATENATE($B52,AB$16,"L"))+COUNTIFS(Database!$F:$I,CONCATENATE(AB$16,$B52,"L"))+COUNTIFS(Database!$F:$I,CONCATENATE($B52,AB$16,"W"))+COUNTIFS(Database!$F:$I,CONCATENATE(AB$16,$B52,"W"))</f>
        <v>2</v>
      </c>
      <c r="AC52" s="123">
        <f>COUNTIFS(Database!$F:$I,CONCATENATE($B52,AC$16,"L"))+COUNTIFS(Database!$F:$I,CONCATENATE(AC$16,$B52,"L"))+COUNTIFS(Database!$F:$I,CONCATENATE($B52,AC$16,"W"))+COUNTIFS(Database!$F:$I,CONCATENATE(AC$16,$B52,"W"))</f>
        <v>2</v>
      </c>
      <c r="AD52" s="123">
        <f>COUNTIFS(Database!$F:$I,CONCATENATE($B52,AD$16,"L"))+COUNTIFS(Database!$F:$I,CONCATENATE(AD$16,$B52,"L"))+COUNTIFS(Database!$F:$I,CONCATENATE($B52,AD$16,"W"))+COUNTIFS(Database!$F:$I,CONCATENATE(AD$16,$B52,"W"))</f>
        <v>2</v>
      </c>
      <c r="AE52" s="123">
        <f>COUNTIFS(Database!$F:$I,CONCATENATE($B52,AE$16,"L"))+COUNTIFS(Database!$F:$I,CONCATENATE(AE$16,$B52,"L"))+COUNTIFS(Database!$F:$I,CONCATENATE($B52,AE$16,"W"))+COUNTIFS(Database!$F:$I,CONCATENATE(AE$16,$B52,"W"))</f>
        <v>0</v>
      </c>
      <c r="AF52" s="123">
        <f>COUNTIFS(Database!$F:$I,CONCATENATE($B52,AF$16,"L"))+COUNTIFS(Database!$F:$I,CONCATENATE(AF$16,$B52,"L"))+COUNTIFS(Database!$F:$I,CONCATENATE($B52,AF$16,"W"))+COUNTIFS(Database!$F:$I,CONCATENATE(AF$16,$B52,"W"))</f>
        <v>0</v>
      </c>
      <c r="AG52" s="123">
        <f>COUNTIFS(Database!$F:$I,CONCATENATE($B52,AG$16,"L"))+COUNTIFS(Database!$F:$I,CONCATENATE(AG$16,$B52,"L"))+COUNTIFS(Database!$F:$I,CONCATENATE($B52,AG$16,"W"))+COUNTIFS(Database!$F:$I,CONCATENATE(AG$16,$B52,"W"))</f>
        <v>1</v>
      </c>
      <c r="AH52" s="123">
        <f>COUNTIFS(Database!$F:$I,CONCATENATE($B52,AH$16,"L"))+COUNTIFS(Database!$F:$I,CONCATENATE(AH$16,$B52,"L"))+COUNTIFS(Database!$F:$I,CONCATENATE($B52,AH$16,"W"))+COUNTIFS(Database!$F:$I,CONCATENATE(AH$16,$B52,"W"))</f>
        <v>0</v>
      </c>
      <c r="AI52" s="123">
        <f>COUNTIFS(Database!$F:$I,CONCATENATE($B52,AI$16,"L"))+COUNTIFS(Database!$F:$I,CONCATENATE(AI$16,$B52,"L"))+COUNTIFS(Database!$F:$I,CONCATENATE($B52,AI$16,"W"))+COUNTIFS(Database!$F:$I,CONCATENATE(AI$16,$B52,"W"))</f>
        <v>0</v>
      </c>
      <c r="AJ52" s="123">
        <f>COUNTIFS(Database!$F:$I,CONCATENATE($B52,AJ$16,"L"))+COUNTIFS(Database!$F:$I,CONCATENATE(AJ$16,$B52,"L"))+COUNTIFS(Database!$F:$I,CONCATENATE($B52,AJ$16,"W"))+COUNTIFS(Database!$F:$I,CONCATENATE(AJ$16,$B52,"W"))</f>
        <v>0</v>
      </c>
      <c r="AK52" s="123">
        <f>COUNTIFS(Database!$F:$I,CONCATENATE($B52,AK$16,"L"))+COUNTIFS(Database!$F:$I,CONCATENATE(AK$16,$B52,"L"))+COUNTIFS(Database!$F:$I,CONCATENATE($B52,AK$16,"W"))+COUNTIFS(Database!$F:$I,CONCATENATE(AK$16,$B52,"W"))</f>
        <v>2</v>
      </c>
      <c r="AL52" s="123">
        <f>COUNTIFS(Database!$F:$I,CONCATENATE($B52,AL$16,"L"))+COUNTIFS(Database!$F:$I,CONCATENATE(AL$16,$B52,"L"))+COUNTIFS(Database!$F:$I,CONCATENATE($B52,AL$16,"W"))+COUNTIFS(Database!$F:$I,CONCATENATE(AL$16,$B52,"W"))</f>
        <v>0</v>
      </c>
      <c r="AM52" s="123">
        <f>COUNTIFS(Database!$F:$I,CONCATENATE($B52,AM$16,"L"))+COUNTIFS(Database!$F:$I,CONCATENATE(AM$16,$B52,"L"))+COUNTIFS(Database!$F:$I,CONCATENATE($B52,AM$16,"W"))+COUNTIFS(Database!$F:$I,CONCATENATE(AM$16,$B52,"W"))</f>
        <v>1</v>
      </c>
      <c r="AN52" s="123">
        <f>COUNTIFS(Database!$F:$I,CONCATENATE($B52,AN$16,"L"))+COUNTIFS(Database!$F:$I,CONCATENATE(AN$16,$B52,"L"))+COUNTIFS(Database!$F:$I,CONCATENATE($B52,AN$16,"W"))+COUNTIFS(Database!$F:$I,CONCATENATE(AN$16,$B52,"W"))</f>
        <v>0</v>
      </c>
      <c r="AO52" s="123">
        <f>COUNTIFS(Database!$F:$I,CONCATENATE($B52,AO$16,"L"))+COUNTIFS(Database!$F:$I,CONCATENATE(AO$16,$B52,"L"))+COUNTIFS(Database!$F:$I,CONCATENATE($B52,AO$16,"W"))+COUNTIFS(Database!$F:$I,CONCATENATE(AO$16,$B52,"W"))</f>
        <v>1</v>
      </c>
      <c r="AP52" s="123">
        <f>COUNTIFS(Database!$F:$I,CONCATENATE($B52,AP$16,"L"))+COUNTIFS(Database!$F:$I,CONCATENATE(AP$16,$B52,"L"))+COUNTIFS(Database!$F:$I,CONCATENATE($B52,AP$16,"W"))+COUNTIFS(Database!$F:$I,CONCATENATE(AP$16,$B52,"W"))</f>
        <v>0</v>
      </c>
      <c r="AQ52" s="123">
        <f>COUNTIFS(Database!$F:$I,CONCATENATE($B52,AQ$16,"L"))+COUNTIFS(Database!$F:$I,CONCATENATE(AQ$16,$B52,"L"))+COUNTIFS(Database!$F:$I,CONCATENATE($B52,AQ$16,"W"))+COUNTIFS(Database!$F:$I,CONCATENATE(AQ$16,$B52,"W"))</f>
        <v>1</v>
      </c>
      <c r="AR52" s="123">
        <f>COUNTIFS(Database!$F:$I,CONCATENATE($B52,AR$16,"L"))+COUNTIFS(Database!$F:$I,CONCATENATE(AR$16,$B52,"L"))+COUNTIFS(Database!$F:$I,CONCATENATE($B52,AR$16,"W"))+COUNTIFS(Database!$F:$I,CONCATENATE(AR$16,$B52,"W"))</f>
        <v>2</v>
      </c>
      <c r="AS52" s="123">
        <f>COUNTIFS(Database!$F:$I,CONCATENATE($B52,AS$16,"L"))+COUNTIFS(Database!$F:$I,CONCATENATE(AS$16,$B52,"L"))+COUNTIFS(Database!$F:$I,CONCATENATE($B52,AS$16,"W"))+COUNTIFS(Database!$F:$I,CONCATENATE(AS$16,$B52,"W"))</f>
        <v>0</v>
      </c>
      <c r="AT52" s="123">
        <f>COUNTIFS(Database!$F:$I,CONCATENATE($B52,AT$16,"L"))+COUNTIFS(Database!$F:$I,CONCATENATE(AT$16,$B52,"L"))+COUNTIFS(Database!$F:$I,CONCATENATE($B52,AT$16,"W"))+COUNTIFS(Database!$F:$I,CONCATENATE(AT$16,$B52,"W"))</f>
        <v>0</v>
      </c>
      <c r="AU52" s="123">
        <f>COUNTIFS(Database!$F:$I,CONCATENATE($B52,AU$16,"L"))+COUNTIFS(Database!$F:$I,CONCATENATE(AU$16,$B52,"L"))+COUNTIFS(Database!$F:$I,CONCATENATE($B52,AU$16,"W"))+COUNTIFS(Database!$F:$I,CONCATENATE(AU$16,$B52,"W"))</f>
        <v>2</v>
      </c>
      <c r="AV52" s="123">
        <f>COUNTIFS(Database!$F:$I,CONCATENATE($B52,AV$16,"L"))+COUNTIFS(Database!$F:$I,CONCATENATE(AV$16,$B52,"L"))+COUNTIFS(Database!$F:$I,CONCATENATE($B52,AV$16,"W"))+COUNTIFS(Database!$F:$I,CONCATENATE(AV$16,$B52,"W"))</f>
        <v>0</v>
      </c>
      <c r="AW52" s="123">
        <f>COUNTIFS(Database!$F:$I,CONCATENATE($B52,AW$16,"L"))+COUNTIFS(Database!$F:$I,CONCATENATE(AW$16,$B52,"L"))+COUNTIFS(Database!$F:$I,CONCATENATE($B52,AW$16,"W"))+COUNTIFS(Database!$F:$I,CONCATENATE(AW$16,$B52,"W"))</f>
        <v>3</v>
      </c>
      <c r="AX52" s="123">
        <f>COUNTIFS(Database!$F:$I,CONCATENATE($B52,AX$16,"L"))+COUNTIFS(Database!$F:$I,CONCATENATE(AX$16,$B52,"L"))+COUNTIFS(Database!$F:$I,CONCATENATE($B52,AX$16,"W"))+COUNTIFS(Database!$F:$I,CONCATENATE(AX$16,$B52,"W"))</f>
        <v>0</v>
      </c>
      <c r="AY52" s="123">
        <f>COUNTIFS(Database!$F:$I,CONCATENATE($B52,AY$16,"L"))+COUNTIFS(Database!$F:$I,CONCATENATE(AY$16,$B52,"L"))+COUNTIFS(Database!$F:$I,CONCATENATE($B52,AY$16,"W"))+COUNTIFS(Database!$F:$I,CONCATENATE(AY$16,$B52,"W"))</f>
        <v>3</v>
      </c>
    </row>
    <row r="53" spans="2:51" x14ac:dyDescent="0.25">
      <c r="B53" s="120" t="s">
        <v>29</v>
      </c>
      <c r="C53" s="123">
        <f>COUNTIFS(Database!$F:$I,CONCATENATE($B53,C$16,"L"))+COUNTIFS(Database!$F:$I,CONCATENATE(C$16,$B53,"L"))+COUNTIFS(Database!$F:$I,CONCATENATE($B53,C$16,"W"))+COUNTIFS(Database!$F:$I,CONCATENATE(C$16,$B53,"W"))</f>
        <v>2</v>
      </c>
      <c r="D53" s="123">
        <f>COUNTIFS(Database!$F:$I,CONCATENATE($B53,D$16,"L"))+COUNTIFS(Database!$F:$I,CONCATENATE(D$16,$B53,"L"))+COUNTIFS(Database!$F:$I,CONCATENATE($B53,D$16,"W"))+COUNTIFS(Database!$F:$I,CONCATENATE(D$16,$B53,"W"))</f>
        <v>0</v>
      </c>
      <c r="E53" s="123">
        <f>COUNTIFS(Database!$F:$I,CONCATENATE($B53,E$16,"L"))+COUNTIFS(Database!$F:$I,CONCATENATE(E$16,$B53,"L"))+COUNTIFS(Database!$F:$I,CONCATENATE($B53,E$16,"W"))+COUNTIFS(Database!$F:$I,CONCATENATE(E$16,$B53,"W"))</f>
        <v>0</v>
      </c>
      <c r="F53" s="123">
        <f>COUNTIFS(Database!$F:$I,CONCATENATE($B53,F$16,"L"))+COUNTIFS(Database!$F:$I,CONCATENATE(F$16,$B53,"L"))+COUNTIFS(Database!$F:$I,CONCATENATE($B53,F$16,"W"))+COUNTIFS(Database!$F:$I,CONCATENATE(F$16,$B53,"W"))</f>
        <v>1</v>
      </c>
      <c r="G53" s="123">
        <f>COUNTIFS(Database!$F:$I,CONCATENATE($B53,G$16,"L"))+COUNTIFS(Database!$F:$I,CONCATENATE(G$16,$B53,"L"))+COUNTIFS(Database!$F:$I,CONCATENATE($B53,G$16,"W"))+COUNTIFS(Database!$F:$I,CONCATENATE(G$16,$B53,"W"))</f>
        <v>0</v>
      </c>
      <c r="H53" s="123">
        <f>COUNTIFS(Database!$F:$I,CONCATENATE($B53,H$16,"L"))+COUNTIFS(Database!$F:$I,CONCATENATE(H$16,$B53,"L"))+COUNTIFS(Database!$F:$I,CONCATENATE($B53,H$16,"W"))+COUNTIFS(Database!$F:$I,CONCATENATE(H$16,$B53,"W"))</f>
        <v>0</v>
      </c>
      <c r="I53" s="123">
        <f>COUNTIFS(Database!$F:$I,CONCATENATE($B53,I$16,"L"))+COUNTIFS(Database!$F:$I,CONCATENATE(I$16,$B53,"L"))+COUNTIFS(Database!$F:$I,CONCATENATE($B53,I$16,"W"))+COUNTIFS(Database!$F:$I,CONCATENATE(I$16,$B53,"W"))</f>
        <v>0</v>
      </c>
      <c r="J53" s="123">
        <f>COUNTIFS(Database!$F:$I,CONCATENATE($B53,J$16,"L"))+COUNTIFS(Database!$F:$I,CONCATENATE(J$16,$B53,"L"))+COUNTIFS(Database!$F:$I,CONCATENATE($B53,J$16,"W"))+COUNTIFS(Database!$F:$I,CONCATENATE(J$16,$B53,"W"))</f>
        <v>1</v>
      </c>
      <c r="K53" s="123">
        <f>COUNTIFS(Database!$F:$I,CONCATENATE($B53,K$16,"L"))+COUNTIFS(Database!$F:$I,CONCATENATE(K$16,$B53,"L"))+COUNTIFS(Database!$F:$I,CONCATENATE($B53,K$16,"W"))+COUNTIFS(Database!$F:$I,CONCATENATE(K$16,$B53,"W"))</f>
        <v>1</v>
      </c>
      <c r="L53" s="123">
        <f>COUNTIFS(Database!$F:$I,CONCATENATE($B53,L$16,"L"))+COUNTIFS(Database!$F:$I,CONCATENATE(L$16,$B53,"L"))+COUNTIFS(Database!$F:$I,CONCATENATE($B53,L$16,"W"))+COUNTIFS(Database!$F:$I,CONCATENATE(L$16,$B53,"W"))</f>
        <v>0</v>
      </c>
      <c r="M53" s="123">
        <f>COUNTIFS(Database!$F:$I,CONCATENATE($B53,M$16,"L"))+COUNTIFS(Database!$F:$I,CONCATENATE(M$16,$B53,"L"))+COUNTIFS(Database!$F:$I,CONCATENATE($B53,M$16,"W"))+COUNTIFS(Database!$F:$I,CONCATENATE(M$16,$B53,"W"))</f>
        <v>0</v>
      </c>
      <c r="N53" s="123">
        <f>COUNTIFS(Database!$F:$I,CONCATENATE($B53,N$16,"L"))+COUNTIFS(Database!$F:$I,CONCATENATE(N$16,$B53,"L"))+COUNTIFS(Database!$F:$I,CONCATENATE($B53,N$16,"W"))+COUNTIFS(Database!$F:$I,CONCATENATE(N$16,$B53,"W"))</f>
        <v>0</v>
      </c>
      <c r="O53" s="123">
        <f>COUNTIFS(Database!$F:$I,CONCATENATE($B53,O$16,"L"))+COUNTIFS(Database!$F:$I,CONCATENATE(O$16,$B53,"L"))+COUNTIFS(Database!$F:$I,CONCATENATE($B53,O$16,"W"))+COUNTIFS(Database!$F:$I,CONCATENATE(O$16,$B53,"W"))</f>
        <v>0</v>
      </c>
      <c r="P53" s="123">
        <f>COUNTIFS(Database!$F:$I,CONCATENATE($B53,P$16,"L"))+COUNTIFS(Database!$F:$I,CONCATENATE(P$16,$B53,"L"))+COUNTIFS(Database!$F:$I,CONCATENATE($B53,P$16,"W"))+COUNTIFS(Database!$F:$I,CONCATENATE(P$16,$B53,"W"))</f>
        <v>0</v>
      </c>
      <c r="Q53" s="123">
        <f>COUNTIFS(Database!$F:$I,CONCATENATE($B53,Q$16,"L"))+COUNTIFS(Database!$F:$I,CONCATENATE(Q$16,$B53,"L"))+COUNTIFS(Database!$F:$I,CONCATENATE($B53,Q$16,"W"))+COUNTIFS(Database!$F:$I,CONCATENATE(Q$16,$B53,"W"))</f>
        <v>0</v>
      </c>
      <c r="R53" s="123">
        <f>COUNTIFS(Database!$F:$I,CONCATENATE($B53,R$16,"L"))+COUNTIFS(Database!$F:$I,CONCATENATE(R$16,$B53,"L"))+COUNTIFS(Database!$F:$I,CONCATENATE($B53,R$16,"W"))+COUNTIFS(Database!$F:$I,CONCATENATE(R$16,$B53,"W"))</f>
        <v>0</v>
      </c>
      <c r="S53" s="123">
        <f>COUNTIFS(Database!$F:$I,CONCATENATE($B53,S$16,"L"))+COUNTIFS(Database!$F:$I,CONCATENATE(S$16,$B53,"L"))+COUNTIFS(Database!$F:$I,CONCATENATE($B53,S$16,"W"))+COUNTIFS(Database!$F:$I,CONCATENATE(S$16,$B53,"W"))</f>
        <v>0</v>
      </c>
      <c r="T53" s="123">
        <f>COUNTIFS(Database!$F:$I,CONCATENATE($B53,T$16,"L"))+COUNTIFS(Database!$F:$I,CONCATENATE(T$16,$B53,"L"))+COUNTIFS(Database!$F:$I,CONCATENATE($B53,T$16,"W"))+COUNTIFS(Database!$F:$I,CONCATENATE(T$16,$B53,"W"))</f>
        <v>0</v>
      </c>
      <c r="U53" s="123">
        <f>COUNTIFS(Database!$F:$I,CONCATENATE($B53,U$16,"L"))+COUNTIFS(Database!$F:$I,CONCATENATE(U$16,$B53,"L"))+COUNTIFS(Database!$F:$I,CONCATENATE($B53,U$16,"W"))+COUNTIFS(Database!$F:$I,CONCATENATE(U$16,$B53,"W"))</f>
        <v>0</v>
      </c>
      <c r="V53" s="123">
        <f>COUNTIFS(Database!$F:$I,CONCATENATE($B53,V$16,"L"))+COUNTIFS(Database!$F:$I,CONCATENATE(V$16,$B53,"L"))+COUNTIFS(Database!$F:$I,CONCATENATE($B53,V$16,"W"))+COUNTIFS(Database!$F:$I,CONCATENATE(V$16,$B53,"W"))</f>
        <v>0</v>
      </c>
      <c r="W53" s="123">
        <f>COUNTIFS(Database!$F:$I,CONCATENATE($B53,W$16,"L"))+COUNTIFS(Database!$F:$I,CONCATENATE(W$16,$B53,"L"))+COUNTIFS(Database!$F:$I,CONCATENATE($B53,W$16,"W"))+COUNTIFS(Database!$F:$I,CONCATENATE(W$16,$B53,"W"))</f>
        <v>0</v>
      </c>
      <c r="X53" s="123">
        <f>COUNTIFS(Database!$F:$I,CONCATENATE($B53,X$16,"L"))+COUNTIFS(Database!$F:$I,CONCATENATE(X$16,$B53,"L"))+COUNTIFS(Database!$F:$I,CONCATENATE($B53,X$16,"W"))+COUNTIFS(Database!$F:$I,CONCATENATE(X$16,$B53,"W"))</f>
        <v>0</v>
      </c>
      <c r="Y53" s="123">
        <f>COUNTIFS(Database!$F:$I,CONCATENATE($B53,Y$16,"L"))+COUNTIFS(Database!$F:$I,CONCATENATE(Y$16,$B53,"L"))+COUNTIFS(Database!$F:$I,CONCATENATE($B53,Y$16,"W"))+COUNTIFS(Database!$F:$I,CONCATENATE(Y$16,$B53,"W"))</f>
        <v>0</v>
      </c>
      <c r="Z53" s="123">
        <f>COUNTIFS(Database!$F:$I,CONCATENATE($B53,Z$16,"L"))+COUNTIFS(Database!$F:$I,CONCATENATE(Z$16,$B53,"L"))+COUNTIFS(Database!$F:$I,CONCATENATE($B53,Z$16,"W"))+COUNTIFS(Database!$F:$I,CONCATENATE(Z$16,$B53,"W"))</f>
        <v>0</v>
      </c>
      <c r="AA53" s="123">
        <f>COUNTIFS(Database!$F:$I,CONCATENATE($B53,AA$16,"L"))+COUNTIFS(Database!$F:$I,CONCATENATE(AA$16,$B53,"L"))+COUNTIFS(Database!$F:$I,CONCATENATE($B53,AA$16,"W"))+COUNTIFS(Database!$F:$I,CONCATENATE(AA$16,$B53,"W"))</f>
        <v>0</v>
      </c>
      <c r="AB53" s="123">
        <f>COUNTIFS(Database!$F:$I,CONCATENATE($B53,AB$16,"L"))+COUNTIFS(Database!$F:$I,CONCATENATE(AB$16,$B53,"L"))+COUNTIFS(Database!$F:$I,CONCATENATE($B53,AB$16,"W"))+COUNTIFS(Database!$F:$I,CONCATENATE(AB$16,$B53,"W"))</f>
        <v>0</v>
      </c>
      <c r="AC53" s="123">
        <f>COUNTIFS(Database!$F:$I,CONCATENATE($B53,AC$16,"L"))+COUNTIFS(Database!$F:$I,CONCATENATE(AC$16,$B53,"L"))+COUNTIFS(Database!$F:$I,CONCATENATE($B53,AC$16,"W"))+COUNTIFS(Database!$F:$I,CONCATENATE(AC$16,$B53,"W"))</f>
        <v>1</v>
      </c>
      <c r="AD53" s="123">
        <f>COUNTIFS(Database!$F:$I,CONCATENATE($B53,AD$16,"L"))+COUNTIFS(Database!$F:$I,CONCATENATE(AD$16,$B53,"L"))+COUNTIFS(Database!$F:$I,CONCATENATE($B53,AD$16,"W"))+COUNTIFS(Database!$F:$I,CONCATENATE(AD$16,$B53,"W"))</f>
        <v>0</v>
      </c>
      <c r="AE53" s="123">
        <f>COUNTIFS(Database!$F:$I,CONCATENATE($B53,AE$16,"L"))+COUNTIFS(Database!$F:$I,CONCATENATE(AE$16,$B53,"L"))+COUNTIFS(Database!$F:$I,CONCATENATE($B53,AE$16,"W"))+COUNTIFS(Database!$F:$I,CONCATENATE(AE$16,$B53,"W"))</f>
        <v>0</v>
      </c>
      <c r="AF53" s="123">
        <f>COUNTIFS(Database!$F:$I,CONCATENATE($B53,AF$16,"L"))+COUNTIFS(Database!$F:$I,CONCATENATE(AF$16,$B53,"L"))+COUNTIFS(Database!$F:$I,CONCATENATE($B53,AF$16,"W"))+COUNTIFS(Database!$F:$I,CONCATENATE(AF$16,$B53,"W"))</f>
        <v>0</v>
      </c>
      <c r="AG53" s="123">
        <f>COUNTIFS(Database!$F:$I,CONCATENATE($B53,AG$16,"L"))+COUNTIFS(Database!$F:$I,CONCATENATE(AG$16,$B53,"L"))+COUNTIFS(Database!$F:$I,CONCATENATE($B53,AG$16,"W"))+COUNTIFS(Database!$F:$I,CONCATENATE(AG$16,$B53,"W"))</f>
        <v>0</v>
      </c>
      <c r="AH53" s="123">
        <f>COUNTIFS(Database!$F:$I,CONCATENATE($B53,AH$16,"L"))+COUNTIFS(Database!$F:$I,CONCATENATE(AH$16,$B53,"L"))+COUNTIFS(Database!$F:$I,CONCATENATE($B53,AH$16,"W"))+COUNTIFS(Database!$F:$I,CONCATENATE(AH$16,$B53,"W"))</f>
        <v>0</v>
      </c>
      <c r="AI53" s="123">
        <f>COUNTIFS(Database!$F:$I,CONCATENATE($B53,AI$16,"L"))+COUNTIFS(Database!$F:$I,CONCATENATE(AI$16,$B53,"L"))+COUNTIFS(Database!$F:$I,CONCATENATE($B53,AI$16,"W"))+COUNTIFS(Database!$F:$I,CONCATENATE(AI$16,$B53,"W"))</f>
        <v>0</v>
      </c>
      <c r="AJ53" s="123">
        <f>COUNTIFS(Database!$F:$I,CONCATENATE($B53,AJ$16,"L"))+COUNTIFS(Database!$F:$I,CONCATENATE(AJ$16,$B53,"L"))+COUNTIFS(Database!$F:$I,CONCATENATE($B53,AJ$16,"W"))+COUNTIFS(Database!$F:$I,CONCATENATE(AJ$16,$B53,"W"))</f>
        <v>0</v>
      </c>
      <c r="AK53" s="123">
        <f>COUNTIFS(Database!$F:$I,CONCATENATE($B53,AK$16,"L"))+COUNTIFS(Database!$F:$I,CONCATENATE(AK$16,$B53,"L"))+COUNTIFS(Database!$F:$I,CONCATENATE($B53,AK$16,"W"))+COUNTIFS(Database!$F:$I,CONCATENATE(AK$16,$B53,"W"))</f>
        <v>0</v>
      </c>
      <c r="AL53" s="123">
        <f>COUNTIFS(Database!$F:$I,CONCATENATE($B53,AL$16,"L"))+COUNTIFS(Database!$F:$I,CONCATENATE(AL$16,$B53,"L"))+COUNTIFS(Database!$F:$I,CONCATENATE($B53,AL$16,"W"))+COUNTIFS(Database!$F:$I,CONCATENATE(AL$16,$B53,"W"))</f>
        <v>1</v>
      </c>
      <c r="AM53" s="123">
        <f>COUNTIFS(Database!$F:$I,CONCATENATE($B53,AM$16,"L"))+COUNTIFS(Database!$F:$I,CONCATENATE(AM$16,$B53,"L"))+COUNTIFS(Database!$F:$I,CONCATENATE($B53,AM$16,"W"))+COUNTIFS(Database!$F:$I,CONCATENATE(AM$16,$B53,"W"))</f>
        <v>0</v>
      </c>
      <c r="AN53" s="123">
        <f>COUNTIFS(Database!$F:$I,CONCATENATE($B53,AN$16,"L"))+COUNTIFS(Database!$F:$I,CONCATENATE(AN$16,$B53,"L"))+COUNTIFS(Database!$F:$I,CONCATENATE($B53,AN$16,"W"))+COUNTIFS(Database!$F:$I,CONCATENATE(AN$16,$B53,"W"))</f>
        <v>0</v>
      </c>
      <c r="AO53" s="123">
        <f>COUNTIFS(Database!$F:$I,CONCATENATE($B53,AO$16,"L"))+COUNTIFS(Database!$F:$I,CONCATENATE(AO$16,$B53,"L"))+COUNTIFS(Database!$F:$I,CONCATENATE($B53,AO$16,"W"))+COUNTIFS(Database!$F:$I,CONCATENATE(AO$16,$B53,"W"))</f>
        <v>0</v>
      </c>
      <c r="AP53" s="123">
        <f>COUNTIFS(Database!$F:$I,CONCATENATE($B53,AP$16,"L"))+COUNTIFS(Database!$F:$I,CONCATENATE(AP$16,$B53,"L"))+COUNTIFS(Database!$F:$I,CONCATENATE($B53,AP$16,"W"))+COUNTIFS(Database!$F:$I,CONCATENATE(AP$16,$B53,"W"))</f>
        <v>0</v>
      </c>
      <c r="AQ53" s="123">
        <f>COUNTIFS(Database!$F:$I,CONCATENATE($B53,AQ$16,"L"))+COUNTIFS(Database!$F:$I,CONCATENATE(AQ$16,$B53,"L"))+COUNTIFS(Database!$F:$I,CONCATENATE($B53,AQ$16,"W"))+COUNTIFS(Database!$F:$I,CONCATENATE(AQ$16,$B53,"W"))</f>
        <v>0</v>
      </c>
      <c r="AR53" s="123">
        <f>COUNTIFS(Database!$F:$I,CONCATENATE($B53,AR$16,"L"))+COUNTIFS(Database!$F:$I,CONCATENATE(AR$16,$B53,"L"))+COUNTIFS(Database!$F:$I,CONCATENATE($B53,AR$16,"W"))+COUNTIFS(Database!$F:$I,CONCATENATE(AR$16,$B53,"W"))</f>
        <v>0</v>
      </c>
      <c r="AS53" s="123">
        <f>COUNTIFS(Database!$F:$I,CONCATENATE($B53,AS$16,"L"))+COUNTIFS(Database!$F:$I,CONCATENATE(AS$16,$B53,"L"))+COUNTIFS(Database!$F:$I,CONCATENATE($B53,AS$16,"W"))+COUNTIFS(Database!$F:$I,CONCATENATE(AS$16,$B53,"W"))</f>
        <v>0</v>
      </c>
      <c r="AT53" s="123">
        <f>COUNTIFS(Database!$F:$I,CONCATENATE($B53,AT$16,"L"))+COUNTIFS(Database!$F:$I,CONCATENATE(AT$16,$B53,"L"))+COUNTIFS(Database!$F:$I,CONCATENATE($B53,AT$16,"W"))+COUNTIFS(Database!$F:$I,CONCATENATE(AT$16,$B53,"W"))</f>
        <v>0</v>
      </c>
      <c r="AU53" s="123">
        <f>COUNTIFS(Database!$F:$I,CONCATENATE($B53,AU$16,"L"))+COUNTIFS(Database!$F:$I,CONCATENATE(AU$16,$B53,"L"))+COUNTIFS(Database!$F:$I,CONCATENATE($B53,AU$16,"W"))+COUNTIFS(Database!$F:$I,CONCATENATE(AU$16,$B53,"W"))</f>
        <v>3</v>
      </c>
      <c r="AV53" s="123">
        <f>COUNTIFS(Database!$F:$I,CONCATENATE($B53,AV$16,"L"))+COUNTIFS(Database!$F:$I,CONCATENATE(AV$16,$B53,"L"))+COUNTIFS(Database!$F:$I,CONCATENATE($B53,AV$16,"W"))+COUNTIFS(Database!$F:$I,CONCATENATE(AV$16,$B53,"W"))</f>
        <v>0</v>
      </c>
      <c r="AW53" s="123">
        <f>COUNTIFS(Database!$F:$I,CONCATENATE($B53,AW$16,"L"))+COUNTIFS(Database!$F:$I,CONCATENATE(AW$16,$B53,"L"))+COUNTIFS(Database!$F:$I,CONCATENATE($B53,AW$16,"W"))+COUNTIFS(Database!$F:$I,CONCATENATE(AW$16,$B53,"W"))</f>
        <v>0</v>
      </c>
      <c r="AX53" s="123">
        <f>COUNTIFS(Database!$F:$I,CONCATENATE($B53,AX$16,"L"))+COUNTIFS(Database!$F:$I,CONCATENATE(AX$16,$B53,"L"))+COUNTIFS(Database!$F:$I,CONCATENATE($B53,AX$16,"W"))+COUNTIFS(Database!$F:$I,CONCATENATE(AX$16,$B53,"W"))</f>
        <v>0</v>
      </c>
      <c r="AY53" s="123">
        <f>COUNTIFS(Database!$F:$I,CONCATENATE($B53,AY$16,"L"))+COUNTIFS(Database!$F:$I,CONCATENATE(AY$16,$B53,"L"))+COUNTIFS(Database!$F:$I,CONCATENATE($B53,AY$16,"W"))+COUNTIFS(Database!$F:$I,CONCATENATE(AY$16,$B53,"W"))</f>
        <v>1</v>
      </c>
    </row>
    <row r="54" spans="2:51" x14ac:dyDescent="0.25">
      <c r="B54" s="120" t="s">
        <v>25</v>
      </c>
      <c r="C54" s="123">
        <f>COUNTIFS(Database!$F:$I,CONCATENATE($B54,C$16,"L"))+COUNTIFS(Database!$F:$I,CONCATENATE(C$16,$B54,"L"))+COUNTIFS(Database!$F:$I,CONCATENATE($B54,C$16,"W"))+COUNTIFS(Database!$F:$I,CONCATENATE(C$16,$B54,"W"))</f>
        <v>0</v>
      </c>
      <c r="D54" s="123">
        <f>COUNTIFS(Database!$F:$I,CONCATENATE($B54,D$16,"L"))+COUNTIFS(Database!$F:$I,CONCATENATE(D$16,$B54,"L"))+COUNTIFS(Database!$F:$I,CONCATENATE($B54,D$16,"W"))+COUNTIFS(Database!$F:$I,CONCATENATE(D$16,$B54,"W"))</f>
        <v>0</v>
      </c>
      <c r="E54" s="123">
        <f>COUNTIFS(Database!$F:$I,CONCATENATE($B54,E$16,"L"))+COUNTIFS(Database!$F:$I,CONCATENATE(E$16,$B54,"L"))+COUNTIFS(Database!$F:$I,CONCATENATE($B54,E$16,"W"))+COUNTIFS(Database!$F:$I,CONCATENATE(E$16,$B54,"W"))</f>
        <v>0</v>
      </c>
      <c r="F54" s="123">
        <f>COUNTIFS(Database!$F:$I,CONCATENATE($B54,F$16,"L"))+COUNTIFS(Database!$F:$I,CONCATENATE(F$16,$B54,"L"))+COUNTIFS(Database!$F:$I,CONCATENATE($B54,F$16,"W"))+COUNTIFS(Database!$F:$I,CONCATENATE(F$16,$B54,"W"))</f>
        <v>0</v>
      </c>
      <c r="G54" s="123">
        <f>COUNTIFS(Database!$F:$I,CONCATENATE($B54,G$16,"L"))+COUNTIFS(Database!$F:$I,CONCATENATE(G$16,$B54,"L"))+COUNTIFS(Database!$F:$I,CONCATENATE($B54,G$16,"W"))+COUNTIFS(Database!$F:$I,CONCATENATE(G$16,$B54,"W"))</f>
        <v>0</v>
      </c>
      <c r="H54" s="123">
        <f>COUNTIFS(Database!$F:$I,CONCATENATE($B54,H$16,"L"))+COUNTIFS(Database!$F:$I,CONCATENATE(H$16,$B54,"L"))+COUNTIFS(Database!$F:$I,CONCATENATE($B54,H$16,"W"))+COUNTIFS(Database!$F:$I,CONCATENATE(H$16,$B54,"W"))</f>
        <v>0</v>
      </c>
      <c r="I54" s="123">
        <f>COUNTIFS(Database!$F:$I,CONCATENATE($B54,I$16,"L"))+COUNTIFS(Database!$F:$I,CONCATENATE(I$16,$B54,"L"))+COUNTIFS(Database!$F:$I,CONCATENATE($B54,I$16,"W"))+COUNTIFS(Database!$F:$I,CONCATENATE(I$16,$B54,"W"))</f>
        <v>0</v>
      </c>
      <c r="J54" s="123">
        <f>COUNTIFS(Database!$F:$I,CONCATENATE($B54,J$16,"L"))+COUNTIFS(Database!$F:$I,CONCATENATE(J$16,$B54,"L"))+COUNTIFS(Database!$F:$I,CONCATENATE($B54,J$16,"W"))+COUNTIFS(Database!$F:$I,CONCATENATE(J$16,$B54,"W"))</f>
        <v>0</v>
      </c>
      <c r="K54" s="123">
        <f>COUNTIFS(Database!$F:$I,CONCATENATE($B54,K$16,"L"))+COUNTIFS(Database!$F:$I,CONCATENATE(K$16,$B54,"L"))+COUNTIFS(Database!$F:$I,CONCATENATE($B54,K$16,"W"))+COUNTIFS(Database!$F:$I,CONCATENATE(K$16,$B54,"W"))</f>
        <v>0</v>
      </c>
      <c r="L54" s="123">
        <f>COUNTIFS(Database!$F:$I,CONCATENATE($B54,L$16,"L"))+COUNTIFS(Database!$F:$I,CONCATENATE(L$16,$B54,"L"))+COUNTIFS(Database!$F:$I,CONCATENATE($B54,L$16,"W"))+COUNTIFS(Database!$F:$I,CONCATENATE(L$16,$B54,"W"))</f>
        <v>0</v>
      </c>
      <c r="M54" s="123">
        <f>COUNTIFS(Database!$F:$I,CONCATENATE($B54,M$16,"L"))+COUNTIFS(Database!$F:$I,CONCATENATE(M$16,$B54,"L"))+COUNTIFS(Database!$F:$I,CONCATENATE($B54,M$16,"W"))+COUNTIFS(Database!$F:$I,CONCATENATE(M$16,$B54,"W"))</f>
        <v>0</v>
      </c>
      <c r="N54" s="123">
        <f>COUNTIFS(Database!$F:$I,CONCATENATE($B54,N$16,"L"))+COUNTIFS(Database!$F:$I,CONCATENATE(N$16,$B54,"L"))+COUNTIFS(Database!$F:$I,CONCATENATE($B54,N$16,"W"))+COUNTIFS(Database!$F:$I,CONCATENATE(N$16,$B54,"W"))</f>
        <v>0</v>
      </c>
      <c r="O54" s="123">
        <f>COUNTIFS(Database!$F:$I,CONCATENATE($B54,O$16,"L"))+COUNTIFS(Database!$F:$I,CONCATENATE(O$16,$B54,"L"))+COUNTIFS(Database!$F:$I,CONCATENATE($B54,O$16,"W"))+COUNTIFS(Database!$F:$I,CONCATENATE(O$16,$B54,"W"))</f>
        <v>0</v>
      </c>
      <c r="P54" s="123">
        <f>COUNTIFS(Database!$F:$I,CONCATENATE($B54,P$16,"L"))+COUNTIFS(Database!$F:$I,CONCATENATE(P$16,$B54,"L"))+COUNTIFS(Database!$F:$I,CONCATENATE($B54,P$16,"W"))+COUNTIFS(Database!$F:$I,CONCATENATE(P$16,$B54,"W"))</f>
        <v>0</v>
      </c>
      <c r="Q54" s="123">
        <f>COUNTIFS(Database!$F:$I,CONCATENATE($B54,Q$16,"L"))+COUNTIFS(Database!$F:$I,CONCATENATE(Q$16,$B54,"L"))+COUNTIFS(Database!$F:$I,CONCATENATE($B54,Q$16,"W"))+COUNTIFS(Database!$F:$I,CONCATENATE(Q$16,$B54,"W"))</f>
        <v>0</v>
      </c>
      <c r="R54" s="123">
        <f>COUNTIFS(Database!$F:$I,CONCATENATE($B54,R$16,"L"))+COUNTIFS(Database!$F:$I,CONCATENATE(R$16,$B54,"L"))+COUNTIFS(Database!$F:$I,CONCATENATE($B54,R$16,"W"))+COUNTIFS(Database!$F:$I,CONCATENATE(R$16,$B54,"W"))</f>
        <v>0</v>
      </c>
      <c r="S54" s="123">
        <f>COUNTIFS(Database!$F:$I,CONCATENATE($B54,S$16,"L"))+COUNTIFS(Database!$F:$I,CONCATENATE(S$16,$B54,"L"))+COUNTIFS(Database!$F:$I,CONCATENATE($B54,S$16,"W"))+COUNTIFS(Database!$F:$I,CONCATENATE(S$16,$B54,"W"))</f>
        <v>1</v>
      </c>
      <c r="T54" s="123">
        <f>COUNTIFS(Database!$F:$I,CONCATENATE($B54,T$16,"L"))+COUNTIFS(Database!$F:$I,CONCATENATE(T$16,$B54,"L"))+COUNTIFS(Database!$F:$I,CONCATENATE($B54,T$16,"W"))+COUNTIFS(Database!$F:$I,CONCATENATE(T$16,$B54,"W"))</f>
        <v>0</v>
      </c>
      <c r="U54" s="123">
        <f>COUNTIFS(Database!$F:$I,CONCATENATE($B54,U$16,"L"))+COUNTIFS(Database!$F:$I,CONCATENATE(U$16,$B54,"L"))+COUNTIFS(Database!$F:$I,CONCATENATE($B54,U$16,"W"))+COUNTIFS(Database!$F:$I,CONCATENATE(U$16,$B54,"W"))</f>
        <v>0</v>
      </c>
      <c r="V54" s="123">
        <f>COUNTIFS(Database!$F:$I,CONCATENATE($B54,V$16,"L"))+COUNTIFS(Database!$F:$I,CONCATENATE(V$16,$B54,"L"))+COUNTIFS(Database!$F:$I,CONCATENATE($B54,V$16,"W"))+COUNTIFS(Database!$F:$I,CONCATENATE(V$16,$B54,"W"))</f>
        <v>1</v>
      </c>
      <c r="W54" s="123">
        <f>COUNTIFS(Database!$F:$I,CONCATENATE($B54,W$16,"L"))+COUNTIFS(Database!$F:$I,CONCATENATE(W$16,$B54,"L"))+COUNTIFS(Database!$F:$I,CONCATENATE($B54,W$16,"W"))+COUNTIFS(Database!$F:$I,CONCATENATE(W$16,$B54,"W"))</f>
        <v>1</v>
      </c>
      <c r="X54" s="123">
        <f>COUNTIFS(Database!$F:$I,CONCATENATE($B54,X$16,"L"))+COUNTIFS(Database!$F:$I,CONCATENATE(X$16,$B54,"L"))+COUNTIFS(Database!$F:$I,CONCATENATE($B54,X$16,"W"))+COUNTIFS(Database!$F:$I,CONCATENATE(X$16,$B54,"W"))</f>
        <v>0</v>
      </c>
      <c r="Y54" s="123">
        <f>COUNTIFS(Database!$F:$I,CONCATENATE($B54,Y$16,"L"))+COUNTIFS(Database!$F:$I,CONCATENATE(Y$16,$B54,"L"))+COUNTIFS(Database!$F:$I,CONCATENATE($B54,Y$16,"W"))+COUNTIFS(Database!$F:$I,CONCATENATE(Y$16,$B54,"W"))</f>
        <v>0</v>
      </c>
      <c r="Z54" s="123">
        <f>COUNTIFS(Database!$F:$I,CONCATENATE($B54,Z$16,"L"))+COUNTIFS(Database!$F:$I,CONCATENATE(Z$16,$B54,"L"))+COUNTIFS(Database!$F:$I,CONCATENATE($B54,Z$16,"W"))+COUNTIFS(Database!$F:$I,CONCATENATE(Z$16,$B54,"W"))</f>
        <v>0</v>
      </c>
      <c r="AA54" s="123">
        <f>COUNTIFS(Database!$F:$I,CONCATENATE($B54,AA$16,"L"))+COUNTIFS(Database!$F:$I,CONCATENATE(AA$16,$B54,"L"))+COUNTIFS(Database!$F:$I,CONCATENATE($B54,AA$16,"W"))+COUNTIFS(Database!$F:$I,CONCATENATE(AA$16,$B54,"W"))</f>
        <v>0</v>
      </c>
      <c r="AB54" s="123">
        <f>COUNTIFS(Database!$F:$I,CONCATENATE($B54,AB$16,"L"))+COUNTIFS(Database!$F:$I,CONCATENATE(AB$16,$B54,"L"))+COUNTIFS(Database!$F:$I,CONCATENATE($B54,AB$16,"W"))+COUNTIFS(Database!$F:$I,CONCATENATE(AB$16,$B54,"W"))</f>
        <v>0</v>
      </c>
      <c r="AC54" s="123">
        <f>COUNTIFS(Database!$F:$I,CONCATENATE($B54,AC$16,"L"))+COUNTIFS(Database!$F:$I,CONCATENATE(AC$16,$B54,"L"))+COUNTIFS(Database!$F:$I,CONCATENATE($B54,AC$16,"W"))+COUNTIFS(Database!$F:$I,CONCATENATE(AC$16,$B54,"W"))</f>
        <v>0</v>
      </c>
      <c r="AD54" s="123">
        <f>COUNTIFS(Database!$F:$I,CONCATENATE($B54,AD$16,"L"))+COUNTIFS(Database!$F:$I,CONCATENATE(AD$16,$B54,"L"))+COUNTIFS(Database!$F:$I,CONCATENATE($B54,AD$16,"W"))+COUNTIFS(Database!$F:$I,CONCATENATE(AD$16,$B54,"W"))</f>
        <v>0</v>
      </c>
      <c r="AE54" s="123">
        <f>COUNTIFS(Database!$F:$I,CONCATENATE($B54,AE$16,"L"))+COUNTIFS(Database!$F:$I,CONCATENATE(AE$16,$B54,"L"))+COUNTIFS(Database!$F:$I,CONCATENATE($B54,AE$16,"W"))+COUNTIFS(Database!$F:$I,CONCATENATE(AE$16,$B54,"W"))</f>
        <v>0</v>
      </c>
      <c r="AF54" s="123">
        <f>COUNTIFS(Database!$F:$I,CONCATENATE($B54,AF$16,"L"))+COUNTIFS(Database!$F:$I,CONCATENATE(AF$16,$B54,"L"))+COUNTIFS(Database!$F:$I,CONCATENATE($B54,AF$16,"W"))+COUNTIFS(Database!$F:$I,CONCATENATE(AF$16,$B54,"W"))</f>
        <v>0</v>
      </c>
      <c r="AG54" s="123">
        <f>COUNTIFS(Database!$F:$I,CONCATENATE($B54,AG$16,"L"))+COUNTIFS(Database!$F:$I,CONCATENATE(AG$16,$B54,"L"))+COUNTIFS(Database!$F:$I,CONCATENATE($B54,AG$16,"W"))+COUNTIFS(Database!$F:$I,CONCATENATE(AG$16,$B54,"W"))</f>
        <v>0</v>
      </c>
      <c r="AH54" s="123">
        <f>COUNTIFS(Database!$F:$I,CONCATENATE($B54,AH$16,"L"))+COUNTIFS(Database!$F:$I,CONCATENATE(AH$16,$B54,"L"))+COUNTIFS(Database!$F:$I,CONCATENATE($B54,AH$16,"W"))+COUNTIFS(Database!$F:$I,CONCATENATE(AH$16,$B54,"W"))</f>
        <v>0</v>
      </c>
      <c r="AI54" s="123">
        <f>COUNTIFS(Database!$F:$I,CONCATENATE($B54,AI$16,"L"))+COUNTIFS(Database!$F:$I,CONCATENATE(AI$16,$B54,"L"))+COUNTIFS(Database!$F:$I,CONCATENATE($B54,AI$16,"W"))+COUNTIFS(Database!$F:$I,CONCATENATE(AI$16,$B54,"W"))</f>
        <v>0</v>
      </c>
      <c r="AJ54" s="123">
        <f>COUNTIFS(Database!$F:$I,CONCATENATE($B54,AJ$16,"L"))+COUNTIFS(Database!$F:$I,CONCATENATE(AJ$16,$B54,"L"))+COUNTIFS(Database!$F:$I,CONCATENATE($B54,AJ$16,"W"))+COUNTIFS(Database!$F:$I,CONCATENATE(AJ$16,$B54,"W"))</f>
        <v>0</v>
      </c>
      <c r="AK54" s="123">
        <f>COUNTIFS(Database!$F:$I,CONCATENATE($B54,AK$16,"L"))+COUNTIFS(Database!$F:$I,CONCATENATE(AK$16,$B54,"L"))+COUNTIFS(Database!$F:$I,CONCATENATE($B54,AK$16,"W"))+COUNTIFS(Database!$F:$I,CONCATENATE(AK$16,$B54,"W"))</f>
        <v>1</v>
      </c>
      <c r="AL54" s="123">
        <f>COUNTIFS(Database!$F:$I,CONCATENATE($B54,AL$16,"L"))+COUNTIFS(Database!$F:$I,CONCATENATE(AL$16,$B54,"L"))+COUNTIFS(Database!$F:$I,CONCATENATE($B54,AL$16,"W"))+COUNTIFS(Database!$F:$I,CONCATENATE(AL$16,$B54,"W"))</f>
        <v>0</v>
      </c>
      <c r="AM54" s="123">
        <f>COUNTIFS(Database!$F:$I,CONCATENATE($B54,AM$16,"L"))+COUNTIFS(Database!$F:$I,CONCATENATE(AM$16,$B54,"L"))+COUNTIFS(Database!$F:$I,CONCATENATE($B54,AM$16,"W"))+COUNTIFS(Database!$F:$I,CONCATENATE(AM$16,$B54,"W"))</f>
        <v>0</v>
      </c>
      <c r="AN54" s="123">
        <f>COUNTIFS(Database!$F:$I,CONCATENATE($B54,AN$16,"L"))+COUNTIFS(Database!$F:$I,CONCATENATE(AN$16,$B54,"L"))+COUNTIFS(Database!$F:$I,CONCATENATE($B54,AN$16,"W"))+COUNTIFS(Database!$F:$I,CONCATENATE(AN$16,$B54,"W"))</f>
        <v>0</v>
      </c>
      <c r="AO54" s="123">
        <f>COUNTIFS(Database!$F:$I,CONCATENATE($B54,AO$16,"L"))+COUNTIFS(Database!$F:$I,CONCATENATE(AO$16,$B54,"L"))+COUNTIFS(Database!$F:$I,CONCATENATE($B54,AO$16,"W"))+COUNTIFS(Database!$F:$I,CONCATENATE(AO$16,$B54,"W"))</f>
        <v>0</v>
      </c>
      <c r="AP54" s="123">
        <f>COUNTIFS(Database!$F:$I,CONCATENATE($B54,AP$16,"L"))+COUNTIFS(Database!$F:$I,CONCATENATE(AP$16,$B54,"L"))+COUNTIFS(Database!$F:$I,CONCATENATE($B54,AP$16,"W"))+COUNTIFS(Database!$F:$I,CONCATENATE(AP$16,$B54,"W"))</f>
        <v>0</v>
      </c>
      <c r="AQ54" s="123">
        <f>COUNTIFS(Database!$F:$I,CONCATENATE($B54,AQ$16,"L"))+COUNTIFS(Database!$F:$I,CONCATENATE(AQ$16,$B54,"L"))+COUNTIFS(Database!$F:$I,CONCATENATE($B54,AQ$16,"W"))+COUNTIFS(Database!$F:$I,CONCATENATE(AQ$16,$B54,"W"))</f>
        <v>0</v>
      </c>
      <c r="AR54" s="123">
        <f>COUNTIFS(Database!$F:$I,CONCATENATE($B54,AR$16,"L"))+COUNTIFS(Database!$F:$I,CONCATENATE(AR$16,$B54,"L"))+COUNTIFS(Database!$F:$I,CONCATENATE($B54,AR$16,"W"))+COUNTIFS(Database!$F:$I,CONCATENATE(AR$16,$B54,"W"))</f>
        <v>0</v>
      </c>
      <c r="AS54" s="123">
        <f>COUNTIFS(Database!$F:$I,CONCATENATE($B54,AS$16,"L"))+COUNTIFS(Database!$F:$I,CONCATENATE(AS$16,$B54,"L"))+COUNTIFS(Database!$F:$I,CONCATENATE($B54,AS$16,"W"))+COUNTIFS(Database!$F:$I,CONCATENATE(AS$16,$B54,"W"))</f>
        <v>0</v>
      </c>
      <c r="AT54" s="123">
        <f>COUNTIFS(Database!$F:$I,CONCATENATE($B54,AT$16,"L"))+COUNTIFS(Database!$F:$I,CONCATENATE(AT$16,$B54,"L"))+COUNTIFS(Database!$F:$I,CONCATENATE($B54,AT$16,"W"))+COUNTIFS(Database!$F:$I,CONCATENATE(AT$16,$B54,"W"))</f>
        <v>0</v>
      </c>
      <c r="AU54" s="123">
        <f>COUNTIFS(Database!$F:$I,CONCATENATE($B54,AU$16,"L"))+COUNTIFS(Database!$F:$I,CONCATENATE(AU$16,$B54,"L"))+COUNTIFS(Database!$F:$I,CONCATENATE($B54,AU$16,"W"))+COUNTIFS(Database!$F:$I,CONCATENATE(AU$16,$B54,"W"))</f>
        <v>0</v>
      </c>
      <c r="AV54" s="123">
        <f>COUNTIFS(Database!$F:$I,CONCATENATE($B54,AV$16,"L"))+COUNTIFS(Database!$F:$I,CONCATENATE(AV$16,$B54,"L"))+COUNTIFS(Database!$F:$I,CONCATENATE($B54,AV$16,"W"))+COUNTIFS(Database!$F:$I,CONCATENATE(AV$16,$B54,"W"))</f>
        <v>0</v>
      </c>
      <c r="AW54" s="123">
        <f>COUNTIFS(Database!$F:$I,CONCATENATE($B54,AW$16,"L"))+COUNTIFS(Database!$F:$I,CONCATENATE(AW$16,$B54,"L"))+COUNTIFS(Database!$F:$I,CONCATENATE($B54,AW$16,"W"))+COUNTIFS(Database!$F:$I,CONCATENATE(AW$16,$B54,"W"))</f>
        <v>0</v>
      </c>
      <c r="AX54" s="123">
        <f>COUNTIFS(Database!$F:$I,CONCATENATE($B54,AX$16,"L"))+COUNTIFS(Database!$F:$I,CONCATENATE(AX$16,$B54,"L"))+COUNTIFS(Database!$F:$I,CONCATENATE($B54,AX$16,"W"))+COUNTIFS(Database!$F:$I,CONCATENATE(AX$16,$B54,"W"))</f>
        <v>0</v>
      </c>
      <c r="AY54" s="123">
        <f>COUNTIFS(Database!$F:$I,CONCATENATE($B54,AY$16,"L"))+COUNTIFS(Database!$F:$I,CONCATENATE(AY$16,$B54,"L"))+COUNTIFS(Database!$F:$I,CONCATENATE($B54,AY$16,"W"))+COUNTIFS(Database!$F:$I,CONCATENATE(AY$16,$B54,"W"))</f>
        <v>0</v>
      </c>
    </row>
    <row r="55" spans="2:51" x14ac:dyDescent="0.25">
      <c r="B55" s="120" t="s">
        <v>32</v>
      </c>
      <c r="C55" s="123">
        <f>COUNTIFS(Database!$F:$I,CONCATENATE($B55,C$16,"L"))+COUNTIFS(Database!$F:$I,CONCATENATE(C$16,$B55,"L"))+COUNTIFS(Database!$F:$I,CONCATENATE($B55,C$16,"W"))+COUNTIFS(Database!$F:$I,CONCATENATE(C$16,$B55,"W"))</f>
        <v>9</v>
      </c>
      <c r="D55" s="123">
        <f>COUNTIFS(Database!$F:$I,CONCATENATE($B55,D$16,"L"))+COUNTIFS(Database!$F:$I,CONCATENATE(D$16,$B55,"L"))+COUNTIFS(Database!$F:$I,CONCATENATE($B55,D$16,"W"))+COUNTIFS(Database!$F:$I,CONCATENATE(D$16,$B55,"W"))</f>
        <v>2</v>
      </c>
      <c r="E55" s="123">
        <f>COUNTIFS(Database!$F:$I,CONCATENATE($B55,E$16,"L"))+COUNTIFS(Database!$F:$I,CONCATENATE(E$16,$B55,"L"))+COUNTIFS(Database!$F:$I,CONCATENATE($B55,E$16,"W"))+COUNTIFS(Database!$F:$I,CONCATENATE(E$16,$B55,"W"))</f>
        <v>3</v>
      </c>
      <c r="F55" s="123">
        <f>COUNTIFS(Database!$F:$I,CONCATENATE($B55,F$16,"L"))+COUNTIFS(Database!$F:$I,CONCATENATE(F$16,$B55,"L"))+COUNTIFS(Database!$F:$I,CONCATENATE($B55,F$16,"W"))+COUNTIFS(Database!$F:$I,CONCATENATE(F$16,$B55,"W"))</f>
        <v>1</v>
      </c>
      <c r="G55" s="123">
        <f>COUNTIFS(Database!$F:$I,CONCATENATE($B55,G$16,"L"))+COUNTIFS(Database!$F:$I,CONCATENATE(G$16,$B55,"L"))+COUNTIFS(Database!$F:$I,CONCATENATE($B55,G$16,"W"))+COUNTIFS(Database!$F:$I,CONCATENATE(G$16,$B55,"W"))</f>
        <v>0</v>
      </c>
      <c r="H55" s="123">
        <f>COUNTIFS(Database!$F:$I,CONCATENATE($B55,H$16,"L"))+COUNTIFS(Database!$F:$I,CONCATENATE(H$16,$B55,"L"))+COUNTIFS(Database!$F:$I,CONCATENATE($B55,H$16,"W"))+COUNTIFS(Database!$F:$I,CONCATENATE(H$16,$B55,"W"))</f>
        <v>0</v>
      </c>
      <c r="I55" s="123">
        <f>COUNTIFS(Database!$F:$I,CONCATENATE($B55,I$16,"L"))+COUNTIFS(Database!$F:$I,CONCATENATE(I$16,$B55,"L"))+COUNTIFS(Database!$F:$I,CONCATENATE($B55,I$16,"W"))+COUNTIFS(Database!$F:$I,CONCATENATE(I$16,$B55,"W"))</f>
        <v>3</v>
      </c>
      <c r="J55" s="123">
        <f>COUNTIFS(Database!$F:$I,CONCATENATE($B55,J$16,"L"))+COUNTIFS(Database!$F:$I,CONCATENATE(J$16,$B55,"L"))+COUNTIFS(Database!$F:$I,CONCATENATE($B55,J$16,"W"))+COUNTIFS(Database!$F:$I,CONCATENATE(J$16,$B55,"W"))</f>
        <v>6</v>
      </c>
      <c r="K55" s="123">
        <f>COUNTIFS(Database!$F:$I,CONCATENATE($B55,K$16,"L"))+COUNTIFS(Database!$F:$I,CONCATENATE(K$16,$B55,"L"))+COUNTIFS(Database!$F:$I,CONCATENATE($B55,K$16,"W"))+COUNTIFS(Database!$F:$I,CONCATENATE(K$16,$B55,"W"))</f>
        <v>5</v>
      </c>
      <c r="L55" s="123">
        <f>COUNTIFS(Database!$F:$I,CONCATENATE($B55,L$16,"L"))+COUNTIFS(Database!$F:$I,CONCATENATE(L$16,$B55,"L"))+COUNTIFS(Database!$F:$I,CONCATENATE($B55,L$16,"W"))+COUNTIFS(Database!$F:$I,CONCATENATE(L$16,$B55,"W"))</f>
        <v>0</v>
      </c>
      <c r="M55" s="123">
        <f>COUNTIFS(Database!$F:$I,CONCATENATE($B55,M$16,"L"))+COUNTIFS(Database!$F:$I,CONCATENATE(M$16,$B55,"L"))+COUNTIFS(Database!$F:$I,CONCATENATE($B55,M$16,"W"))+COUNTIFS(Database!$F:$I,CONCATENATE(M$16,$B55,"W"))</f>
        <v>0</v>
      </c>
      <c r="N55" s="123">
        <f>COUNTIFS(Database!$F:$I,CONCATENATE($B55,N$16,"L"))+COUNTIFS(Database!$F:$I,CONCATENATE(N$16,$B55,"L"))+COUNTIFS(Database!$F:$I,CONCATENATE($B55,N$16,"W"))+COUNTIFS(Database!$F:$I,CONCATENATE(N$16,$B55,"W"))</f>
        <v>1</v>
      </c>
      <c r="O55" s="123">
        <f>COUNTIFS(Database!$F:$I,CONCATENATE($B55,O$16,"L"))+COUNTIFS(Database!$F:$I,CONCATENATE(O$16,$B55,"L"))+COUNTIFS(Database!$F:$I,CONCATENATE($B55,O$16,"W"))+COUNTIFS(Database!$F:$I,CONCATENATE(O$16,$B55,"W"))</f>
        <v>3</v>
      </c>
      <c r="P55" s="123">
        <f>COUNTIFS(Database!$F:$I,CONCATENATE($B55,P$16,"L"))+COUNTIFS(Database!$F:$I,CONCATENATE(P$16,$B55,"L"))+COUNTIFS(Database!$F:$I,CONCATENATE($B55,P$16,"W"))+COUNTIFS(Database!$F:$I,CONCATENATE(P$16,$B55,"W"))</f>
        <v>0</v>
      </c>
      <c r="Q55" s="123">
        <f>COUNTIFS(Database!$F:$I,CONCATENATE($B55,Q$16,"L"))+COUNTIFS(Database!$F:$I,CONCATENATE(Q$16,$B55,"L"))+COUNTIFS(Database!$F:$I,CONCATENATE($B55,Q$16,"W"))+COUNTIFS(Database!$F:$I,CONCATENATE(Q$16,$B55,"W"))</f>
        <v>0</v>
      </c>
      <c r="R55" s="123">
        <f>COUNTIFS(Database!$F:$I,CONCATENATE($B55,R$16,"L"))+COUNTIFS(Database!$F:$I,CONCATENATE(R$16,$B55,"L"))+COUNTIFS(Database!$F:$I,CONCATENATE($B55,R$16,"W"))+COUNTIFS(Database!$F:$I,CONCATENATE(R$16,$B55,"W"))</f>
        <v>0</v>
      </c>
      <c r="S55" s="123">
        <f>COUNTIFS(Database!$F:$I,CONCATENATE($B55,S$16,"L"))+COUNTIFS(Database!$F:$I,CONCATENATE(S$16,$B55,"L"))+COUNTIFS(Database!$F:$I,CONCATENATE($B55,S$16,"W"))+COUNTIFS(Database!$F:$I,CONCATENATE(S$16,$B55,"W"))</f>
        <v>3</v>
      </c>
      <c r="T55" s="123">
        <f>COUNTIFS(Database!$F:$I,CONCATENATE($B55,T$16,"L"))+COUNTIFS(Database!$F:$I,CONCATENATE(T$16,$B55,"L"))+COUNTIFS(Database!$F:$I,CONCATENATE($B55,T$16,"W"))+COUNTIFS(Database!$F:$I,CONCATENATE(T$16,$B55,"W"))</f>
        <v>3</v>
      </c>
      <c r="U55" s="123">
        <f>COUNTIFS(Database!$F:$I,CONCATENATE($B55,U$16,"L"))+COUNTIFS(Database!$F:$I,CONCATENATE(U$16,$B55,"L"))+COUNTIFS(Database!$F:$I,CONCATENATE($B55,U$16,"W"))+COUNTIFS(Database!$F:$I,CONCATENATE(U$16,$B55,"W"))</f>
        <v>0</v>
      </c>
      <c r="V55" s="123">
        <f>COUNTIFS(Database!$F:$I,CONCATENATE($B55,V$16,"L"))+COUNTIFS(Database!$F:$I,CONCATENATE(V$16,$B55,"L"))+COUNTIFS(Database!$F:$I,CONCATENATE($B55,V$16,"W"))+COUNTIFS(Database!$F:$I,CONCATENATE(V$16,$B55,"W"))</f>
        <v>0</v>
      </c>
      <c r="W55" s="123">
        <f>COUNTIFS(Database!$F:$I,CONCATENATE($B55,W$16,"L"))+COUNTIFS(Database!$F:$I,CONCATENATE(W$16,$B55,"L"))+COUNTIFS(Database!$F:$I,CONCATENATE($B55,W$16,"W"))+COUNTIFS(Database!$F:$I,CONCATENATE(W$16,$B55,"W"))</f>
        <v>6</v>
      </c>
      <c r="X55" s="123">
        <f>COUNTIFS(Database!$F:$I,CONCATENATE($B55,X$16,"L"))+COUNTIFS(Database!$F:$I,CONCATENATE(X$16,$B55,"L"))+COUNTIFS(Database!$F:$I,CONCATENATE($B55,X$16,"W"))+COUNTIFS(Database!$F:$I,CONCATENATE(X$16,$B55,"W"))</f>
        <v>1</v>
      </c>
      <c r="Y55" s="123">
        <f>COUNTIFS(Database!$F:$I,CONCATENATE($B55,Y$16,"L"))+COUNTIFS(Database!$F:$I,CONCATENATE(Y$16,$B55,"L"))+COUNTIFS(Database!$F:$I,CONCATENATE($B55,Y$16,"W"))+COUNTIFS(Database!$F:$I,CONCATENATE(Y$16,$B55,"W"))</f>
        <v>0</v>
      </c>
      <c r="Z55" s="123">
        <f>COUNTIFS(Database!$F:$I,CONCATENATE($B55,Z$16,"L"))+COUNTIFS(Database!$F:$I,CONCATENATE(Z$16,$B55,"L"))+COUNTIFS(Database!$F:$I,CONCATENATE($B55,Z$16,"W"))+COUNTIFS(Database!$F:$I,CONCATENATE(Z$16,$B55,"W"))</f>
        <v>0</v>
      </c>
      <c r="AA55" s="123">
        <f>COUNTIFS(Database!$F:$I,CONCATENATE($B55,AA$16,"L"))+COUNTIFS(Database!$F:$I,CONCATENATE(AA$16,$B55,"L"))+COUNTIFS(Database!$F:$I,CONCATENATE($B55,AA$16,"W"))+COUNTIFS(Database!$F:$I,CONCATENATE(AA$16,$B55,"W"))</f>
        <v>1</v>
      </c>
      <c r="AB55" s="123">
        <f>COUNTIFS(Database!$F:$I,CONCATENATE($B55,AB$16,"L"))+COUNTIFS(Database!$F:$I,CONCATENATE(AB$16,$B55,"L"))+COUNTIFS(Database!$F:$I,CONCATENATE($B55,AB$16,"W"))+COUNTIFS(Database!$F:$I,CONCATENATE(AB$16,$B55,"W"))</f>
        <v>5</v>
      </c>
      <c r="AC55" s="123">
        <f>COUNTIFS(Database!$F:$I,CONCATENATE($B55,AC$16,"L"))+COUNTIFS(Database!$F:$I,CONCATENATE(AC$16,$B55,"L"))+COUNTIFS(Database!$F:$I,CONCATENATE($B55,AC$16,"W"))+COUNTIFS(Database!$F:$I,CONCATENATE(AC$16,$B55,"W"))</f>
        <v>5</v>
      </c>
      <c r="AD55" s="123">
        <f>COUNTIFS(Database!$F:$I,CONCATENATE($B55,AD$16,"L"))+COUNTIFS(Database!$F:$I,CONCATENATE(AD$16,$B55,"L"))+COUNTIFS(Database!$F:$I,CONCATENATE($B55,AD$16,"W"))+COUNTIFS(Database!$F:$I,CONCATENATE(AD$16,$B55,"W"))</f>
        <v>2</v>
      </c>
      <c r="AE55" s="123">
        <f>COUNTIFS(Database!$F:$I,CONCATENATE($B55,AE$16,"L"))+COUNTIFS(Database!$F:$I,CONCATENATE(AE$16,$B55,"L"))+COUNTIFS(Database!$F:$I,CONCATENATE($B55,AE$16,"W"))+COUNTIFS(Database!$F:$I,CONCATENATE(AE$16,$B55,"W"))</f>
        <v>0</v>
      </c>
      <c r="AF55" s="123">
        <f>COUNTIFS(Database!$F:$I,CONCATENATE($B55,AF$16,"L"))+COUNTIFS(Database!$F:$I,CONCATENATE(AF$16,$B55,"L"))+COUNTIFS(Database!$F:$I,CONCATENATE($B55,AF$16,"W"))+COUNTIFS(Database!$F:$I,CONCATENATE(AF$16,$B55,"W"))</f>
        <v>0</v>
      </c>
      <c r="AG55" s="123">
        <f>COUNTIFS(Database!$F:$I,CONCATENATE($B55,AG$16,"L"))+COUNTIFS(Database!$F:$I,CONCATENATE(AG$16,$B55,"L"))+COUNTIFS(Database!$F:$I,CONCATENATE($B55,AG$16,"W"))+COUNTIFS(Database!$F:$I,CONCATENATE(AG$16,$B55,"W"))</f>
        <v>2</v>
      </c>
      <c r="AH55" s="123">
        <f>COUNTIFS(Database!$F:$I,CONCATENATE($B55,AH$16,"L"))+COUNTIFS(Database!$F:$I,CONCATENATE(AH$16,$B55,"L"))+COUNTIFS(Database!$F:$I,CONCATENATE($B55,AH$16,"W"))+COUNTIFS(Database!$F:$I,CONCATENATE(AH$16,$B55,"W"))</f>
        <v>0</v>
      </c>
      <c r="AI55" s="123">
        <f>COUNTIFS(Database!$F:$I,CONCATENATE($B55,AI$16,"L"))+COUNTIFS(Database!$F:$I,CONCATENATE(AI$16,$B55,"L"))+COUNTIFS(Database!$F:$I,CONCATENATE($B55,AI$16,"W"))+COUNTIFS(Database!$F:$I,CONCATENATE(AI$16,$B55,"W"))</f>
        <v>4</v>
      </c>
      <c r="AJ55" s="123">
        <f>COUNTIFS(Database!$F:$I,CONCATENATE($B55,AJ$16,"L"))+COUNTIFS(Database!$F:$I,CONCATENATE(AJ$16,$B55,"L"))+COUNTIFS(Database!$F:$I,CONCATENATE($B55,AJ$16,"W"))+COUNTIFS(Database!$F:$I,CONCATENATE(AJ$16,$B55,"W"))</f>
        <v>1</v>
      </c>
      <c r="AK55" s="123">
        <f>COUNTIFS(Database!$F:$I,CONCATENATE($B55,AK$16,"L"))+COUNTIFS(Database!$F:$I,CONCATENATE(AK$16,$B55,"L"))+COUNTIFS(Database!$F:$I,CONCATENATE($B55,AK$16,"W"))+COUNTIFS(Database!$F:$I,CONCATENATE(AK$16,$B55,"W"))</f>
        <v>3</v>
      </c>
      <c r="AL55" s="123">
        <f>COUNTIFS(Database!$F:$I,CONCATENATE($B55,AL$16,"L"))+COUNTIFS(Database!$F:$I,CONCATENATE(AL$16,$B55,"L"))+COUNTIFS(Database!$F:$I,CONCATENATE($B55,AL$16,"W"))+COUNTIFS(Database!$F:$I,CONCATENATE(AL$16,$B55,"W"))</f>
        <v>1</v>
      </c>
      <c r="AM55" s="123">
        <f>COUNTIFS(Database!$F:$I,CONCATENATE($B55,AM$16,"L"))+COUNTIFS(Database!$F:$I,CONCATENATE(AM$16,$B55,"L"))+COUNTIFS(Database!$F:$I,CONCATENATE($B55,AM$16,"W"))+COUNTIFS(Database!$F:$I,CONCATENATE(AM$16,$B55,"W"))</f>
        <v>0</v>
      </c>
      <c r="AN55" s="123">
        <f>COUNTIFS(Database!$F:$I,CONCATENATE($B55,AN$16,"L"))+COUNTIFS(Database!$F:$I,CONCATENATE(AN$16,$B55,"L"))+COUNTIFS(Database!$F:$I,CONCATENATE($B55,AN$16,"W"))+COUNTIFS(Database!$F:$I,CONCATENATE(AN$16,$B55,"W"))</f>
        <v>0</v>
      </c>
      <c r="AO55" s="123">
        <f>COUNTIFS(Database!$F:$I,CONCATENATE($B55,AO$16,"L"))+COUNTIFS(Database!$F:$I,CONCATENATE(AO$16,$B55,"L"))+COUNTIFS(Database!$F:$I,CONCATENATE($B55,AO$16,"W"))+COUNTIFS(Database!$F:$I,CONCATENATE(AO$16,$B55,"W"))</f>
        <v>0</v>
      </c>
      <c r="AP55" s="123">
        <f>COUNTIFS(Database!$F:$I,CONCATENATE($B55,AP$16,"L"))+COUNTIFS(Database!$F:$I,CONCATENATE(AP$16,$B55,"L"))+COUNTIFS(Database!$F:$I,CONCATENATE($B55,AP$16,"W"))+COUNTIFS(Database!$F:$I,CONCATENATE(AP$16,$B55,"W"))</f>
        <v>0</v>
      </c>
      <c r="AQ55" s="123">
        <f>COUNTIFS(Database!$F:$I,CONCATENATE($B55,AQ$16,"L"))+COUNTIFS(Database!$F:$I,CONCATENATE(AQ$16,$B55,"L"))+COUNTIFS(Database!$F:$I,CONCATENATE($B55,AQ$16,"W"))+COUNTIFS(Database!$F:$I,CONCATENATE(AQ$16,$B55,"W"))</f>
        <v>2</v>
      </c>
      <c r="AR55" s="123">
        <f>COUNTIFS(Database!$F:$I,CONCATENATE($B55,AR$16,"L"))+COUNTIFS(Database!$F:$I,CONCATENATE(AR$16,$B55,"L"))+COUNTIFS(Database!$F:$I,CONCATENATE($B55,AR$16,"W"))+COUNTIFS(Database!$F:$I,CONCATENATE(AR$16,$B55,"W"))</f>
        <v>3</v>
      </c>
      <c r="AS55" s="123">
        <f>COUNTIFS(Database!$F:$I,CONCATENATE($B55,AS$16,"L"))+COUNTIFS(Database!$F:$I,CONCATENATE(AS$16,$B55,"L"))+COUNTIFS(Database!$F:$I,CONCATENATE($B55,AS$16,"W"))+COUNTIFS(Database!$F:$I,CONCATENATE(AS$16,$B55,"W"))</f>
        <v>0</v>
      </c>
      <c r="AT55" s="123">
        <f>COUNTIFS(Database!$F:$I,CONCATENATE($B55,AT$16,"L"))+COUNTIFS(Database!$F:$I,CONCATENATE(AT$16,$B55,"L"))+COUNTIFS(Database!$F:$I,CONCATENATE($B55,AT$16,"W"))+COUNTIFS(Database!$F:$I,CONCATENATE(AT$16,$B55,"W"))</f>
        <v>0</v>
      </c>
      <c r="AU55" s="123">
        <f>COUNTIFS(Database!$F:$I,CONCATENATE($B55,AU$16,"L"))+COUNTIFS(Database!$F:$I,CONCATENATE(AU$16,$B55,"L"))+COUNTIFS(Database!$F:$I,CONCATENATE($B55,AU$16,"W"))+COUNTIFS(Database!$F:$I,CONCATENATE(AU$16,$B55,"W"))</f>
        <v>1</v>
      </c>
      <c r="AV55" s="123">
        <f>COUNTIFS(Database!$F:$I,CONCATENATE($B55,AV$16,"L"))+COUNTIFS(Database!$F:$I,CONCATENATE(AV$16,$B55,"L"))+COUNTIFS(Database!$F:$I,CONCATENATE($B55,AV$16,"W"))+COUNTIFS(Database!$F:$I,CONCATENATE(AV$16,$B55,"W"))</f>
        <v>1</v>
      </c>
      <c r="AW55" s="123">
        <f>COUNTIFS(Database!$F:$I,CONCATENATE($B55,AW$16,"L"))+COUNTIFS(Database!$F:$I,CONCATENATE(AW$16,$B55,"L"))+COUNTIFS(Database!$F:$I,CONCATENATE($B55,AW$16,"W"))+COUNTIFS(Database!$F:$I,CONCATENATE(AW$16,$B55,"W"))</f>
        <v>2</v>
      </c>
      <c r="AX55" s="123">
        <f>COUNTIFS(Database!$F:$I,CONCATENATE($B55,AX$16,"L"))+COUNTIFS(Database!$F:$I,CONCATENATE(AX$16,$B55,"L"))+COUNTIFS(Database!$F:$I,CONCATENATE($B55,AX$16,"W"))+COUNTIFS(Database!$F:$I,CONCATENATE(AX$16,$B55,"W"))</f>
        <v>1</v>
      </c>
      <c r="AY55" s="123">
        <f>COUNTIFS(Database!$F:$I,CONCATENATE($B55,AY$16,"L"))+COUNTIFS(Database!$F:$I,CONCATENATE(AY$16,$B55,"L"))+COUNTIFS(Database!$F:$I,CONCATENATE($B55,AY$16,"W"))+COUNTIFS(Database!$F:$I,CONCATENATE(AY$16,$B55,"W"))</f>
        <v>5</v>
      </c>
    </row>
    <row r="56" spans="2:51" x14ac:dyDescent="0.25">
      <c r="B56" s="120" t="s">
        <v>40</v>
      </c>
      <c r="C56" s="123">
        <f>COUNTIFS(Database!$F:$I,CONCATENATE($B56,C$16,"L"))+COUNTIFS(Database!$F:$I,CONCATENATE(C$16,$B56,"L"))+COUNTIFS(Database!$F:$I,CONCATENATE($B56,C$16,"W"))+COUNTIFS(Database!$F:$I,CONCATENATE(C$16,$B56,"W"))</f>
        <v>1</v>
      </c>
      <c r="D56" s="123">
        <f>COUNTIFS(Database!$F:$I,CONCATENATE($B56,D$16,"L"))+COUNTIFS(Database!$F:$I,CONCATENATE(D$16,$B56,"L"))+COUNTIFS(Database!$F:$I,CONCATENATE($B56,D$16,"W"))+COUNTIFS(Database!$F:$I,CONCATENATE(D$16,$B56,"W"))</f>
        <v>0</v>
      </c>
      <c r="E56" s="123">
        <f>COUNTIFS(Database!$F:$I,CONCATENATE($B56,E$16,"L"))+COUNTIFS(Database!$F:$I,CONCATENATE(E$16,$B56,"L"))+COUNTIFS(Database!$F:$I,CONCATENATE($B56,E$16,"W"))+COUNTIFS(Database!$F:$I,CONCATENATE(E$16,$B56,"W"))</f>
        <v>0</v>
      </c>
      <c r="F56" s="123">
        <f>COUNTIFS(Database!$F:$I,CONCATENATE($B56,F$16,"L"))+COUNTIFS(Database!$F:$I,CONCATENATE(F$16,$B56,"L"))+COUNTIFS(Database!$F:$I,CONCATENATE($B56,F$16,"W"))+COUNTIFS(Database!$F:$I,CONCATENATE(F$16,$B56,"W"))</f>
        <v>0</v>
      </c>
      <c r="G56" s="123">
        <f>COUNTIFS(Database!$F:$I,CONCATENATE($B56,G$16,"L"))+COUNTIFS(Database!$F:$I,CONCATENATE(G$16,$B56,"L"))+COUNTIFS(Database!$F:$I,CONCATENATE($B56,G$16,"W"))+COUNTIFS(Database!$F:$I,CONCATENATE(G$16,$B56,"W"))</f>
        <v>0</v>
      </c>
      <c r="H56" s="123">
        <f>COUNTIFS(Database!$F:$I,CONCATENATE($B56,H$16,"L"))+COUNTIFS(Database!$F:$I,CONCATENATE(H$16,$B56,"L"))+COUNTIFS(Database!$F:$I,CONCATENATE($B56,H$16,"W"))+COUNTIFS(Database!$F:$I,CONCATENATE(H$16,$B56,"W"))</f>
        <v>0</v>
      </c>
      <c r="I56" s="123">
        <f>COUNTIFS(Database!$F:$I,CONCATENATE($B56,I$16,"L"))+COUNTIFS(Database!$F:$I,CONCATENATE(I$16,$B56,"L"))+COUNTIFS(Database!$F:$I,CONCATENATE($B56,I$16,"W"))+COUNTIFS(Database!$F:$I,CONCATENATE(I$16,$B56,"W"))</f>
        <v>0</v>
      </c>
      <c r="J56" s="123">
        <f>COUNTIFS(Database!$F:$I,CONCATENATE($B56,J$16,"L"))+COUNTIFS(Database!$F:$I,CONCATENATE(J$16,$B56,"L"))+COUNTIFS(Database!$F:$I,CONCATENATE($B56,J$16,"W"))+COUNTIFS(Database!$F:$I,CONCATENATE(J$16,$B56,"W"))</f>
        <v>0</v>
      </c>
      <c r="K56" s="123">
        <f>COUNTIFS(Database!$F:$I,CONCATENATE($B56,K$16,"L"))+COUNTIFS(Database!$F:$I,CONCATENATE(K$16,$B56,"L"))+COUNTIFS(Database!$F:$I,CONCATENATE($B56,K$16,"W"))+COUNTIFS(Database!$F:$I,CONCATENATE(K$16,$B56,"W"))</f>
        <v>0</v>
      </c>
      <c r="L56" s="123">
        <f>COUNTIFS(Database!$F:$I,CONCATENATE($B56,L$16,"L"))+COUNTIFS(Database!$F:$I,CONCATENATE(L$16,$B56,"L"))+COUNTIFS(Database!$F:$I,CONCATENATE($B56,L$16,"W"))+COUNTIFS(Database!$F:$I,CONCATENATE(L$16,$B56,"W"))</f>
        <v>0</v>
      </c>
      <c r="M56" s="123">
        <f>COUNTIFS(Database!$F:$I,CONCATENATE($B56,M$16,"L"))+COUNTIFS(Database!$F:$I,CONCATENATE(M$16,$B56,"L"))+COUNTIFS(Database!$F:$I,CONCATENATE($B56,M$16,"W"))+COUNTIFS(Database!$F:$I,CONCATENATE(M$16,$B56,"W"))</f>
        <v>0</v>
      </c>
      <c r="N56" s="123">
        <f>COUNTIFS(Database!$F:$I,CONCATENATE($B56,N$16,"L"))+COUNTIFS(Database!$F:$I,CONCATENATE(N$16,$B56,"L"))+COUNTIFS(Database!$F:$I,CONCATENATE($B56,N$16,"W"))+COUNTIFS(Database!$F:$I,CONCATENATE(N$16,$B56,"W"))</f>
        <v>0</v>
      </c>
      <c r="O56" s="123">
        <f>COUNTIFS(Database!$F:$I,CONCATENATE($B56,O$16,"L"))+COUNTIFS(Database!$F:$I,CONCATENATE(O$16,$B56,"L"))+COUNTIFS(Database!$F:$I,CONCATENATE($B56,O$16,"W"))+COUNTIFS(Database!$F:$I,CONCATENATE(O$16,$B56,"W"))</f>
        <v>1</v>
      </c>
      <c r="P56" s="123">
        <f>COUNTIFS(Database!$F:$I,CONCATENATE($B56,P$16,"L"))+COUNTIFS(Database!$F:$I,CONCATENATE(P$16,$B56,"L"))+COUNTIFS(Database!$F:$I,CONCATENATE($B56,P$16,"W"))+COUNTIFS(Database!$F:$I,CONCATENATE(P$16,$B56,"W"))</f>
        <v>0</v>
      </c>
      <c r="Q56" s="123">
        <f>COUNTIFS(Database!$F:$I,CONCATENATE($B56,Q$16,"L"))+COUNTIFS(Database!$F:$I,CONCATENATE(Q$16,$B56,"L"))+COUNTIFS(Database!$F:$I,CONCATENATE($B56,Q$16,"W"))+COUNTIFS(Database!$F:$I,CONCATENATE(Q$16,$B56,"W"))</f>
        <v>0</v>
      </c>
      <c r="R56" s="123">
        <f>COUNTIFS(Database!$F:$I,CONCATENATE($B56,R$16,"L"))+COUNTIFS(Database!$F:$I,CONCATENATE(R$16,$B56,"L"))+COUNTIFS(Database!$F:$I,CONCATENATE($B56,R$16,"W"))+COUNTIFS(Database!$F:$I,CONCATENATE(R$16,$B56,"W"))</f>
        <v>0</v>
      </c>
      <c r="S56" s="123">
        <f>COUNTIFS(Database!$F:$I,CONCATENATE($B56,S$16,"L"))+COUNTIFS(Database!$F:$I,CONCATENATE(S$16,$B56,"L"))+COUNTIFS(Database!$F:$I,CONCATENATE($B56,S$16,"W"))+COUNTIFS(Database!$F:$I,CONCATENATE(S$16,$B56,"W"))</f>
        <v>0</v>
      </c>
      <c r="T56" s="123">
        <f>COUNTIFS(Database!$F:$I,CONCATENATE($B56,T$16,"L"))+COUNTIFS(Database!$F:$I,CONCATENATE(T$16,$B56,"L"))+COUNTIFS(Database!$F:$I,CONCATENATE($B56,T$16,"W"))+COUNTIFS(Database!$F:$I,CONCATENATE(T$16,$B56,"W"))</f>
        <v>0</v>
      </c>
      <c r="U56" s="123">
        <f>COUNTIFS(Database!$F:$I,CONCATENATE($B56,U$16,"L"))+COUNTIFS(Database!$F:$I,CONCATENATE(U$16,$B56,"L"))+COUNTIFS(Database!$F:$I,CONCATENATE($B56,U$16,"W"))+COUNTIFS(Database!$F:$I,CONCATENATE(U$16,$B56,"W"))</f>
        <v>0</v>
      </c>
      <c r="V56" s="123">
        <f>COUNTIFS(Database!$F:$I,CONCATENATE($B56,V$16,"L"))+COUNTIFS(Database!$F:$I,CONCATENATE(V$16,$B56,"L"))+COUNTIFS(Database!$F:$I,CONCATENATE($B56,V$16,"W"))+COUNTIFS(Database!$F:$I,CONCATENATE(V$16,$B56,"W"))</f>
        <v>0</v>
      </c>
      <c r="W56" s="123">
        <f>COUNTIFS(Database!$F:$I,CONCATENATE($B56,W$16,"L"))+COUNTIFS(Database!$F:$I,CONCATENATE(W$16,$B56,"L"))+COUNTIFS(Database!$F:$I,CONCATENATE($B56,W$16,"W"))+COUNTIFS(Database!$F:$I,CONCATENATE(W$16,$B56,"W"))</f>
        <v>2</v>
      </c>
      <c r="X56" s="123">
        <f>COUNTIFS(Database!$F:$I,CONCATENATE($B56,X$16,"L"))+COUNTIFS(Database!$F:$I,CONCATENATE(X$16,$B56,"L"))+COUNTIFS(Database!$F:$I,CONCATENATE($B56,X$16,"W"))+COUNTIFS(Database!$F:$I,CONCATENATE(X$16,$B56,"W"))</f>
        <v>0</v>
      </c>
      <c r="Y56" s="123">
        <f>COUNTIFS(Database!$F:$I,CONCATENATE($B56,Y$16,"L"))+COUNTIFS(Database!$F:$I,CONCATENATE(Y$16,$B56,"L"))+COUNTIFS(Database!$F:$I,CONCATENATE($B56,Y$16,"W"))+COUNTIFS(Database!$F:$I,CONCATENATE(Y$16,$B56,"W"))</f>
        <v>0</v>
      </c>
      <c r="Z56" s="123">
        <f>COUNTIFS(Database!$F:$I,CONCATENATE($B56,Z$16,"L"))+COUNTIFS(Database!$F:$I,CONCATENATE(Z$16,$B56,"L"))+COUNTIFS(Database!$F:$I,CONCATENATE($B56,Z$16,"W"))+COUNTIFS(Database!$F:$I,CONCATENATE(Z$16,$B56,"W"))</f>
        <v>0</v>
      </c>
      <c r="AA56" s="123">
        <f>COUNTIFS(Database!$F:$I,CONCATENATE($B56,AA$16,"L"))+COUNTIFS(Database!$F:$I,CONCATENATE(AA$16,$B56,"L"))+COUNTIFS(Database!$F:$I,CONCATENATE($B56,AA$16,"W"))+COUNTIFS(Database!$F:$I,CONCATENATE(AA$16,$B56,"W"))</f>
        <v>0</v>
      </c>
      <c r="AB56" s="123">
        <f>COUNTIFS(Database!$F:$I,CONCATENATE($B56,AB$16,"L"))+COUNTIFS(Database!$F:$I,CONCATENATE(AB$16,$B56,"L"))+COUNTIFS(Database!$F:$I,CONCATENATE($B56,AB$16,"W"))+COUNTIFS(Database!$F:$I,CONCATENATE(AB$16,$B56,"W"))</f>
        <v>1</v>
      </c>
      <c r="AC56" s="123">
        <f>COUNTIFS(Database!$F:$I,CONCATENATE($B56,AC$16,"L"))+COUNTIFS(Database!$F:$I,CONCATENATE(AC$16,$B56,"L"))+COUNTIFS(Database!$F:$I,CONCATENATE($B56,AC$16,"W"))+COUNTIFS(Database!$F:$I,CONCATENATE(AC$16,$B56,"W"))</f>
        <v>0</v>
      </c>
      <c r="AD56" s="123">
        <f>COUNTIFS(Database!$F:$I,CONCATENATE($B56,AD$16,"L"))+COUNTIFS(Database!$F:$I,CONCATENATE(AD$16,$B56,"L"))+COUNTIFS(Database!$F:$I,CONCATENATE($B56,AD$16,"W"))+COUNTIFS(Database!$F:$I,CONCATENATE(AD$16,$B56,"W"))</f>
        <v>0</v>
      </c>
      <c r="AE56" s="123">
        <f>COUNTIFS(Database!$F:$I,CONCATENATE($B56,AE$16,"L"))+COUNTIFS(Database!$F:$I,CONCATENATE(AE$16,$B56,"L"))+COUNTIFS(Database!$F:$I,CONCATENATE($B56,AE$16,"W"))+COUNTIFS(Database!$F:$I,CONCATENATE(AE$16,$B56,"W"))</f>
        <v>0</v>
      </c>
      <c r="AF56" s="123">
        <f>COUNTIFS(Database!$F:$I,CONCATENATE($B56,AF$16,"L"))+COUNTIFS(Database!$F:$I,CONCATENATE(AF$16,$B56,"L"))+COUNTIFS(Database!$F:$I,CONCATENATE($B56,AF$16,"W"))+COUNTIFS(Database!$F:$I,CONCATENATE(AF$16,$B56,"W"))</f>
        <v>2</v>
      </c>
      <c r="AG56" s="123">
        <f>COUNTIFS(Database!$F:$I,CONCATENATE($B56,AG$16,"L"))+COUNTIFS(Database!$F:$I,CONCATENATE(AG$16,$B56,"L"))+COUNTIFS(Database!$F:$I,CONCATENATE($B56,AG$16,"W"))+COUNTIFS(Database!$F:$I,CONCATENATE(AG$16,$B56,"W"))</f>
        <v>0</v>
      </c>
      <c r="AH56" s="123">
        <f>COUNTIFS(Database!$F:$I,CONCATENATE($B56,AH$16,"L"))+COUNTIFS(Database!$F:$I,CONCATENATE(AH$16,$B56,"L"))+COUNTIFS(Database!$F:$I,CONCATENATE($B56,AH$16,"W"))+COUNTIFS(Database!$F:$I,CONCATENATE(AH$16,$B56,"W"))</f>
        <v>0</v>
      </c>
      <c r="AI56" s="123">
        <f>COUNTIFS(Database!$F:$I,CONCATENATE($B56,AI$16,"L"))+COUNTIFS(Database!$F:$I,CONCATENATE(AI$16,$B56,"L"))+COUNTIFS(Database!$F:$I,CONCATENATE($B56,AI$16,"W"))+COUNTIFS(Database!$F:$I,CONCATENATE(AI$16,$B56,"W"))</f>
        <v>2</v>
      </c>
      <c r="AJ56" s="123">
        <f>COUNTIFS(Database!$F:$I,CONCATENATE($B56,AJ$16,"L"))+COUNTIFS(Database!$F:$I,CONCATENATE(AJ$16,$B56,"L"))+COUNTIFS(Database!$F:$I,CONCATENATE($B56,AJ$16,"W"))+COUNTIFS(Database!$F:$I,CONCATENATE(AJ$16,$B56,"W"))</f>
        <v>0</v>
      </c>
      <c r="AK56" s="123">
        <f>COUNTIFS(Database!$F:$I,CONCATENATE($B56,AK$16,"L"))+COUNTIFS(Database!$F:$I,CONCATENATE(AK$16,$B56,"L"))+COUNTIFS(Database!$F:$I,CONCATENATE($B56,AK$16,"W"))+COUNTIFS(Database!$F:$I,CONCATENATE(AK$16,$B56,"W"))</f>
        <v>0</v>
      </c>
      <c r="AL56" s="123">
        <f>COUNTIFS(Database!$F:$I,CONCATENATE($B56,AL$16,"L"))+COUNTIFS(Database!$F:$I,CONCATENATE(AL$16,$B56,"L"))+COUNTIFS(Database!$F:$I,CONCATENATE($B56,AL$16,"W"))+COUNTIFS(Database!$F:$I,CONCATENATE(AL$16,$B56,"W"))</f>
        <v>0</v>
      </c>
      <c r="AM56" s="123">
        <f>COUNTIFS(Database!$F:$I,CONCATENATE($B56,AM$16,"L"))+COUNTIFS(Database!$F:$I,CONCATENATE(AM$16,$B56,"L"))+COUNTIFS(Database!$F:$I,CONCATENATE($B56,AM$16,"W"))+COUNTIFS(Database!$F:$I,CONCATENATE(AM$16,$B56,"W"))</f>
        <v>0</v>
      </c>
      <c r="AN56" s="123">
        <f>COUNTIFS(Database!$F:$I,CONCATENATE($B56,AN$16,"L"))+COUNTIFS(Database!$F:$I,CONCATENATE(AN$16,$B56,"L"))+COUNTIFS(Database!$F:$I,CONCATENATE($B56,AN$16,"W"))+COUNTIFS(Database!$F:$I,CONCATENATE(AN$16,$B56,"W"))</f>
        <v>0</v>
      </c>
      <c r="AO56" s="123">
        <f>COUNTIFS(Database!$F:$I,CONCATENATE($B56,AO$16,"L"))+COUNTIFS(Database!$F:$I,CONCATENATE(AO$16,$B56,"L"))+COUNTIFS(Database!$F:$I,CONCATENATE($B56,AO$16,"W"))+COUNTIFS(Database!$F:$I,CONCATENATE(AO$16,$B56,"W"))</f>
        <v>0</v>
      </c>
      <c r="AP56" s="123">
        <f>COUNTIFS(Database!$F:$I,CONCATENATE($B56,AP$16,"L"))+COUNTIFS(Database!$F:$I,CONCATENATE(AP$16,$B56,"L"))+COUNTIFS(Database!$F:$I,CONCATENATE($B56,AP$16,"W"))+COUNTIFS(Database!$F:$I,CONCATENATE(AP$16,$B56,"W"))</f>
        <v>0</v>
      </c>
      <c r="AQ56" s="123">
        <f>COUNTIFS(Database!$F:$I,CONCATENATE($B56,AQ$16,"L"))+COUNTIFS(Database!$F:$I,CONCATENATE(AQ$16,$B56,"L"))+COUNTIFS(Database!$F:$I,CONCATENATE($B56,AQ$16,"W"))+COUNTIFS(Database!$F:$I,CONCATENATE(AQ$16,$B56,"W"))</f>
        <v>0</v>
      </c>
      <c r="AR56" s="123">
        <f>COUNTIFS(Database!$F:$I,CONCATENATE($B56,AR$16,"L"))+COUNTIFS(Database!$F:$I,CONCATENATE(AR$16,$B56,"L"))+COUNTIFS(Database!$F:$I,CONCATENATE($B56,AR$16,"W"))+COUNTIFS(Database!$F:$I,CONCATENATE(AR$16,$B56,"W"))</f>
        <v>0</v>
      </c>
      <c r="AS56" s="123">
        <f>COUNTIFS(Database!$F:$I,CONCATENATE($B56,AS$16,"L"))+COUNTIFS(Database!$F:$I,CONCATENATE(AS$16,$B56,"L"))+COUNTIFS(Database!$F:$I,CONCATENATE($B56,AS$16,"W"))+COUNTIFS(Database!$F:$I,CONCATENATE(AS$16,$B56,"W"))</f>
        <v>0</v>
      </c>
      <c r="AT56" s="123">
        <f>COUNTIFS(Database!$F:$I,CONCATENATE($B56,AT$16,"L"))+COUNTIFS(Database!$F:$I,CONCATENATE(AT$16,$B56,"L"))+COUNTIFS(Database!$F:$I,CONCATENATE($B56,AT$16,"W"))+COUNTIFS(Database!$F:$I,CONCATENATE(AT$16,$B56,"W"))</f>
        <v>0</v>
      </c>
      <c r="AU56" s="123">
        <f>COUNTIFS(Database!$F:$I,CONCATENATE($B56,AU$16,"L"))+COUNTIFS(Database!$F:$I,CONCATENATE(AU$16,$B56,"L"))+COUNTIFS(Database!$F:$I,CONCATENATE($B56,AU$16,"W"))+COUNTIFS(Database!$F:$I,CONCATENATE(AU$16,$B56,"W"))</f>
        <v>2</v>
      </c>
      <c r="AV56" s="123">
        <f>COUNTIFS(Database!$F:$I,CONCATENATE($B56,AV$16,"L"))+COUNTIFS(Database!$F:$I,CONCATENATE(AV$16,$B56,"L"))+COUNTIFS(Database!$F:$I,CONCATENATE($B56,AV$16,"W"))+COUNTIFS(Database!$F:$I,CONCATENATE(AV$16,$B56,"W"))</f>
        <v>0</v>
      </c>
      <c r="AW56" s="123">
        <f>COUNTIFS(Database!$F:$I,CONCATENATE($B56,AW$16,"L"))+COUNTIFS(Database!$F:$I,CONCATENATE(AW$16,$B56,"L"))+COUNTIFS(Database!$F:$I,CONCATENATE($B56,AW$16,"W"))+COUNTIFS(Database!$F:$I,CONCATENATE(AW$16,$B56,"W"))</f>
        <v>1</v>
      </c>
      <c r="AX56" s="123">
        <f>COUNTIFS(Database!$F:$I,CONCATENATE($B56,AX$16,"L"))+COUNTIFS(Database!$F:$I,CONCATENATE(AX$16,$B56,"L"))+COUNTIFS(Database!$F:$I,CONCATENATE($B56,AX$16,"W"))+COUNTIFS(Database!$F:$I,CONCATENATE(AX$16,$B56,"W"))</f>
        <v>0</v>
      </c>
      <c r="AY56" s="123">
        <f>COUNTIFS(Database!$F:$I,CONCATENATE($B56,AY$16,"L"))+COUNTIFS(Database!$F:$I,CONCATENATE(AY$16,$B56,"L"))+COUNTIFS(Database!$F:$I,CONCATENATE($B56,AY$16,"W"))+COUNTIFS(Database!$F:$I,CONCATENATE(AY$16,$B56,"W"))</f>
        <v>0</v>
      </c>
    </row>
    <row r="57" spans="2:51" x14ac:dyDescent="0.25">
      <c r="B57" s="120" t="s">
        <v>57</v>
      </c>
      <c r="C57" s="123">
        <f>COUNTIFS(Database!$F:$I,CONCATENATE($B57,C$16,"L"))+COUNTIFS(Database!$F:$I,CONCATENATE(C$16,$B57,"L"))+COUNTIFS(Database!$F:$I,CONCATENATE($B57,C$16,"W"))+COUNTIFS(Database!$F:$I,CONCATENATE(C$16,$B57,"W"))</f>
        <v>4</v>
      </c>
      <c r="D57" s="123">
        <f>COUNTIFS(Database!$F:$I,CONCATENATE($B57,D$16,"L"))+COUNTIFS(Database!$F:$I,CONCATENATE(D$16,$B57,"L"))+COUNTIFS(Database!$F:$I,CONCATENATE($B57,D$16,"W"))+COUNTIFS(Database!$F:$I,CONCATENATE(D$16,$B57,"W"))</f>
        <v>0</v>
      </c>
      <c r="E57" s="123">
        <f>COUNTIFS(Database!$F:$I,CONCATENATE($B57,E$16,"L"))+COUNTIFS(Database!$F:$I,CONCATENATE(E$16,$B57,"L"))+COUNTIFS(Database!$F:$I,CONCATENATE($B57,E$16,"W"))+COUNTIFS(Database!$F:$I,CONCATENATE(E$16,$B57,"W"))</f>
        <v>2</v>
      </c>
      <c r="F57" s="123">
        <f>COUNTIFS(Database!$F:$I,CONCATENATE($B57,F$16,"L"))+COUNTIFS(Database!$F:$I,CONCATENATE(F$16,$B57,"L"))+COUNTIFS(Database!$F:$I,CONCATENATE($B57,F$16,"W"))+COUNTIFS(Database!$F:$I,CONCATENATE(F$16,$B57,"W"))</f>
        <v>2</v>
      </c>
      <c r="G57" s="123">
        <f>COUNTIFS(Database!$F:$I,CONCATENATE($B57,G$16,"L"))+COUNTIFS(Database!$F:$I,CONCATENATE(G$16,$B57,"L"))+COUNTIFS(Database!$F:$I,CONCATENATE($B57,G$16,"W"))+COUNTIFS(Database!$F:$I,CONCATENATE(G$16,$B57,"W"))</f>
        <v>0</v>
      </c>
      <c r="H57" s="123">
        <f>COUNTIFS(Database!$F:$I,CONCATENATE($B57,H$16,"L"))+COUNTIFS(Database!$F:$I,CONCATENATE(H$16,$B57,"L"))+COUNTIFS(Database!$F:$I,CONCATENATE($B57,H$16,"W"))+COUNTIFS(Database!$F:$I,CONCATENATE(H$16,$B57,"W"))</f>
        <v>0</v>
      </c>
      <c r="I57" s="123">
        <f>COUNTIFS(Database!$F:$I,CONCATENATE($B57,I$16,"L"))+COUNTIFS(Database!$F:$I,CONCATENATE(I$16,$B57,"L"))+COUNTIFS(Database!$F:$I,CONCATENATE($B57,I$16,"W"))+COUNTIFS(Database!$F:$I,CONCATENATE(I$16,$B57,"W"))</f>
        <v>0</v>
      </c>
      <c r="J57" s="123">
        <f>COUNTIFS(Database!$F:$I,CONCATENATE($B57,J$16,"L"))+COUNTIFS(Database!$F:$I,CONCATENATE(J$16,$B57,"L"))+COUNTIFS(Database!$F:$I,CONCATENATE($B57,J$16,"W"))+COUNTIFS(Database!$F:$I,CONCATENATE(J$16,$B57,"W"))</f>
        <v>1</v>
      </c>
      <c r="K57" s="123">
        <f>COUNTIFS(Database!$F:$I,CONCATENATE($B57,K$16,"L"))+COUNTIFS(Database!$F:$I,CONCATENATE(K$16,$B57,"L"))+COUNTIFS(Database!$F:$I,CONCATENATE($B57,K$16,"W"))+COUNTIFS(Database!$F:$I,CONCATENATE(K$16,$B57,"W"))</f>
        <v>2</v>
      </c>
      <c r="L57" s="123">
        <f>COUNTIFS(Database!$F:$I,CONCATENATE($B57,L$16,"L"))+COUNTIFS(Database!$F:$I,CONCATENATE(L$16,$B57,"L"))+COUNTIFS(Database!$F:$I,CONCATENATE($B57,L$16,"W"))+COUNTIFS(Database!$F:$I,CONCATENATE(L$16,$B57,"W"))</f>
        <v>0</v>
      </c>
      <c r="M57" s="123">
        <f>COUNTIFS(Database!$F:$I,CONCATENATE($B57,M$16,"L"))+COUNTIFS(Database!$F:$I,CONCATENATE(M$16,$B57,"L"))+COUNTIFS(Database!$F:$I,CONCATENATE($B57,M$16,"W"))+COUNTIFS(Database!$F:$I,CONCATENATE(M$16,$B57,"W"))</f>
        <v>0</v>
      </c>
      <c r="N57" s="123">
        <f>COUNTIFS(Database!$F:$I,CONCATENATE($B57,N$16,"L"))+COUNTIFS(Database!$F:$I,CONCATENATE(N$16,$B57,"L"))+COUNTIFS(Database!$F:$I,CONCATENATE($B57,N$16,"W"))+COUNTIFS(Database!$F:$I,CONCATENATE(N$16,$B57,"W"))</f>
        <v>2</v>
      </c>
      <c r="O57" s="123">
        <f>COUNTIFS(Database!$F:$I,CONCATENATE($B57,O$16,"L"))+COUNTIFS(Database!$F:$I,CONCATENATE(O$16,$B57,"L"))+COUNTIFS(Database!$F:$I,CONCATENATE($B57,O$16,"W"))+COUNTIFS(Database!$F:$I,CONCATENATE(O$16,$B57,"W"))</f>
        <v>3</v>
      </c>
      <c r="P57" s="123">
        <f>COUNTIFS(Database!$F:$I,CONCATENATE($B57,P$16,"L"))+COUNTIFS(Database!$F:$I,CONCATENATE(P$16,$B57,"L"))+COUNTIFS(Database!$F:$I,CONCATENATE($B57,P$16,"W"))+COUNTIFS(Database!$F:$I,CONCATENATE(P$16,$B57,"W"))</f>
        <v>0</v>
      </c>
      <c r="Q57" s="123">
        <f>COUNTIFS(Database!$F:$I,CONCATENATE($B57,Q$16,"L"))+COUNTIFS(Database!$F:$I,CONCATENATE(Q$16,$B57,"L"))+COUNTIFS(Database!$F:$I,CONCATENATE($B57,Q$16,"W"))+COUNTIFS(Database!$F:$I,CONCATENATE(Q$16,$B57,"W"))</f>
        <v>0</v>
      </c>
      <c r="R57" s="123">
        <f>COUNTIFS(Database!$F:$I,CONCATENATE($B57,R$16,"L"))+COUNTIFS(Database!$F:$I,CONCATENATE(R$16,$B57,"L"))+COUNTIFS(Database!$F:$I,CONCATENATE($B57,R$16,"W"))+COUNTIFS(Database!$F:$I,CONCATENATE(R$16,$B57,"W"))</f>
        <v>0</v>
      </c>
      <c r="S57" s="123">
        <f>COUNTIFS(Database!$F:$I,CONCATENATE($B57,S$16,"L"))+COUNTIFS(Database!$F:$I,CONCATENATE(S$16,$B57,"L"))+COUNTIFS(Database!$F:$I,CONCATENATE($B57,S$16,"W"))+COUNTIFS(Database!$F:$I,CONCATENATE(S$16,$B57,"W"))</f>
        <v>0</v>
      </c>
      <c r="T57" s="123">
        <f>COUNTIFS(Database!$F:$I,CONCATENATE($B57,T$16,"L"))+COUNTIFS(Database!$F:$I,CONCATENATE(T$16,$B57,"L"))+COUNTIFS(Database!$F:$I,CONCATENATE($B57,T$16,"W"))+COUNTIFS(Database!$F:$I,CONCATENATE(T$16,$B57,"W"))</f>
        <v>4</v>
      </c>
      <c r="U57" s="123">
        <f>COUNTIFS(Database!$F:$I,CONCATENATE($B57,U$16,"L"))+COUNTIFS(Database!$F:$I,CONCATENATE(U$16,$B57,"L"))+COUNTIFS(Database!$F:$I,CONCATENATE($B57,U$16,"W"))+COUNTIFS(Database!$F:$I,CONCATENATE(U$16,$B57,"W"))</f>
        <v>1</v>
      </c>
      <c r="V57" s="123">
        <f>COUNTIFS(Database!$F:$I,CONCATENATE($B57,V$16,"L"))+COUNTIFS(Database!$F:$I,CONCATENATE(V$16,$B57,"L"))+COUNTIFS(Database!$F:$I,CONCATENATE($B57,V$16,"W"))+COUNTIFS(Database!$F:$I,CONCATENATE(V$16,$B57,"W"))</f>
        <v>1</v>
      </c>
      <c r="W57" s="123">
        <f>COUNTIFS(Database!$F:$I,CONCATENATE($B57,W$16,"L"))+COUNTIFS(Database!$F:$I,CONCATENATE(W$16,$B57,"L"))+COUNTIFS(Database!$F:$I,CONCATENATE($B57,W$16,"W"))+COUNTIFS(Database!$F:$I,CONCATENATE(W$16,$B57,"W"))</f>
        <v>3</v>
      </c>
      <c r="X57" s="123">
        <f>COUNTIFS(Database!$F:$I,CONCATENATE($B57,X$16,"L"))+COUNTIFS(Database!$F:$I,CONCATENATE(X$16,$B57,"L"))+COUNTIFS(Database!$F:$I,CONCATENATE($B57,X$16,"W"))+COUNTIFS(Database!$F:$I,CONCATENATE(X$16,$B57,"W"))</f>
        <v>0</v>
      </c>
      <c r="Y57" s="123">
        <f>COUNTIFS(Database!$F:$I,CONCATENATE($B57,Y$16,"L"))+COUNTIFS(Database!$F:$I,CONCATENATE(Y$16,$B57,"L"))+COUNTIFS(Database!$F:$I,CONCATENATE($B57,Y$16,"W"))+COUNTIFS(Database!$F:$I,CONCATENATE(Y$16,$B57,"W"))</f>
        <v>0</v>
      </c>
      <c r="Z57" s="123">
        <f>COUNTIFS(Database!$F:$I,CONCATENATE($B57,Z$16,"L"))+COUNTIFS(Database!$F:$I,CONCATENATE(Z$16,$B57,"L"))+COUNTIFS(Database!$F:$I,CONCATENATE($B57,Z$16,"W"))+COUNTIFS(Database!$F:$I,CONCATENATE(Z$16,$B57,"W"))</f>
        <v>1</v>
      </c>
      <c r="AA57" s="123">
        <f>COUNTIFS(Database!$F:$I,CONCATENATE($B57,AA$16,"L"))+COUNTIFS(Database!$F:$I,CONCATENATE(AA$16,$B57,"L"))+COUNTIFS(Database!$F:$I,CONCATENATE($B57,AA$16,"W"))+COUNTIFS(Database!$F:$I,CONCATENATE(AA$16,$B57,"W"))</f>
        <v>0</v>
      </c>
      <c r="AB57" s="123">
        <f>COUNTIFS(Database!$F:$I,CONCATENATE($B57,AB$16,"L"))+COUNTIFS(Database!$F:$I,CONCATENATE(AB$16,$B57,"L"))+COUNTIFS(Database!$F:$I,CONCATENATE($B57,AB$16,"W"))+COUNTIFS(Database!$F:$I,CONCATENATE(AB$16,$B57,"W"))</f>
        <v>2</v>
      </c>
      <c r="AC57" s="123">
        <f>COUNTIFS(Database!$F:$I,CONCATENATE($B57,AC$16,"L"))+COUNTIFS(Database!$F:$I,CONCATENATE(AC$16,$B57,"L"))+COUNTIFS(Database!$F:$I,CONCATENATE($B57,AC$16,"W"))+COUNTIFS(Database!$F:$I,CONCATENATE(AC$16,$B57,"W"))</f>
        <v>4</v>
      </c>
      <c r="AD57" s="123">
        <f>COUNTIFS(Database!$F:$I,CONCATENATE($B57,AD$16,"L"))+COUNTIFS(Database!$F:$I,CONCATENATE(AD$16,$B57,"L"))+COUNTIFS(Database!$F:$I,CONCATENATE($B57,AD$16,"W"))+COUNTIFS(Database!$F:$I,CONCATENATE(AD$16,$B57,"W"))</f>
        <v>0</v>
      </c>
      <c r="AE57" s="123">
        <f>COUNTIFS(Database!$F:$I,CONCATENATE($B57,AE$16,"L"))+COUNTIFS(Database!$F:$I,CONCATENATE(AE$16,$B57,"L"))+COUNTIFS(Database!$F:$I,CONCATENATE($B57,AE$16,"W"))+COUNTIFS(Database!$F:$I,CONCATENATE(AE$16,$B57,"W"))</f>
        <v>0</v>
      </c>
      <c r="AF57" s="123">
        <f>COUNTIFS(Database!$F:$I,CONCATENATE($B57,AF$16,"L"))+COUNTIFS(Database!$F:$I,CONCATENATE(AF$16,$B57,"L"))+COUNTIFS(Database!$F:$I,CONCATENATE($B57,AF$16,"W"))+COUNTIFS(Database!$F:$I,CONCATENATE(AF$16,$B57,"W"))</f>
        <v>0</v>
      </c>
      <c r="AG57" s="123">
        <f>COUNTIFS(Database!$F:$I,CONCATENATE($B57,AG$16,"L"))+COUNTIFS(Database!$F:$I,CONCATENATE(AG$16,$B57,"L"))+COUNTIFS(Database!$F:$I,CONCATENATE($B57,AG$16,"W"))+COUNTIFS(Database!$F:$I,CONCATENATE(AG$16,$B57,"W"))</f>
        <v>1</v>
      </c>
      <c r="AH57" s="123">
        <f>COUNTIFS(Database!$F:$I,CONCATENATE($B57,AH$16,"L"))+COUNTIFS(Database!$F:$I,CONCATENATE(AH$16,$B57,"L"))+COUNTIFS(Database!$F:$I,CONCATENATE($B57,AH$16,"W"))+COUNTIFS(Database!$F:$I,CONCATENATE(AH$16,$B57,"W"))</f>
        <v>0</v>
      </c>
      <c r="AI57" s="123">
        <f>COUNTIFS(Database!$F:$I,CONCATENATE($B57,AI$16,"L"))+COUNTIFS(Database!$F:$I,CONCATENATE(AI$16,$B57,"L"))+COUNTIFS(Database!$F:$I,CONCATENATE($B57,AI$16,"W"))+COUNTIFS(Database!$F:$I,CONCATENATE(AI$16,$B57,"W"))</f>
        <v>0</v>
      </c>
      <c r="AJ57" s="123">
        <f>COUNTIFS(Database!$F:$I,CONCATENATE($B57,AJ$16,"L"))+COUNTIFS(Database!$F:$I,CONCATENATE(AJ$16,$B57,"L"))+COUNTIFS(Database!$F:$I,CONCATENATE($B57,AJ$16,"W"))+COUNTIFS(Database!$F:$I,CONCATENATE(AJ$16,$B57,"W"))</f>
        <v>0</v>
      </c>
      <c r="AK57" s="123">
        <f>COUNTIFS(Database!$F:$I,CONCATENATE($B57,AK$16,"L"))+COUNTIFS(Database!$F:$I,CONCATENATE(AK$16,$B57,"L"))+COUNTIFS(Database!$F:$I,CONCATENATE($B57,AK$16,"W"))+COUNTIFS(Database!$F:$I,CONCATENATE(AK$16,$B57,"W"))</f>
        <v>2</v>
      </c>
      <c r="AL57" s="123">
        <f>COUNTIFS(Database!$F:$I,CONCATENATE($B57,AL$16,"L"))+COUNTIFS(Database!$F:$I,CONCATENATE(AL$16,$B57,"L"))+COUNTIFS(Database!$F:$I,CONCATENATE($B57,AL$16,"W"))+COUNTIFS(Database!$F:$I,CONCATENATE(AL$16,$B57,"W"))</f>
        <v>1</v>
      </c>
      <c r="AM57" s="123">
        <f>COUNTIFS(Database!$F:$I,CONCATENATE($B57,AM$16,"L"))+COUNTIFS(Database!$F:$I,CONCATENATE(AM$16,$B57,"L"))+COUNTIFS(Database!$F:$I,CONCATENATE($B57,AM$16,"W"))+COUNTIFS(Database!$F:$I,CONCATENATE(AM$16,$B57,"W"))</f>
        <v>0</v>
      </c>
      <c r="AN57" s="123">
        <f>COUNTIFS(Database!$F:$I,CONCATENATE($B57,AN$16,"L"))+COUNTIFS(Database!$F:$I,CONCATENATE(AN$16,$B57,"L"))+COUNTIFS(Database!$F:$I,CONCATENATE($B57,AN$16,"W"))+COUNTIFS(Database!$F:$I,CONCATENATE(AN$16,$B57,"W"))</f>
        <v>0</v>
      </c>
      <c r="AO57" s="123">
        <f>COUNTIFS(Database!$F:$I,CONCATENATE($B57,AO$16,"L"))+COUNTIFS(Database!$F:$I,CONCATENATE(AO$16,$B57,"L"))+COUNTIFS(Database!$F:$I,CONCATENATE($B57,AO$16,"W"))+COUNTIFS(Database!$F:$I,CONCATENATE(AO$16,$B57,"W"))</f>
        <v>2</v>
      </c>
      <c r="AP57" s="123">
        <f>COUNTIFS(Database!$F:$I,CONCATENATE($B57,AP$16,"L"))+COUNTIFS(Database!$F:$I,CONCATENATE(AP$16,$B57,"L"))+COUNTIFS(Database!$F:$I,CONCATENATE($B57,AP$16,"W"))+COUNTIFS(Database!$F:$I,CONCATENATE(AP$16,$B57,"W"))</f>
        <v>0</v>
      </c>
      <c r="AQ57" s="123">
        <f>COUNTIFS(Database!$F:$I,CONCATENATE($B57,AQ$16,"L"))+COUNTIFS(Database!$F:$I,CONCATENATE(AQ$16,$B57,"L"))+COUNTIFS(Database!$F:$I,CONCATENATE($B57,AQ$16,"W"))+COUNTIFS(Database!$F:$I,CONCATENATE(AQ$16,$B57,"W"))</f>
        <v>0</v>
      </c>
      <c r="AR57" s="123">
        <f>COUNTIFS(Database!$F:$I,CONCATENATE($B57,AR$16,"L"))+COUNTIFS(Database!$F:$I,CONCATENATE(AR$16,$B57,"L"))+COUNTIFS(Database!$F:$I,CONCATENATE($B57,AR$16,"W"))+COUNTIFS(Database!$F:$I,CONCATENATE(AR$16,$B57,"W"))</f>
        <v>2</v>
      </c>
      <c r="AS57" s="123">
        <f>COUNTIFS(Database!$F:$I,CONCATENATE($B57,AS$16,"L"))+COUNTIFS(Database!$F:$I,CONCATENATE(AS$16,$B57,"L"))+COUNTIFS(Database!$F:$I,CONCATENATE($B57,AS$16,"W"))+COUNTIFS(Database!$F:$I,CONCATENATE(AS$16,$B57,"W"))</f>
        <v>0</v>
      </c>
      <c r="AT57" s="123">
        <f>COUNTIFS(Database!$F:$I,CONCATENATE($B57,AT$16,"L"))+COUNTIFS(Database!$F:$I,CONCATENATE(AT$16,$B57,"L"))+COUNTIFS(Database!$F:$I,CONCATENATE($B57,AT$16,"W"))+COUNTIFS(Database!$F:$I,CONCATENATE(AT$16,$B57,"W"))</f>
        <v>0</v>
      </c>
      <c r="AU57" s="123">
        <f>COUNTIFS(Database!$F:$I,CONCATENATE($B57,AU$16,"L"))+COUNTIFS(Database!$F:$I,CONCATENATE(AU$16,$B57,"L"))+COUNTIFS(Database!$F:$I,CONCATENATE($B57,AU$16,"W"))+COUNTIFS(Database!$F:$I,CONCATENATE(AU$16,$B57,"W"))</f>
        <v>2</v>
      </c>
      <c r="AV57" s="123">
        <f>COUNTIFS(Database!$F:$I,CONCATENATE($B57,AV$16,"L"))+COUNTIFS(Database!$F:$I,CONCATENATE(AV$16,$B57,"L"))+COUNTIFS(Database!$F:$I,CONCATENATE($B57,AV$16,"W"))+COUNTIFS(Database!$F:$I,CONCATENATE(AV$16,$B57,"W"))</f>
        <v>0</v>
      </c>
      <c r="AW57" s="123">
        <f>COUNTIFS(Database!$F:$I,CONCATENATE($B57,AW$16,"L"))+COUNTIFS(Database!$F:$I,CONCATENATE(AW$16,$B57,"L"))+COUNTIFS(Database!$F:$I,CONCATENATE($B57,AW$16,"W"))+COUNTIFS(Database!$F:$I,CONCATENATE(AW$16,$B57,"W"))</f>
        <v>0</v>
      </c>
      <c r="AX57" s="123">
        <f>COUNTIFS(Database!$F:$I,CONCATENATE($B57,AX$16,"L"))+COUNTIFS(Database!$F:$I,CONCATENATE(AX$16,$B57,"L"))+COUNTIFS(Database!$F:$I,CONCATENATE($B57,AX$16,"W"))+COUNTIFS(Database!$F:$I,CONCATENATE(AX$16,$B57,"W"))</f>
        <v>2</v>
      </c>
      <c r="AY57" s="123">
        <f>COUNTIFS(Database!$F:$I,CONCATENATE($B57,AY$16,"L"))+COUNTIFS(Database!$F:$I,CONCATENATE(AY$16,$B57,"L"))+COUNTIFS(Database!$F:$I,CONCATENATE($B57,AY$16,"W"))+COUNTIFS(Database!$F:$I,CONCATENATE(AY$16,$B57,"W"))</f>
        <v>2</v>
      </c>
    </row>
    <row r="58" spans="2:51" x14ac:dyDescent="0.25">
      <c r="B58" s="120" t="s">
        <v>44</v>
      </c>
      <c r="C58" s="123">
        <f>COUNTIFS(Database!$F:$I,CONCATENATE($B58,C$16,"L"))+COUNTIFS(Database!$F:$I,CONCATENATE(C$16,$B58,"L"))+COUNTIFS(Database!$F:$I,CONCATENATE($B58,C$16,"W"))+COUNTIFS(Database!$F:$I,CONCATENATE(C$16,$B58,"W"))</f>
        <v>11</v>
      </c>
      <c r="D58" s="123">
        <f>COUNTIFS(Database!$F:$I,CONCATENATE($B58,D$16,"L"))+COUNTIFS(Database!$F:$I,CONCATENATE(D$16,$B58,"L"))+COUNTIFS(Database!$F:$I,CONCATENATE($B58,D$16,"W"))+COUNTIFS(Database!$F:$I,CONCATENATE(D$16,$B58,"W"))</f>
        <v>3</v>
      </c>
      <c r="E58" s="123">
        <f>COUNTIFS(Database!$F:$I,CONCATENATE($B58,E$16,"L"))+COUNTIFS(Database!$F:$I,CONCATENATE(E$16,$B58,"L"))+COUNTIFS(Database!$F:$I,CONCATENATE($B58,E$16,"W"))+COUNTIFS(Database!$F:$I,CONCATENATE(E$16,$B58,"W"))</f>
        <v>7</v>
      </c>
      <c r="F58" s="123">
        <f>COUNTIFS(Database!$F:$I,CONCATENATE($B58,F$16,"L"))+COUNTIFS(Database!$F:$I,CONCATENATE(F$16,$B58,"L"))+COUNTIFS(Database!$F:$I,CONCATENATE($B58,F$16,"W"))+COUNTIFS(Database!$F:$I,CONCATENATE(F$16,$B58,"W"))</f>
        <v>6</v>
      </c>
      <c r="G58" s="123">
        <f>COUNTIFS(Database!$F:$I,CONCATENATE($B58,G$16,"L"))+COUNTIFS(Database!$F:$I,CONCATENATE(G$16,$B58,"L"))+COUNTIFS(Database!$F:$I,CONCATENATE($B58,G$16,"W"))+COUNTIFS(Database!$F:$I,CONCATENATE(G$16,$B58,"W"))</f>
        <v>0</v>
      </c>
      <c r="H58" s="123">
        <f>COUNTIFS(Database!$F:$I,CONCATENATE($B58,H$16,"L"))+COUNTIFS(Database!$F:$I,CONCATENATE(H$16,$B58,"L"))+COUNTIFS(Database!$F:$I,CONCATENATE($B58,H$16,"W"))+COUNTIFS(Database!$F:$I,CONCATENATE(H$16,$B58,"W"))</f>
        <v>0</v>
      </c>
      <c r="I58" s="123">
        <f>COUNTIFS(Database!$F:$I,CONCATENATE($B58,I$16,"L"))+COUNTIFS(Database!$F:$I,CONCATENATE(I$16,$B58,"L"))+COUNTIFS(Database!$F:$I,CONCATENATE($B58,I$16,"W"))+COUNTIFS(Database!$F:$I,CONCATENATE(I$16,$B58,"W"))</f>
        <v>2</v>
      </c>
      <c r="J58" s="123">
        <f>COUNTIFS(Database!$F:$I,CONCATENATE($B58,J$16,"L"))+COUNTIFS(Database!$F:$I,CONCATENATE(J$16,$B58,"L"))+COUNTIFS(Database!$F:$I,CONCATENATE($B58,J$16,"W"))+COUNTIFS(Database!$F:$I,CONCATENATE(J$16,$B58,"W"))</f>
        <v>4</v>
      </c>
      <c r="K58" s="123">
        <f>COUNTIFS(Database!$F:$I,CONCATENATE($B58,K$16,"L"))+COUNTIFS(Database!$F:$I,CONCATENATE(K$16,$B58,"L"))+COUNTIFS(Database!$F:$I,CONCATENATE($B58,K$16,"W"))+COUNTIFS(Database!$F:$I,CONCATENATE(K$16,$B58,"W"))</f>
        <v>6</v>
      </c>
      <c r="L58" s="123">
        <f>COUNTIFS(Database!$F:$I,CONCATENATE($B58,L$16,"L"))+COUNTIFS(Database!$F:$I,CONCATENATE(L$16,$B58,"L"))+COUNTIFS(Database!$F:$I,CONCATENATE($B58,L$16,"W"))+COUNTIFS(Database!$F:$I,CONCATENATE(L$16,$B58,"W"))</f>
        <v>4</v>
      </c>
      <c r="M58" s="123">
        <f>COUNTIFS(Database!$F:$I,CONCATENATE($B58,M$16,"L"))+COUNTIFS(Database!$F:$I,CONCATENATE(M$16,$B58,"L"))+COUNTIFS(Database!$F:$I,CONCATENATE($B58,M$16,"W"))+COUNTIFS(Database!$F:$I,CONCATENATE(M$16,$B58,"W"))</f>
        <v>1</v>
      </c>
      <c r="N58" s="123">
        <f>COUNTIFS(Database!$F:$I,CONCATENATE($B58,N$16,"L"))+COUNTIFS(Database!$F:$I,CONCATENATE(N$16,$B58,"L"))+COUNTIFS(Database!$F:$I,CONCATENATE($B58,N$16,"W"))+COUNTIFS(Database!$F:$I,CONCATENATE(N$16,$B58,"W"))</f>
        <v>0</v>
      </c>
      <c r="O58" s="123">
        <f>COUNTIFS(Database!$F:$I,CONCATENATE($B58,O$16,"L"))+COUNTIFS(Database!$F:$I,CONCATENATE(O$16,$B58,"L"))+COUNTIFS(Database!$F:$I,CONCATENATE($B58,O$16,"W"))+COUNTIFS(Database!$F:$I,CONCATENATE(O$16,$B58,"W"))</f>
        <v>6</v>
      </c>
      <c r="P58" s="123">
        <f>COUNTIFS(Database!$F:$I,CONCATENATE($B58,P$16,"L"))+COUNTIFS(Database!$F:$I,CONCATENATE(P$16,$B58,"L"))+COUNTIFS(Database!$F:$I,CONCATENATE($B58,P$16,"W"))+COUNTIFS(Database!$F:$I,CONCATENATE(P$16,$B58,"W"))</f>
        <v>0</v>
      </c>
      <c r="Q58" s="123">
        <f>COUNTIFS(Database!$F:$I,CONCATENATE($B58,Q$16,"L"))+COUNTIFS(Database!$F:$I,CONCATENATE(Q$16,$B58,"L"))+COUNTIFS(Database!$F:$I,CONCATENATE($B58,Q$16,"W"))+COUNTIFS(Database!$F:$I,CONCATENATE(Q$16,$B58,"W"))</f>
        <v>0</v>
      </c>
      <c r="R58" s="123">
        <f>COUNTIFS(Database!$F:$I,CONCATENATE($B58,R$16,"L"))+COUNTIFS(Database!$F:$I,CONCATENATE(R$16,$B58,"L"))+COUNTIFS(Database!$F:$I,CONCATENATE($B58,R$16,"W"))+COUNTIFS(Database!$F:$I,CONCATENATE(R$16,$B58,"W"))</f>
        <v>0</v>
      </c>
      <c r="S58" s="123">
        <f>COUNTIFS(Database!$F:$I,CONCATENATE($B58,S$16,"L"))+COUNTIFS(Database!$F:$I,CONCATENATE(S$16,$B58,"L"))+COUNTIFS(Database!$F:$I,CONCATENATE($B58,S$16,"W"))+COUNTIFS(Database!$F:$I,CONCATENATE(S$16,$B58,"W"))</f>
        <v>2</v>
      </c>
      <c r="T58" s="123">
        <f>COUNTIFS(Database!$F:$I,CONCATENATE($B58,T$16,"L"))+COUNTIFS(Database!$F:$I,CONCATENATE(T$16,$B58,"L"))+COUNTIFS(Database!$F:$I,CONCATENATE($B58,T$16,"W"))+COUNTIFS(Database!$F:$I,CONCATENATE(T$16,$B58,"W"))</f>
        <v>4</v>
      </c>
      <c r="U58" s="123">
        <f>COUNTIFS(Database!$F:$I,CONCATENATE($B58,U$16,"L"))+COUNTIFS(Database!$F:$I,CONCATENATE(U$16,$B58,"L"))+COUNTIFS(Database!$F:$I,CONCATENATE($B58,U$16,"W"))+COUNTIFS(Database!$F:$I,CONCATENATE(U$16,$B58,"W"))</f>
        <v>0</v>
      </c>
      <c r="V58" s="123">
        <f>COUNTIFS(Database!$F:$I,CONCATENATE($B58,V$16,"L"))+COUNTIFS(Database!$F:$I,CONCATENATE(V$16,$B58,"L"))+COUNTIFS(Database!$F:$I,CONCATENATE($B58,V$16,"W"))+COUNTIFS(Database!$F:$I,CONCATENATE(V$16,$B58,"W"))</f>
        <v>2</v>
      </c>
      <c r="W58" s="123">
        <f>COUNTIFS(Database!$F:$I,CONCATENATE($B58,W$16,"L"))+COUNTIFS(Database!$F:$I,CONCATENATE(W$16,$B58,"L"))+COUNTIFS(Database!$F:$I,CONCATENATE($B58,W$16,"W"))+COUNTIFS(Database!$F:$I,CONCATENATE(W$16,$B58,"W"))</f>
        <v>9</v>
      </c>
      <c r="X58" s="123">
        <f>COUNTIFS(Database!$F:$I,CONCATENATE($B58,X$16,"L"))+COUNTIFS(Database!$F:$I,CONCATENATE(X$16,$B58,"L"))+COUNTIFS(Database!$F:$I,CONCATENATE($B58,X$16,"W"))+COUNTIFS(Database!$F:$I,CONCATENATE(X$16,$B58,"W"))</f>
        <v>0</v>
      </c>
      <c r="Y58" s="123">
        <f>COUNTIFS(Database!$F:$I,CONCATENATE($B58,Y$16,"L"))+COUNTIFS(Database!$F:$I,CONCATENATE(Y$16,$B58,"L"))+COUNTIFS(Database!$F:$I,CONCATENATE($B58,Y$16,"W"))+COUNTIFS(Database!$F:$I,CONCATENATE(Y$16,$B58,"W"))</f>
        <v>7</v>
      </c>
      <c r="Z58" s="123">
        <f>COUNTIFS(Database!$F:$I,CONCATENATE($B58,Z$16,"L"))+COUNTIFS(Database!$F:$I,CONCATENATE(Z$16,$B58,"L"))+COUNTIFS(Database!$F:$I,CONCATENATE($B58,Z$16,"W"))+COUNTIFS(Database!$F:$I,CONCATENATE(Z$16,$B58,"W"))</f>
        <v>0</v>
      </c>
      <c r="AA58" s="123">
        <f>COUNTIFS(Database!$F:$I,CONCATENATE($B58,AA$16,"L"))+COUNTIFS(Database!$F:$I,CONCATENATE(AA$16,$B58,"L"))+COUNTIFS(Database!$F:$I,CONCATENATE($B58,AA$16,"W"))+COUNTIFS(Database!$F:$I,CONCATENATE(AA$16,$B58,"W"))</f>
        <v>4</v>
      </c>
      <c r="AB58" s="123">
        <f>COUNTIFS(Database!$F:$I,CONCATENATE($B58,AB$16,"L"))+COUNTIFS(Database!$F:$I,CONCATENATE(AB$16,$B58,"L"))+COUNTIFS(Database!$F:$I,CONCATENATE($B58,AB$16,"W"))+COUNTIFS(Database!$F:$I,CONCATENATE(AB$16,$B58,"W"))</f>
        <v>7</v>
      </c>
      <c r="AC58" s="123">
        <f>COUNTIFS(Database!$F:$I,CONCATENATE($B58,AC$16,"L"))+COUNTIFS(Database!$F:$I,CONCATENATE(AC$16,$B58,"L"))+COUNTIFS(Database!$F:$I,CONCATENATE($B58,AC$16,"W"))+COUNTIFS(Database!$F:$I,CONCATENATE(AC$16,$B58,"W"))</f>
        <v>6</v>
      </c>
      <c r="AD58" s="123">
        <f>COUNTIFS(Database!$F:$I,CONCATENATE($B58,AD$16,"L"))+COUNTIFS(Database!$F:$I,CONCATENATE(AD$16,$B58,"L"))+COUNTIFS(Database!$F:$I,CONCATENATE($B58,AD$16,"W"))+COUNTIFS(Database!$F:$I,CONCATENATE(AD$16,$B58,"W"))</f>
        <v>3</v>
      </c>
      <c r="AE58" s="123">
        <f>COUNTIFS(Database!$F:$I,CONCATENATE($B58,AE$16,"L"))+COUNTIFS(Database!$F:$I,CONCATENATE(AE$16,$B58,"L"))+COUNTIFS(Database!$F:$I,CONCATENATE($B58,AE$16,"W"))+COUNTIFS(Database!$F:$I,CONCATENATE(AE$16,$B58,"W"))</f>
        <v>0</v>
      </c>
      <c r="AF58" s="123">
        <f>COUNTIFS(Database!$F:$I,CONCATENATE($B58,AF$16,"L"))+COUNTIFS(Database!$F:$I,CONCATENATE(AF$16,$B58,"L"))+COUNTIFS(Database!$F:$I,CONCATENATE($B58,AF$16,"W"))+COUNTIFS(Database!$F:$I,CONCATENATE(AF$16,$B58,"W"))</f>
        <v>0</v>
      </c>
      <c r="AG58" s="123">
        <f>COUNTIFS(Database!$F:$I,CONCATENATE($B58,AG$16,"L"))+COUNTIFS(Database!$F:$I,CONCATENATE(AG$16,$B58,"L"))+COUNTIFS(Database!$F:$I,CONCATENATE($B58,AG$16,"W"))+COUNTIFS(Database!$F:$I,CONCATENATE(AG$16,$B58,"W"))</f>
        <v>1</v>
      </c>
      <c r="AH58" s="123">
        <f>COUNTIFS(Database!$F:$I,CONCATENATE($B58,AH$16,"L"))+COUNTIFS(Database!$F:$I,CONCATENATE(AH$16,$B58,"L"))+COUNTIFS(Database!$F:$I,CONCATENATE($B58,AH$16,"W"))+COUNTIFS(Database!$F:$I,CONCATENATE(AH$16,$B58,"W"))</f>
        <v>0</v>
      </c>
      <c r="AI58" s="123">
        <f>COUNTIFS(Database!$F:$I,CONCATENATE($B58,AI$16,"L"))+COUNTIFS(Database!$F:$I,CONCATENATE(AI$16,$B58,"L"))+COUNTIFS(Database!$F:$I,CONCATENATE($B58,AI$16,"W"))+COUNTIFS(Database!$F:$I,CONCATENATE(AI$16,$B58,"W"))</f>
        <v>2</v>
      </c>
      <c r="AJ58" s="123">
        <f>COUNTIFS(Database!$F:$I,CONCATENATE($B58,AJ$16,"L"))+COUNTIFS(Database!$F:$I,CONCATENATE(AJ$16,$B58,"L"))+COUNTIFS(Database!$F:$I,CONCATENATE($B58,AJ$16,"W"))+COUNTIFS(Database!$F:$I,CONCATENATE(AJ$16,$B58,"W"))</f>
        <v>2</v>
      </c>
      <c r="AK58" s="123">
        <f>COUNTIFS(Database!$F:$I,CONCATENATE($B58,AK$16,"L"))+COUNTIFS(Database!$F:$I,CONCATENATE(AK$16,$B58,"L"))+COUNTIFS(Database!$F:$I,CONCATENATE($B58,AK$16,"W"))+COUNTIFS(Database!$F:$I,CONCATENATE(AK$16,$B58,"W"))</f>
        <v>8</v>
      </c>
      <c r="AL58" s="123">
        <f>COUNTIFS(Database!$F:$I,CONCATENATE($B58,AL$16,"L"))+COUNTIFS(Database!$F:$I,CONCATENATE(AL$16,$B58,"L"))+COUNTIFS(Database!$F:$I,CONCATENATE($B58,AL$16,"W"))+COUNTIFS(Database!$F:$I,CONCATENATE(AL$16,$B58,"W"))</f>
        <v>2</v>
      </c>
      <c r="AM58" s="123">
        <f>COUNTIFS(Database!$F:$I,CONCATENATE($B58,AM$16,"L"))+COUNTIFS(Database!$F:$I,CONCATENATE(AM$16,$B58,"L"))+COUNTIFS(Database!$F:$I,CONCATENATE($B58,AM$16,"W"))+COUNTIFS(Database!$F:$I,CONCATENATE(AM$16,$B58,"W"))</f>
        <v>0</v>
      </c>
      <c r="AN58" s="123">
        <f>COUNTIFS(Database!$F:$I,CONCATENATE($B58,AN$16,"L"))+COUNTIFS(Database!$F:$I,CONCATENATE(AN$16,$B58,"L"))+COUNTIFS(Database!$F:$I,CONCATENATE($B58,AN$16,"W"))+COUNTIFS(Database!$F:$I,CONCATENATE(AN$16,$B58,"W"))</f>
        <v>0</v>
      </c>
      <c r="AO58" s="123">
        <f>COUNTIFS(Database!$F:$I,CONCATENATE($B58,AO$16,"L"))+COUNTIFS(Database!$F:$I,CONCATENATE(AO$16,$B58,"L"))+COUNTIFS(Database!$F:$I,CONCATENATE($B58,AO$16,"W"))+COUNTIFS(Database!$F:$I,CONCATENATE(AO$16,$B58,"W"))</f>
        <v>3</v>
      </c>
      <c r="AP58" s="123">
        <f>COUNTIFS(Database!$F:$I,CONCATENATE($B58,AP$16,"L"))+COUNTIFS(Database!$F:$I,CONCATENATE(AP$16,$B58,"L"))+COUNTIFS(Database!$F:$I,CONCATENATE($B58,AP$16,"W"))+COUNTIFS(Database!$F:$I,CONCATENATE(AP$16,$B58,"W"))</f>
        <v>0</v>
      </c>
      <c r="AQ58" s="123">
        <f>COUNTIFS(Database!$F:$I,CONCATENATE($B58,AQ$16,"L"))+COUNTIFS(Database!$F:$I,CONCATENATE(AQ$16,$B58,"L"))+COUNTIFS(Database!$F:$I,CONCATENATE($B58,AQ$16,"W"))+COUNTIFS(Database!$F:$I,CONCATENATE(AQ$16,$B58,"W"))</f>
        <v>2</v>
      </c>
      <c r="AR58" s="123">
        <f>COUNTIFS(Database!$F:$I,CONCATENATE($B58,AR$16,"L"))+COUNTIFS(Database!$F:$I,CONCATENATE(AR$16,$B58,"L"))+COUNTIFS(Database!$F:$I,CONCATENATE($B58,AR$16,"W"))+COUNTIFS(Database!$F:$I,CONCATENATE(AR$16,$B58,"W"))</f>
        <v>0</v>
      </c>
      <c r="AS58" s="123">
        <f>COUNTIFS(Database!$F:$I,CONCATENATE($B58,AS$16,"L"))+COUNTIFS(Database!$F:$I,CONCATENATE(AS$16,$B58,"L"))+COUNTIFS(Database!$F:$I,CONCATENATE($B58,AS$16,"W"))+COUNTIFS(Database!$F:$I,CONCATENATE(AS$16,$B58,"W"))</f>
        <v>1</v>
      </c>
      <c r="AT58" s="123">
        <f>COUNTIFS(Database!$F:$I,CONCATENATE($B58,AT$16,"L"))+COUNTIFS(Database!$F:$I,CONCATENATE(AT$16,$B58,"L"))+COUNTIFS(Database!$F:$I,CONCATENATE($B58,AT$16,"W"))+COUNTIFS(Database!$F:$I,CONCATENATE(AT$16,$B58,"W"))</f>
        <v>0</v>
      </c>
      <c r="AU58" s="123">
        <f>COUNTIFS(Database!$F:$I,CONCATENATE($B58,AU$16,"L"))+COUNTIFS(Database!$F:$I,CONCATENATE(AU$16,$B58,"L"))+COUNTIFS(Database!$F:$I,CONCATENATE($B58,AU$16,"W"))+COUNTIFS(Database!$F:$I,CONCATENATE(AU$16,$B58,"W"))</f>
        <v>5</v>
      </c>
      <c r="AV58" s="123">
        <f>COUNTIFS(Database!$F:$I,CONCATENATE($B58,AV$16,"L"))+COUNTIFS(Database!$F:$I,CONCATENATE(AV$16,$B58,"L"))+COUNTIFS(Database!$F:$I,CONCATENATE($B58,AV$16,"W"))+COUNTIFS(Database!$F:$I,CONCATENATE(AV$16,$B58,"W"))</f>
        <v>0</v>
      </c>
      <c r="AW58" s="123">
        <f>COUNTIFS(Database!$F:$I,CONCATENATE($B58,AW$16,"L"))+COUNTIFS(Database!$F:$I,CONCATENATE(AW$16,$B58,"L"))+COUNTIFS(Database!$F:$I,CONCATENATE($B58,AW$16,"W"))+COUNTIFS(Database!$F:$I,CONCATENATE(AW$16,$B58,"W"))</f>
        <v>2</v>
      </c>
      <c r="AX58" s="123">
        <f>COUNTIFS(Database!$F:$I,CONCATENATE($B58,AX$16,"L"))+COUNTIFS(Database!$F:$I,CONCATENATE(AX$16,$B58,"L"))+COUNTIFS(Database!$F:$I,CONCATENATE($B58,AX$16,"W"))+COUNTIFS(Database!$F:$I,CONCATENATE(AX$16,$B58,"W"))</f>
        <v>0</v>
      </c>
      <c r="AY58" s="123">
        <f>COUNTIFS(Database!$F:$I,CONCATENATE($B58,AY$16,"L"))+COUNTIFS(Database!$F:$I,CONCATENATE(AY$16,$B58,"L"))+COUNTIFS(Database!$F:$I,CONCATENATE($B58,AY$16,"W"))+COUNTIFS(Database!$F:$I,CONCATENATE(AY$16,$B58,"W"))</f>
        <v>6</v>
      </c>
    </row>
    <row r="59" spans="2:51" x14ac:dyDescent="0.25">
      <c r="B59" s="120" t="s">
        <v>26</v>
      </c>
      <c r="C59" s="123">
        <f>COUNTIFS(Database!$F:$I,CONCATENATE($B59,C$16,"L"))+COUNTIFS(Database!$F:$I,CONCATENATE(C$16,$B59,"L"))+COUNTIFS(Database!$F:$I,CONCATENATE($B59,C$16,"W"))+COUNTIFS(Database!$F:$I,CONCATENATE(C$16,$B59,"W"))</f>
        <v>0</v>
      </c>
      <c r="D59" s="123">
        <f>COUNTIFS(Database!$F:$I,CONCATENATE($B59,D$16,"L"))+COUNTIFS(Database!$F:$I,CONCATENATE(D$16,$B59,"L"))+COUNTIFS(Database!$F:$I,CONCATENATE($B59,D$16,"W"))+COUNTIFS(Database!$F:$I,CONCATENATE(D$16,$B59,"W"))</f>
        <v>0</v>
      </c>
      <c r="E59" s="123">
        <f>COUNTIFS(Database!$F:$I,CONCATENATE($B59,E$16,"L"))+COUNTIFS(Database!$F:$I,CONCATENATE(E$16,$B59,"L"))+COUNTIFS(Database!$F:$I,CONCATENATE($B59,E$16,"W"))+COUNTIFS(Database!$F:$I,CONCATENATE(E$16,$B59,"W"))</f>
        <v>0</v>
      </c>
      <c r="F59" s="123">
        <f>COUNTIFS(Database!$F:$I,CONCATENATE($B59,F$16,"L"))+COUNTIFS(Database!$F:$I,CONCATENATE(F$16,$B59,"L"))+COUNTIFS(Database!$F:$I,CONCATENATE($B59,F$16,"W"))+COUNTIFS(Database!$F:$I,CONCATENATE(F$16,$B59,"W"))</f>
        <v>1</v>
      </c>
      <c r="G59" s="123">
        <f>COUNTIFS(Database!$F:$I,CONCATENATE($B59,G$16,"L"))+COUNTIFS(Database!$F:$I,CONCATENATE(G$16,$B59,"L"))+COUNTIFS(Database!$F:$I,CONCATENATE($B59,G$16,"W"))+COUNTIFS(Database!$F:$I,CONCATENATE(G$16,$B59,"W"))</f>
        <v>0</v>
      </c>
      <c r="H59" s="123">
        <f>COUNTIFS(Database!$F:$I,CONCATENATE($B59,H$16,"L"))+COUNTIFS(Database!$F:$I,CONCATENATE(H$16,$B59,"L"))+COUNTIFS(Database!$F:$I,CONCATENATE($B59,H$16,"W"))+COUNTIFS(Database!$F:$I,CONCATENATE(H$16,$B59,"W"))</f>
        <v>0</v>
      </c>
      <c r="I59" s="123">
        <f>COUNTIFS(Database!$F:$I,CONCATENATE($B59,I$16,"L"))+COUNTIFS(Database!$F:$I,CONCATENATE(I$16,$B59,"L"))+COUNTIFS(Database!$F:$I,CONCATENATE($B59,I$16,"W"))+COUNTIFS(Database!$F:$I,CONCATENATE(I$16,$B59,"W"))</f>
        <v>0</v>
      </c>
      <c r="J59" s="123">
        <f>COUNTIFS(Database!$F:$I,CONCATENATE($B59,J$16,"L"))+COUNTIFS(Database!$F:$I,CONCATENATE(J$16,$B59,"L"))+COUNTIFS(Database!$F:$I,CONCATENATE($B59,J$16,"W"))+COUNTIFS(Database!$F:$I,CONCATENATE(J$16,$B59,"W"))</f>
        <v>0</v>
      </c>
      <c r="K59" s="123">
        <f>COUNTIFS(Database!$F:$I,CONCATENATE($B59,K$16,"L"))+COUNTIFS(Database!$F:$I,CONCATENATE(K$16,$B59,"L"))+COUNTIFS(Database!$F:$I,CONCATENATE($B59,K$16,"W"))+COUNTIFS(Database!$F:$I,CONCATENATE(K$16,$B59,"W"))</f>
        <v>0</v>
      </c>
      <c r="L59" s="123">
        <f>COUNTIFS(Database!$F:$I,CONCATENATE($B59,L$16,"L"))+COUNTIFS(Database!$F:$I,CONCATENATE(L$16,$B59,"L"))+COUNTIFS(Database!$F:$I,CONCATENATE($B59,L$16,"W"))+COUNTIFS(Database!$F:$I,CONCATENATE(L$16,$B59,"W"))</f>
        <v>0</v>
      </c>
      <c r="M59" s="123">
        <f>COUNTIFS(Database!$F:$I,CONCATENATE($B59,M$16,"L"))+COUNTIFS(Database!$F:$I,CONCATENATE(M$16,$B59,"L"))+COUNTIFS(Database!$F:$I,CONCATENATE($B59,M$16,"W"))+COUNTIFS(Database!$F:$I,CONCATENATE(M$16,$B59,"W"))</f>
        <v>0</v>
      </c>
      <c r="N59" s="123">
        <f>COUNTIFS(Database!$F:$I,CONCATENATE($B59,N$16,"L"))+COUNTIFS(Database!$F:$I,CONCATENATE(N$16,$B59,"L"))+COUNTIFS(Database!$F:$I,CONCATENATE($B59,N$16,"W"))+COUNTIFS(Database!$F:$I,CONCATENATE(N$16,$B59,"W"))</f>
        <v>0</v>
      </c>
      <c r="O59" s="123">
        <f>COUNTIFS(Database!$F:$I,CONCATENATE($B59,O$16,"L"))+COUNTIFS(Database!$F:$I,CONCATENATE(O$16,$B59,"L"))+COUNTIFS(Database!$F:$I,CONCATENATE($B59,O$16,"W"))+COUNTIFS(Database!$F:$I,CONCATENATE(O$16,$B59,"W"))</f>
        <v>0</v>
      </c>
      <c r="P59" s="123">
        <f>COUNTIFS(Database!$F:$I,CONCATENATE($B59,P$16,"L"))+COUNTIFS(Database!$F:$I,CONCATENATE(P$16,$B59,"L"))+COUNTIFS(Database!$F:$I,CONCATENATE($B59,P$16,"W"))+COUNTIFS(Database!$F:$I,CONCATENATE(P$16,$B59,"W"))</f>
        <v>0</v>
      </c>
      <c r="Q59" s="123">
        <f>COUNTIFS(Database!$F:$I,CONCATENATE($B59,Q$16,"L"))+COUNTIFS(Database!$F:$I,CONCATENATE(Q$16,$B59,"L"))+COUNTIFS(Database!$F:$I,CONCATENATE($B59,Q$16,"W"))+COUNTIFS(Database!$F:$I,CONCATENATE(Q$16,$B59,"W"))</f>
        <v>0</v>
      </c>
      <c r="R59" s="123">
        <f>COUNTIFS(Database!$F:$I,CONCATENATE($B59,R$16,"L"))+COUNTIFS(Database!$F:$I,CONCATENATE(R$16,$B59,"L"))+COUNTIFS(Database!$F:$I,CONCATENATE($B59,R$16,"W"))+COUNTIFS(Database!$F:$I,CONCATENATE(R$16,$B59,"W"))</f>
        <v>0</v>
      </c>
      <c r="S59" s="123">
        <f>COUNTIFS(Database!$F:$I,CONCATENATE($B59,S$16,"L"))+COUNTIFS(Database!$F:$I,CONCATENATE(S$16,$B59,"L"))+COUNTIFS(Database!$F:$I,CONCATENATE($B59,S$16,"W"))+COUNTIFS(Database!$F:$I,CONCATENATE(S$16,$B59,"W"))</f>
        <v>0</v>
      </c>
      <c r="T59" s="123">
        <f>COUNTIFS(Database!$F:$I,CONCATENATE($B59,T$16,"L"))+COUNTIFS(Database!$F:$I,CONCATENATE(T$16,$B59,"L"))+COUNTIFS(Database!$F:$I,CONCATENATE($B59,T$16,"W"))+COUNTIFS(Database!$F:$I,CONCATENATE(T$16,$B59,"W"))</f>
        <v>0</v>
      </c>
      <c r="U59" s="123">
        <f>COUNTIFS(Database!$F:$I,CONCATENATE($B59,U$16,"L"))+COUNTIFS(Database!$F:$I,CONCATENATE(U$16,$B59,"L"))+COUNTIFS(Database!$F:$I,CONCATENATE($B59,U$16,"W"))+COUNTIFS(Database!$F:$I,CONCATENATE(U$16,$B59,"W"))</f>
        <v>0</v>
      </c>
      <c r="V59" s="123">
        <f>COUNTIFS(Database!$F:$I,CONCATENATE($B59,V$16,"L"))+COUNTIFS(Database!$F:$I,CONCATENATE(V$16,$B59,"L"))+COUNTIFS(Database!$F:$I,CONCATENATE($B59,V$16,"W"))+COUNTIFS(Database!$F:$I,CONCATENATE(V$16,$B59,"W"))</f>
        <v>0</v>
      </c>
      <c r="W59" s="123">
        <f>COUNTIFS(Database!$F:$I,CONCATENATE($B59,W$16,"L"))+COUNTIFS(Database!$F:$I,CONCATENATE(W$16,$B59,"L"))+COUNTIFS(Database!$F:$I,CONCATENATE($B59,W$16,"W"))+COUNTIFS(Database!$F:$I,CONCATENATE(W$16,$B59,"W"))</f>
        <v>0</v>
      </c>
      <c r="X59" s="123">
        <f>COUNTIFS(Database!$F:$I,CONCATENATE($B59,X$16,"L"))+COUNTIFS(Database!$F:$I,CONCATENATE(X$16,$B59,"L"))+COUNTIFS(Database!$F:$I,CONCATENATE($B59,X$16,"W"))+COUNTIFS(Database!$F:$I,CONCATENATE(X$16,$B59,"W"))</f>
        <v>0</v>
      </c>
      <c r="Y59" s="123">
        <f>COUNTIFS(Database!$F:$I,CONCATENATE($B59,Y$16,"L"))+COUNTIFS(Database!$F:$I,CONCATENATE(Y$16,$B59,"L"))+COUNTIFS(Database!$F:$I,CONCATENATE($B59,Y$16,"W"))+COUNTIFS(Database!$F:$I,CONCATENATE(Y$16,$B59,"W"))</f>
        <v>0</v>
      </c>
      <c r="Z59" s="123">
        <f>COUNTIFS(Database!$F:$I,CONCATENATE($B59,Z$16,"L"))+COUNTIFS(Database!$F:$I,CONCATENATE(Z$16,$B59,"L"))+COUNTIFS(Database!$F:$I,CONCATENATE($B59,Z$16,"W"))+COUNTIFS(Database!$F:$I,CONCATENATE(Z$16,$B59,"W"))</f>
        <v>0</v>
      </c>
      <c r="AA59" s="123">
        <f>COUNTIFS(Database!$F:$I,CONCATENATE($B59,AA$16,"L"))+COUNTIFS(Database!$F:$I,CONCATENATE(AA$16,$B59,"L"))+COUNTIFS(Database!$F:$I,CONCATENATE($B59,AA$16,"W"))+COUNTIFS(Database!$F:$I,CONCATENATE(AA$16,$B59,"W"))</f>
        <v>0</v>
      </c>
      <c r="AB59" s="123">
        <f>COUNTIFS(Database!$F:$I,CONCATENATE($B59,AB$16,"L"))+COUNTIFS(Database!$F:$I,CONCATENATE(AB$16,$B59,"L"))+COUNTIFS(Database!$F:$I,CONCATENATE($B59,AB$16,"W"))+COUNTIFS(Database!$F:$I,CONCATENATE(AB$16,$B59,"W"))</f>
        <v>0</v>
      </c>
      <c r="AC59" s="123">
        <f>COUNTIFS(Database!$F:$I,CONCATENATE($B59,AC$16,"L"))+COUNTIFS(Database!$F:$I,CONCATENATE(AC$16,$B59,"L"))+COUNTIFS(Database!$F:$I,CONCATENATE($B59,AC$16,"W"))+COUNTIFS(Database!$F:$I,CONCATENATE(AC$16,$B59,"W"))</f>
        <v>0</v>
      </c>
      <c r="AD59" s="123">
        <f>COUNTIFS(Database!$F:$I,CONCATENATE($B59,AD$16,"L"))+COUNTIFS(Database!$F:$I,CONCATENATE(AD$16,$B59,"L"))+COUNTIFS(Database!$F:$I,CONCATENATE($B59,AD$16,"W"))+COUNTIFS(Database!$F:$I,CONCATENATE(AD$16,$B59,"W"))</f>
        <v>1</v>
      </c>
      <c r="AE59" s="123">
        <f>COUNTIFS(Database!$F:$I,CONCATENATE($B59,AE$16,"L"))+COUNTIFS(Database!$F:$I,CONCATENATE(AE$16,$B59,"L"))+COUNTIFS(Database!$F:$I,CONCATENATE($B59,AE$16,"W"))+COUNTIFS(Database!$F:$I,CONCATENATE(AE$16,$B59,"W"))</f>
        <v>0</v>
      </c>
      <c r="AF59" s="123">
        <f>COUNTIFS(Database!$F:$I,CONCATENATE($B59,AF$16,"L"))+COUNTIFS(Database!$F:$I,CONCATENATE(AF$16,$B59,"L"))+COUNTIFS(Database!$F:$I,CONCATENATE($B59,AF$16,"W"))+COUNTIFS(Database!$F:$I,CONCATENATE(AF$16,$B59,"W"))</f>
        <v>0</v>
      </c>
      <c r="AG59" s="123">
        <f>COUNTIFS(Database!$F:$I,CONCATENATE($B59,AG$16,"L"))+COUNTIFS(Database!$F:$I,CONCATENATE(AG$16,$B59,"L"))+COUNTIFS(Database!$F:$I,CONCATENATE($B59,AG$16,"W"))+COUNTIFS(Database!$F:$I,CONCATENATE(AG$16,$B59,"W"))</f>
        <v>0</v>
      </c>
      <c r="AH59" s="123">
        <f>COUNTIFS(Database!$F:$I,CONCATENATE($B59,AH$16,"L"))+COUNTIFS(Database!$F:$I,CONCATENATE(AH$16,$B59,"L"))+COUNTIFS(Database!$F:$I,CONCATENATE($B59,AH$16,"W"))+COUNTIFS(Database!$F:$I,CONCATENATE(AH$16,$B59,"W"))</f>
        <v>0</v>
      </c>
      <c r="AI59" s="123">
        <f>COUNTIFS(Database!$F:$I,CONCATENATE($B59,AI$16,"L"))+COUNTIFS(Database!$F:$I,CONCATENATE(AI$16,$B59,"L"))+COUNTIFS(Database!$F:$I,CONCATENATE($B59,AI$16,"W"))+COUNTIFS(Database!$F:$I,CONCATENATE(AI$16,$B59,"W"))</f>
        <v>0</v>
      </c>
      <c r="AJ59" s="123">
        <f>COUNTIFS(Database!$F:$I,CONCATENATE($B59,AJ$16,"L"))+COUNTIFS(Database!$F:$I,CONCATENATE(AJ$16,$B59,"L"))+COUNTIFS(Database!$F:$I,CONCATENATE($B59,AJ$16,"W"))+COUNTIFS(Database!$F:$I,CONCATENATE(AJ$16,$B59,"W"))</f>
        <v>0</v>
      </c>
      <c r="AK59" s="123">
        <f>COUNTIFS(Database!$F:$I,CONCATENATE($B59,AK$16,"L"))+COUNTIFS(Database!$F:$I,CONCATENATE(AK$16,$B59,"L"))+COUNTIFS(Database!$F:$I,CONCATENATE($B59,AK$16,"W"))+COUNTIFS(Database!$F:$I,CONCATENATE(AK$16,$B59,"W"))</f>
        <v>0</v>
      </c>
      <c r="AL59" s="123">
        <f>COUNTIFS(Database!$F:$I,CONCATENATE($B59,AL$16,"L"))+COUNTIFS(Database!$F:$I,CONCATENATE(AL$16,$B59,"L"))+COUNTIFS(Database!$F:$I,CONCATENATE($B59,AL$16,"W"))+COUNTIFS(Database!$F:$I,CONCATENATE(AL$16,$B59,"W"))</f>
        <v>0</v>
      </c>
      <c r="AM59" s="123">
        <f>COUNTIFS(Database!$F:$I,CONCATENATE($B59,AM$16,"L"))+COUNTIFS(Database!$F:$I,CONCATENATE(AM$16,$B59,"L"))+COUNTIFS(Database!$F:$I,CONCATENATE($B59,AM$16,"W"))+COUNTIFS(Database!$F:$I,CONCATENATE(AM$16,$B59,"W"))</f>
        <v>0</v>
      </c>
      <c r="AN59" s="123">
        <f>COUNTIFS(Database!$F:$I,CONCATENATE($B59,AN$16,"L"))+COUNTIFS(Database!$F:$I,CONCATENATE(AN$16,$B59,"L"))+COUNTIFS(Database!$F:$I,CONCATENATE($B59,AN$16,"W"))+COUNTIFS(Database!$F:$I,CONCATENATE(AN$16,$B59,"W"))</f>
        <v>0</v>
      </c>
      <c r="AO59" s="123">
        <f>COUNTIFS(Database!$F:$I,CONCATENATE($B59,AO$16,"L"))+COUNTIFS(Database!$F:$I,CONCATENATE(AO$16,$B59,"L"))+COUNTIFS(Database!$F:$I,CONCATENATE($B59,AO$16,"W"))+COUNTIFS(Database!$F:$I,CONCATENATE(AO$16,$B59,"W"))</f>
        <v>0</v>
      </c>
      <c r="AP59" s="123">
        <f>COUNTIFS(Database!$F:$I,CONCATENATE($B59,AP$16,"L"))+COUNTIFS(Database!$F:$I,CONCATENATE(AP$16,$B59,"L"))+COUNTIFS(Database!$F:$I,CONCATENATE($B59,AP$16,"W"))+COUNTIFS(Database!$F:$I,CONCATENATE(AP$16,$B59,"W"))</f>
        <v>0</v>
      </c>
      <c r="AQ59" s="123">
        <f>COUNTIFS(Database!$F:$I,CONCATENATE($B59,AQ$16,"L"))+COUNTIFS(Database!$F:$I,CONCATENATE(AQ$16,$B59,"L"))+COUNTIFS(Database!$F:$I,CONCATENATE($B59,AQ$16,"W"))+COUNTIFS(Database!$F:$I,CONCATENATE(AQ$16,$B59,"W"))</f>
        <v>0</v>
      </c>
      <c r="AR59" s="123">
        <f>COUNTIFS(Database!$F:$I,CONCATENATE($B59,AR$16,"L"))+COUNTIFS(Database!$F:$I,CONCATENATE(AR$16,$B59,"L"))+COUNTIFS(Database!$F:$I,CONCATENATE($B59,AR$16,"W"))+COUNTIFS(Database!$F:$I,CONCATENATE(AR$16,$B59,"W"))</f>
        <v>1</v>
      </c>
      <c r="AS59" s="123">
        <f>COUNTIFS(Database!$F:$I,CONCATENATE($B59,AS$16,"L"))+COUNTIFS(Database!$F:$I,CONCATENATE(AS$16,$B59,"L"))+COUNTIFS(Database!$F:$I,CONCATENATE($B59,AS$16,"W"))+COUNTIFS(Database!$F:$I,CONCATENATE(AS$16,$B59,"W"))</f>
        <v>0</v>
      </c>
      <c r="AT59" s="123">
        <f>COUNTIFS(Database!$F:$I,CONCATENATE($B59,AT$16,"L"))+COUNTIFS(Database!$F:$I,CONCATENATE(AT$16,$B59,"L"))+COUNTIFS(Database!$F:$I,CONCATENATE($B59,AT$16,"W"))+COUNTIFS(Database!$F:$I,CONCATENATE(AT$16,$B59,"W"))</f>
        <v>0</v>
      </c>
      <c r="AU59" s="123">
        <f>COUNTIFS(Database!$F:$I,CONCATENATE($B59,AU$16,"L"))+COUNTIFS(Database!$F:$I,CONCATENATE(AU$16,$B59,"L"))+COUNTIFS(Database!$F:$I,CONCATENATE($B59,AU$16,"W"))+COUNTIFS(Database!$F:$I,CONCATENATE(AU$16,$B59,"W"))</f>
        <v>0</v>
      </c>
      <c r="AV59" s="123">
        <f>COUNTIFS(Database!$F:$I,CONCATENATE($B59,AV$16,"L"))+COUNTIFS(Database!$F:$I,CONCATENATE(AV$16,$B59,"L"))+COUNTIFS(Database!$F:$I,CONCATENATE($B59,AV$16,"W"))+COUNTIFS(Database!$F:$I,CONCATENATE(AV$16,$B59,"W"))</f>
        <v>0</v>
      </c>
      <c r="AW59" s="123">
        <f>COUNTIFS(Database!$F:$I,CONCATENATE($B59,AW$16,"L"))+COUNTIFS(Database!$F:$I,CONCATENATE(AW$16,$B59,"L"))+COUNTIFS(Database!$F:$I,CONCATENATE($B59,AW$16,"W"))+COUNTIFS(Database!$F:$I,CONCATENATE(AW$16,$B59,"W"))</f>
        <v>0</v>
      </c>
      <c r="AX59" s="123">
        <f>COUNTIFS(Database!$F:$I,CONCATENATE($B59,AX$16,"L"))+COUNTIFS(Database!$F:$I,CONCATENATE(AX$16,$B59,"L"))+COUNTIFS(Database!$F:$I,CONCATENATE($B59,AX$16,"W"))+COUNTIFS(Database!$F:$I,CONCATENATE(AX$16,$B59,"W"))</f>
        <v>0</v>
      </c>
      <c r="AY59" s="123">
        <f>COUNTIFS(Database!$F:$I,CONCATENATE($B59,AY$16,"L"))+COUNTIFS(Database!$F:$I,CONCATENATE(AY$16,$B59,"L"))+COUNTIFS(Database!$F:$I,CONCATENATE($B59,AY$16,"W"))+COUNTIFS(Database!$F:$I,CONCATENATE(AY$16,$B59,"W"))</f>
        <v>1</v>
      </c>
    </row>
    <row r="60" spans="2:51" x14ac:dyDescent="0.25">
      <c r="B60" s="120" t="s">
        <v>13</v>
      </c>
      <c r="C60" s="123">
        <f>COUNTIFS(Database!$F:$I,CONCATENATE($B60,C$16,"L"))+COUNTIFS(Database!$F:$I,CONCATENATE(C$16,$B60,"L"))+COUNTIFS(Database!$F:$I,CONCATENATE($B60,C$16,"W"))+COUNTIFS(Database!$F:$I,CONCATENATE(C$16,$B60,"W"))</f>
        <v>0</v>
      </c>
      <c r="D60" s="123">
        <f>COUNTIFS(Database!$F:$I,CONCATENATE($B60,D$16,"L"))+COUNTIFS(Database!$F:$I,CONCATENATE(D$16,$B60,"L"))+COUNTIFS(Database!$F:$I,CONCATENATE($B60,D$16,"W"))+COUNTIFS(Database!$F:$I,CONCATENATE(D$16,$B60,"W"))</f>
        <v>0</v>
      </c>
      <c r="E60" s="123">
        <f>COUNTIFS(Database!$F:$I,CONCATENATE($B60,E$16,"L"))+COUNTIFS(Database!$F:$I,CONCATENATE(E$16,$B60,"L"))+COUNTIFS(Database!$F:$I,CONCATENATE($B60,E$16,"W"))+COUNTIFS(Database!$F:$I,CONCATENATE(E$16,$B60,"W"))</f>
        <v>0</v>
      </c>
      <c r="F60" s="123">
        <f>COUNTIFS(Database!$F:$I,CONCATENATE($B60,F$16,"L"))+COUNTIFS(Database!$F:$I,CONCATENATE(F$16,$B60,"L"))+COUNTIFS(Database!$F:$I,CONCATENATE($B60,F$16,"W"))+COUNTIFS(Database!$F:$I,CONCATENATE(F$16,$B60,"W"))</f>
        <v>0</v>
      </c>
      <c r="G60" s="123">
        <f>COUNTIFS(Database!$F:$I,CONCATENATE($B60,G$16,"L"))+COUNTIFS(Database!$F:$I,CONCATENATE(G$16,$B60,"L"))+COUNTIFS(Database!$F:$I,CONCATENATE($B60,G$16,"W"))+COUNTIFS(Database!$F:$I,CONCATENATE(G$16,$B60,"W"))</f>
        <v>0</v>
      </c>
      <c r="H60" s="123">
        <f>COUNTIFS(Database!$F:$I,CONCATENATE($B60,H$16,"L"))+COUNTIFS(Database!$F:$I,CONCATENATE(H$16,$B60,"L"))+COUNTIFS(Database!$F:$I,CONCATENATE($B60,H$16,"W"))+COUNTIFS(Database!$F:$I,CONCATENATE(H$16,$B60,"W"))</f>
        <v>0</v>
      </c>
      <c r="I60" s="123">
        <f>COUNTIFS(Database!$F:$I,CONCATENATE($B60,I$16,"L"))+COUNTIFS(Database!$F:$I,CONCATENATE(I$16,$B60,"L"))+COUNTIFS(Database!$F:$I,CONCATENATE($B60,I$16,"W"))+COUNTIFS(Database!$F:$I,CONCATENATE(I$16,$B60,"W"))</f>
        <v>0</v>
      </c>
      <c r="J60" s="123">
        <f>COUNTIFS(Database!$F:$I,CONCATENATE($B60,J$16,"L"))+COUNTIFS(Database!$F:$I,CONCATENATE(J$16,$B60,"L"))+COUNTIFS(Database!$F:$I,CONCATENATE($B60,J$16,"W"))+COUNTIFS(Database!$F:$I,CONCATENATE(J$16,$B60,"W"))</f>
        <v>0</v>
      </c>
      <c r="K60" s="123">
        <f>COUNTIFS(Database!$F:$I,CONCATENATE($B60,K$16,"L"))+COUNTIFS(Database!$F:$I,CONCATENATE(K$16,$B60,"L"))+COUNTIFS(Database!$F:$I,CONCATENATE($B60,K$16,"W"))+COUNTIFS(Database!$F:$I,CONCATENATE(K$16,$B60,"W"))</f>
        <v>0</v>
      </c>
      <c r="L60" s="123">
        <f>COUNTIFS(Database!$F:$I,CONCATENATE($B60,L$16,"L"))+COUNTIFS(Database!$F:$I,CONCATENATE(L$16,$B60,"L"))+COUNTIFS(Database!$F:$I,CONCATENATE($B60,L$16,"W"))+COUNTIFS(Database!$F:$I,CONCATENATE(L$16,$B60,"W"))</f>
        <v>0</v>
      </c>
      <c r="M60" s="123">
        <f>COUNTIFS(Database!$F:$I,CONCATENATE($B60,M$16,"L"))+COUNTIFS(Database!$F:$I,CONCATENATE(M$16,$B60,"L"))+COUNTIFS(Database!$F:$I,CONCATENATE($B60,M$16,"W"))+COUNTIFS(Database!$F:$I,CONCATENATE(M$16,$B60,"W"))</f>
        <v>2</v>
      </c>
      <c r="N60" s="123">
        <f>COUNTIFS(Database!$F:$I,CONCATENATE($B60,N$16,"L"))+COUNTIFS(Database!$F:$I,CONCATENATE(N$16,$B60,"L"))+COUNTIFS(Database!$F:$I,CONCATENATE($B60,N$16,"W"))+COUNTIFS(Database!$F:$I,CONCATENATE(N$16,$B60,"W"))</f>
        <v>0</v>
      </c>
      <c r="O60" s="123">
        <f>COUNTIFS(Database!$F:$I,CONCATENATE($B60,O$16,"L"))+COUNTIFS(Database!$F:$I,CONCATENATE(O$16,$B60,"L"))+COUNTIFS(Database!$F:$I,CONCATENATE($B60,O$16,"W"))+COUNTIFS(Database!$F:$I,CONCATENATE(O$16,$B60,"W"))</f>
        <v>2</v>
      </c>
      <c r="P60" s="123">
        <f>COUNTIFS(Database!$F:$I,CONCATENATE($B60,P$16,"L"))+COUNTIFS(Database!$F:$I,CONCATENATE(P$16,$B60,"L"))+COUNTIFS(Database!$F:$I,CONCATENATE($B60,P$16,"W"))+COUNTIFS(Database!$F:$I,CONCATENATE(P$16,$B60,"W"))</f>
        <v>0</v>
      </c>
      <c r="Q60" s="123">
        <f>COUNTIFS(Database!$F:$I,CONCATENATE($B60,Q$16,"L"))+COUNTIFS(Database!$F:$I,CONCATENATE(Q$16,$B60,"L"))+COUNTIFS(Database!$F:$I,CONCATENATE($B60,Q$16,"W"))+COUNTIFS(Database!$F:$I,CONCATENATE(Q$16,$B60,"W"))</f>
        <v>0</v>
      </c>
      <c r="R60" s="123">
        <f>COUNTIFS(Database!$F:$I,CONCATENATE($B60,R$16,"L"))+COUNTIFS(Database!$F:$I,CONCATENATE(R$16,$B60,"L"))+COUNTIFS(Database!$F:$I,CONCATENATE($B60,R$16,"W"))+COUNTIFS(Database!$F:$I,CONCATENATE(R$16,$B60,"W"))</f>
        <v>0</v>
      </c>
      <c r="S60" s="123">
        <f>COUNTIFS(Database!$F:$I,CONCATENATE($B60,S$16,"L"))+COUNTIFS(Database!$F:$I,CONCATENATE(S$16,$B60,"L"))+COUNTIFS(Database!$F:$I,CONCATENATE($B60,S$16,"W"))+COUNTIFS(Database!$F:$I,CONCATENATE(S$16,$B60,"W"))</f>
        <v>0</v>
      </c>
      <c r="T60" s="123">
        <f>COUNTIFS(Database!$F:$I,CONCATENATE($B60,T$16,"L"))+COUNTIFS(Database!$F:$I,CONCATENATE(T$16,$B60,"L"))+COUNTIFS(Database!$F:$I,CONCATENATE($B60,T$16,"W"))+COUNTIFS(Database!$F:$I,CONCATENATE(T$16,$B60,"W"))</f>
        <v>0</v>
      </c>
      <c r="U60" s="123">
        <f>COUNTIFS(Database!$F:$I,CONCATENATE($B60,U$16,"L"))+COUNTIFS(Database!$F:$I,CONCATENATE(U$16,$B60,"L"))+COUNTIFS(Database!$F:$I,CONCATENATE($B60,U$16,"W"))+COUNTIFS(Database!$F:$I,CONCATENATE(U$16,$B60,"W"))</f>
        <v>0</v>
      </c>
      <c r="V60" s="123">
        <f>COUNTIFS(Database!$F:$I,CONCATENATE($B60,V$16,"L"))+COUNTIFS(Database!$F:$I,CONCATENATE(V$16,$B60,"L"))+COUNTIFS(Database!$F:$I,CONCATENATE($B60,V$16,"W"))+COUNTIFS(Database!$F:$I,CONCATENATE(V$16,$B60,"W"))</f>
        <v>0</v>
      </c>
      <c r="W60" s="123">
        <f>COUNTIFS(Database!$F:$I,CONCATENATE($B60,W$16,"L"))+COUNTIFS(Database!$F:$I,CONCATENATE(W$16,$B60,"L"))+COUNTIFS(Database!$F:$I,CONCATENATE($B60,W$16,"W"))+COUNTIFS(Database!$F:$I,CONCATENATE(W$16,$B60,"W"))</f>
        <v>0</v>
      </c>
      <c r="X60" s="123">
        <f>COUNTIFS(Database!$F:$I,CONCATENATE($B60,X$16,"L"))+COUNTIFS(Database!$F:$I,CONCATENATE(X$16,$B60,"L"))+COUNTIFS(Database!$F:$I,CONCATENATE($B60,X$16,"W"))+COUNTIFS(Database!$F:$I,CONCATENATE(X$16,$B60,"W"))</f>
        <v>0</v>
      </c>
      <c r="Y60" s="123">
        <f>COUNTIFS(Database!$F:$I,CONCATENATE($B60,Y$16,"L"))+COUNTIFS(Database!$F:$I,CONCATENATE(Y$16,$B60,"L"))+COUNTIFS(Database!$F:$I,CONCATENATE($B60,Y$16,"W"))+COUNTIFS(Database!$F:$I,CONCATENATE(Y$16,$B60,"W"))</f>
        <v>0</v>
      </c>
      <c r="Z60" s="123">
        <f>COUNTIFS(Database!$F:$I,CONCATENATE($B60,Z$16,"L"))+COUNTIFS(Database!$F:$I,CONCATENATE(Z$16,$B60,"L"))+COUNTIFS(Database!$F:$I,CONCATENATE($B60,Z$16,"W"))+COUNTIFS(Database!$F:$I,CONCATENATE(Z$16,$B60,"W"))</f>
        <v>0</v>
      </c>
      <c r="AA60" s="123">
        <f>COUNTIFS(Database!$F:$I,CONCATENATE($B60,AA$16,"L"))+COUNTIFS(Database!$F:$I,CONCATENATE(AA$16,$B60,"L"))+COUNTIFS(Database!$F:$I,CONCATENATE($B60,AA$16,"W"))+COUNTIFS(Database!$F:$I,CONCATENATE(AA$16,$B60,"W"))</f>
        <v>0</v>
      </c>
      <c r="AB60" s="123">
        <f>COUNTIFS(Database!$F:$I,CONCATENATE($B60,AB$16,"L"))+COUNTIFS(Database!$F:$I,CONCATENATE(AB$16,$B60,"L"))+COUNTIFS(Database!$F:$I,CONCATENATE($B60,AB$16,"W"))+COUNTIFS(Database!$F:$I,CONCATENATE(AB$16,$B60,"W"))</f>
        <v>0</v>
      </c>
      <c r="AC60" s="123">
        <f>COUNTIFS(Database!$F:$I,CONCATENATE($B60,AC$16,"L"))+COUNTIFS(Database!$F:$I,CONCATENATE(AC$16,$B60,"L"))+COUNTIFS(Database!$F:$I,CONCATENATE($B60,AC$16,"W"))+COUNTIFS(Database!$F:$I,CONCATENATE(AC$16,$B60,"W"))</f>
        <v>0</v>
      </c>
      <c r="AD60" s="123">
        <f>COUNTIFS(Database!$F:$I,CONCATENATE($B60,AD$16,"L"))+COUNTIFS(Database!$F:$I,CONCATENATE(AD$16,$B60,"L"))+COUNTIFS(Database!$F:$I,CONCATENATE($B60,AD$16,"W"))+COUNTIFS(Database!$F:$I,CONCATENATE(AD$16,$B60,"W"))</f>
        <v>0</v>
      </c>
      <c r="AE60" s="123">
        <f>COUNTIFS(Database!$F:$I,CONCATENATE($B60,AE$16,"L"))+COUNTIFS(Database!$F:$I,CONCATENATE(AE$16,$B60,"L"))+COUNTIFS(Database!$F:$I,CONCATENATE($B60,AE$16,"W"))+COUNTIFS(Database!$F:$I,CONCATENATE(AE$16,$B60,"W"))</f>
        <v>0</v>
      </c>
      <c r="AF60" s="123">
        <f>COUNTIFS(Database!$F:$I,CONCATENATE($B60,AF$16,"L"))+COUNTIFS(Database!$F:$I,CONCATENATE(AF$16,$B60,"L"))+COUNTIFS(Database!$F:$I,CONCATENATE($B60,AF$16,"W"))+COUNTIFS(Database!$F:$I,CONCATENATE(AF$16,$B60,"W"))</f>
        <v>0</v>
      </c>
      <c r="AG60" s="123">
        <f>COUNTIFS(Database!$F:$I,CONCATENATE($B60,AG$16,"L"))+COUNTIFS(Database!$F:$I,CONCATENATE(AG$16,$B60,"L"))+COUNTIFS(Database!$F:$I,CONCATENATE($B60,AG$16,"W"))+COUNTIFS(Database!$F:$I,CONCATENATE(AG$16,$B60,"W"))</f>
        <v>0</v>
      </c>
      <c r="AH60" s="123">
        <f>COUNTIFS(Database!$F:$I,CONCATENATE($B60,AH$16,"L"))+COUNTIFS(Database!$F:$I,CONCATENATE(AH$16,$B60,"L"))+COUNTIFS(Database!$F:$I,CONCATENATE($B60,AH$16,"W"))+COUNTIFS(Database!$F:$I,CONCATENATE(AH$16,$B60,"W"))</f>
        <v>0</v>
      </c>
      <c r="AI60" s="123">
        <f>COUNTIFS(Database!$F:$I,CONCATENATE($B60,AI$16,"L"))+COUNTIFS(Database!$F:$I,CONCATENATE(AI$16,$B60,"L"))+COUNTIFS(Database!$F:$I,CONCATENATE($B60,AI$16,"W"))+COUNTIFS(Database!$F:$I,CONCATENATE(AI$16,$B60,"W"))</f>
        <v>0</v>
      </c>
      <c r="AJ60" s="123">
        <f>COUNTIFS(Database!$F:$I,CONCATENATE($B60,AJ$16,"L"))+COUNTIFS(Database!$F:$I,CONCATENATE(AJ$16,$B60,"L"))+COUNTIFS(Database!$F:$I,CONCATENATE($B60,AJ$16,"W"))+COUNTIFS(Database!$F:$I,CONCATENATE(AJ$16,$B60,"W"))</f>
        <v>0</v>
      </c>
      <c r="AK60" s="123">
        <f>COUNTIFS(Database!$F:$I,CONCATENATE($B60,AK$16,"L"))+COUNTIFS(Database!$F:$I,CONCATENATE(AK$16,$B60,"L"))+COUNTIFS(Database!$F:$I,CONCATENATE($B60,AK$16,"W"))+COUNTIFS(Database!$F:$I,CONCATENATE(AK$16,$B60,"W"))</f>
        <v>2</v>
      </c>
      <c r="AL60" s="123">
        <f>COUNTIFS(Database!$F:$I,CONCATENATE($B60,AL$16,"L"))+COUNTIFS(Database!$F:$I,CONCATENATE(AL$16,$B60,"L"))+COUNTIFS(Database!$F:$I,CONCATENATE($B60,AL$16,"W"))+COUNTIFS(Database!$F:$I,CONCATENATE(AL$16,$B60,"W"))</f>
        <v>0</v>
      </c>
      <c r="AM60" s="123">
        <f>COUNTIFS(Database!$F:$I,CONCATENATE($B60,AM$16,"L"))+COUNTIFS(Database!$F:$I,CONCATENATE(AM$16,$B60,"L"))+COUNTIFS(Database!$F:$I,CONCATENATE($B60,AM$16,"W"))+COUNTIFS(Database!$F:$I,CONCATENATE(AM$16,$B60,"W"))</f>
        <v>0</v>
      </c>
      <c r="AN60" s="123">
        <f>COUNTIFS(Database!$F:$I,CONCATENATE($B60,AN$16,"L"))+COUNTIFS(Database!$F:$I,CONCATENATE(AN$16,$B60,"L"))+COUNTIFS(Database!$F:$I,CONCATENATE($B60,AN$16,"W"))+COUNTIFS(Database!$F:$I,CONCATENATE(AN$16,$B60,"W"))</f>
        <v>0</v>
      </c>
      <c r="AO60" s="123">
        <f>COUNTIFS(Database!$F:$I,CONCATENATE($B60,AO$16,"L"))+COUNTIFS(Database!$F:$I,CONCATENATE(AO$16,$B60,"L"))+COUNTIFS(Database!$F:$I,CONCATENATE($B60,AO$16,"W"))+COUNTIFS(Database!$F:$I,CONCATENATE(AO$16,$B60,"W"))</f>
        <v>0</v>
      </c>
      <c r="AP60" s="123">
        <f>COUNTIFS(Database!$F:$I,CONCATENATE($B60,AP$16,"L"))+COUNTIFS(Database!$F:$I,CONCATENATE(AP$16,$B60,"L"))+COUNTIFS(Database!$F:$I,CONCATENATE($B60,AP$16,"W"))+COUNTIFS(Database!$F:$I,CONCATENATE(AP$16,$B60,"W"))</f>
        <v>0</v>
      </c>
      <c r="AQ60" s="123">
        <f>COUNTIFS(Database!$F:$I,CONCATENATE($B60,AQ$16,"L"))+COUNTIFS(Database!$F:$I,CONCATENATE(AQ$16,$B60,"L"))+COUNTIFS(Database!$F:$I,CONCATENATE($B60,AQ$16,"W"))+COUNTIFS(Database!$F:$I,CONCATENATE(AQ$16,$B60,"W"))</f>
        <v>0</v>
      </c>
      <c r="AR60" s="123">
        <f>COUNTIFS(Database!$F:$I,CONCATENATE($B60,AR$16,"L"))+COUNTIFS(Database!$F:$I,CONCATENATE(AR$16,$B60,"L"))+COUNTIFS(Database!$F:$I,CONCATENATE($B60,AR$16,"W"))+COUNTIFS(Database!$F:$I,CONCATENATE(AR$16,$B60,"W"))</f>
        <v>0</v>
      </c>
      <c r="AS60" s="123">
        <f>COUNTIFS(Database!$F:$I,CONCATENATE($B60,AS$16,"L"))+COUNTIFS(Database!$F:$I,CONCATENATE(AS$16,$B60,"L"))+COUNTIFS(Database!$F:$I,CONCATENATE($B60,AS$16,"W"))+COUNTIFS(Database!$F:$I,CONCATENATE(AS$16,$B60,"W"))</f>
        <v>0</v>
      </c>
      <c r="AT60" s="123">
        <f>COUNTIFS(Database!$F:$I,CONCATENATE($B60,AT$16,"L"))+COUNTIFS(Database!$F:$I,CONCATENATE(AT$16,$B60,"L"))+COUNTIFS(Database!$F:$I,CONCATENATE($B60,AT$16,"W"))+COUNTIFS(Database!$F:$I,CONCATENATE(AT$16,$B60,"W"))</f>
        <v>0</v>
      </c>
      <c r="AU60" s="123">
        <f>COUNTIFS(Database!$F:$I,CONCATENATE($B60,AU$16,"L"))+COUNTIFS(Database!$F:$I,CONCATENATE(AU$16,$B60,"L"))+COUNTIFS(Database!$F:$I,CONCATENATE($B60,AU$16,"W"))+COUNTIFS(Database!$F:$I,CONCATENATE(AU$16,$B60,"W"))</f>
        <v>2</v>
      </c>
      <c r="AV60" s="123">
        <f>COUNTIFS(Database!$F:$I,CONCATENATE($B60,AV$16,"L"))+COUNTIFS(Database!$F:$I,CONCATENATE(AV$16,$B60,"L"))+COUNTIFS(Database!$F:$I,CONCATENATE($B60,AV$16,"W"))+COUNTIFS(Database!$F:$I,CONCATENATE(AV$16,$B60,"W"))</f>
        <v>0</v>
      </c>
      <c r="AW60" s="123">
        <f>COUNTIFS(Database!$F:$I,CONCATENATE($B60,AW$16,"L"))+COUNTIFS(Database!$F:$I,CONCATENATE(AW$16,$B60,"L"))+COUNTIFS(Database!$F:$I,CONCATENATE($B60,AW$16,"W"))+COUNTIFS(Database!$F:$I,CONCATENATE(AW$16,$B60,"W"))</f>
        <v>0</v>
      </c>
      <c r="AX60" s="123">
        <f>COUNTIFS(Database!$F:$I,CONCATENATE($B60,AX$16,"L"))+COUNTIFS(Database!$F:$I,CONCATENATE(AX$16,$B60,"L"))+COUNTIFS(Database!$F:$I,CONCATENATE($B60,AX$16,"W"))+COUNTIFS(Database!$F:$I,CONCATENATE(AX$16,$B60,"W"))</f>
        <v>0</v>
      </c>
      <c r="AY60" s="123">
        <f>COUNTIFS(Database!$F:$I,CONCATENATE($B60,AY$16,"L"))+COUNTIFS(Database!$F:$I,CONCATENATE(AY$16,$B60,"L"))+COUNTIFS(Database!$F:$I,CONCATENATE($B60,AY$16,"W"))+COUNTIFS(Database!$F:$I,CONCATENATE(AY$16,$B60,"W"))</f>
        <v>0</v>
      </c>
    </row>
    <row r="61" spans="2:51" x14ac:dyDescent="0.25">
      <c r="B61" s="120" t="s">
        <v>37</v>
      </c>
      <c r="C61" s="123">
        <f>COUNTIFS(Database!$F:$I,CONCATENATE($B61,C$16,"L"))+COUNTIFS(Database!$F:$I,CONCATENATE(C$16,$B61,"L"))+COUNTIFS(Database!$F:$I,CONCATENATE($B61,C$16,"W"))+COUNTIFS(Database!$F:$I,CONCATENATE(C$16,$B61,"W"))</f>
        <v>10</v>
      </c>
      <c r="D61" s="123">
        <f>COUNTIFS(Database!$F:$I,CONCATENATE($B61,D$16,"L"))+COUNTIFS(Database!$F:$I,CONCATENATE(D$16,$B61,"L"))+COUNTIFS(Database!$F:$I,CONCATENATE($B61,D$16,"W"))+COUNTIFS(Database!$F:$I,CONCATENATE(D$16,$B61,"W"))</f>
        <v>1</v>
      </c>
      <c r="E61" s="123">
        <f>COUNTIFS(Database!$F:$I,CONCATENATE($B61,E$16,"L"))+COUNTIFS(Database!$F:$I,CONCATENATE(E$16,$B61,"L"))+COUNTIFS(Database!$F:$I,CONCATENATE($B61,E$16,"W"))+COUNTIFS(Database!$F:$I,CONCATENATE(E$16,$B61,"W"))</f>
        <v>3</v>
      </c>
      <c r="F61" s="123">
        <f>COUNTIFS(Database!$F:$I,CONCATENATE($B61,F$16,"L"))+COUNTIFS(Database!$F:$I,CONCATENATE(F$16,$B61,"L"))+COUNTIFS(Database!$F:$I,CONCATENATE($B61,F$16,"W"))+COUNTIFS(Database!$F:$I,CONCATENATE(F$16,$B61,"W"))</f>
        <v>2</v>
      </c>
      <c r="G61" s="123">
        <f>COUNTIFS(Database!$F:$I,CONCATENATE($B61,G$16,"L"))+COUNTIFS(Database!$F:$I,CONCATENATE(G$16,$B61,"L"))+COUNTIFS(Database!$F:$I,CONCATENATE($B61,G$16,"W"))+COUNTIFS(Database!$F:$I,CONCATENATE(G$16,$B61,"W"))</f>
        <v>0</v>
      </c>
      <c r="H61" s="123">
        <f>COUNTIFS(Database!$F:$I,CONCATENATE($B61,H$16,"L"))+COUNTIFS(Database!$F:$I,CONCATENATE(H$16,$B61,"L"))+COUNTIFS(Database!$F:$I,CONCATENATE($B61,H$16,"W"))+COUNTIFS(Database!$F:$I,CONCATENATE(H$16,$B61,"W"))</f>
        <v>0</v>
      </c>
      <c r="I61" s="123">
        <f>COUNTIFS(Database!$F:$I,CONCATENATE($B61,I$16,"L"))+COUNTIFS(Database!$F:$I,CONCATENATE(I$16,$B61,"L"))+COUNTIFS(Database!$F:$I,CONCATENATE($B61,I$16,"W"))+COUNTIFS(Database!$F:$I,CONCATENATE(I$16,$B61,"W"))</f>
        <v>1</v>
      </c>
      <c r="J61" s="123">
        <f>COUNTIFS(Database!$F:$I,CONCATENATE($B61,J$16,"L"))+COUNTIFS(Database!$F:$I,CONCATENATE(J$16,$B61,"L"))+COUNTIFS(Database!$F:$I,CONCATENATE($B61,J$16,"W"))+COUNTIFS(Database!$F:$I,CONCATENATE(J$16,$B61,"W"))</f>
        <v>3</v>
      </c>
      <c r="K61" s="123">
        <f>COUNTIFS(Database!$F:$I,CONCATENATE($B61,K$16,"L"))+COUNTIFS(Database!$F:$I,CONCATENATE(K$16,$B61,"L"))+COUNTIFS(Database!$F:$I,CONCATENATE($B61,K$16,"W"))+COUNTIFS(Database!$F:$I,CONCATENATE(K$16,$B61,"W"))</f>
        <v>7</v>
      </c>
      <c r="L61" s="123">
        <f>COUNTIFS(Database!$F:$I,CONCATENATE($B61,L$16,"L"))+COUNTIFS(Database!$F:$I,CONCATENATE(L$16,$B61,"L"))+COUNTIFS(Database!$F:$I,CONCATENATE($B61,L$16,"W"))+COUNTIFS(Database!$F:$I,CONCATENATE(L$16,$B61,"W"))</f>
        <v>0</v>
      </c>
      <c r="M61" s="123">
        <f>COUNTIFS(Database!$F:$I,CONCATENATE($B61,M$16,"L"))+COUNTIFS(Database!$F:$I,CONCATENATE(M$16,$B61,"L"))+COUNTIFS(Database!$F:$I,CONCATENATE($B61,M$16,"W"))+COUNTIFS(Database!$F:$I,CONCATENATE(M$16,$B61,"W"))</f>
        <v>2</v>
      </c>
      <c r="N61" s="123">
        <f>COUNTIFS(Database!$F:$I,CONCATENATE($B61,N$16,"L"))+COUNTIFS(Database!$F:$I,CONCATENATE(N$16,$B61,"L"))+COUNTIFS(Database!$F:$I,CONCATENATE($B61,N$16,"W"))+COUNTIFS(Database!$F:$I,CONCATENATE(N$16,$B61,"W"))</f>
        <v>0</v>
      </c>
      <c r="O61" s="123">
        <f>COUNTIFS(Database!$F:$I,CONCATENATE($B61,O$16,"L"))+COUNTIFS(Database!$F:$I,CONCATENATE(O$16,$B61,"L"))+COUNTIFS(Database!$F:$I,CONCATENATE($B61,O$16,"W"))+COUNTIFS(Database!$F:$I,CONCATENATE(O$16,$B61,"W"))</f>
        <v>7</v>
      </c>
      <c r="P61" s="123">
        <f>COUNTIFS(Database!$F:$I,CONCATENATE($B61,P$16,"L"))+COUNTIFS(Database!$F:$I,CONCATENATE(P$16,$B61,"L"))+COUNTIFS(Database!$F:$I,CONCATENATE($B61,P$16,"W"))+COUNTIFS(Database!$F:$I,CONCATENATE(P$16,$B61,"W"))</f>
        <v>0</v>
      </c>
      <c r="Q61" s="123">
        <f>COUNTIFS(Database!$F:$I,CONCATENATE($B61,Q$16,"L"))+COUNTIFS(Database!$F:$I,CONCATENATE(Q$16,$B61,"L"))+COUNTIFS(Database!$F:$I,CONCATENATE($B61,Q$16,"W"))+COUNTIFS(Database!$F:$I,CONCATENATE(Q$16,$B61,"W"))</f>
        <v>0</v>
      </c>
      <c r="R61" s="123">
        <f>COUNTIFS(Database!$F:$I,CONCATENATE($B61,R$16,"L"))+COUNTIFS(Database!$F:$I,CONCATENATE(R$16,$B61,"L"))+COUNTIFS(Database!$F:$I,CONCATENATE($B61,R$16,"W"))+COUNTIFS(Database!$F:$I,CONCATENATE(R$16,$B61,"W"))</f>
        <v>0</v>
      </c>
      <c r="S61" s="123">
        <f>COUNTIFS(Database!$F:$I,CONCATENATE($B61,S$16,"L"))+COUNTIFS(Database!$F:$I,CONCATENATE(S$16,$B61,"L"))+COUNTIFS(Database!$F:$I,CONCATENATE($B61,S$16,"W"))+COUNTIFS(Database!$F:$I,CONCATENATE(S$16,$B61,"W"))</f>
        <v>1</v>
      </c>
      <c r="T61" s="123">
        <f>COUNTIFS(Database!$F:$I,CONCATENATE($B61,T$16,"L"))+COUNTIFS(Database!$F:$I,CONCATENATE(T$16,$B61,"L"))+COUNTIFS(Database!$F:$I,CONCATENATE($B61,T$16,"W"))+COUNTIFS(Database!$F:$I,CONCATENATE(T$16,$B61,"W"))</f>
        <v>0</v>
      </c>
      <c r="U61" s="123">
        <f>COUNTIFS(Database!$F:$I,CONCATENATE($B61,U$16,"L"))+COUNTIFS(Database!$F:$I,CONCATENATE(U$16,$B61,"L"))+COUNTIFS(Database!$F:$I,CONCATENATE($B61,U$16,"W"))+COUNTIFS(Database!$F:$I,CONCATENATE(U$16,$B61,"W"))</f>
        <v>0</v>
      </c>
      <c r="V61" s="123">
        <f>COUNTIFS(Database!$F:$I,CONCATENATE($B61,V$16,"L"))+COUNTIFS(Database!$F:$I,CONCATENATE(V$16,$B61,"L"))+COUNTIFS(Database!$F:$I,CONCATENATE($B61,V$16,"W"))+COUNTIFS(Database!$F:$I,CONCATENATE(V$16,$B61,"W"))</f>
        <v>0</v>
      </c>
      <c r="W61" s="123">
        <f>COUNTIFS(Database!$F:$I,CONCATENATE($B61,W$16,"L"))+COUNTIFS(Database!$F:$I,CONCATENATE(W$16,$B61,"L"))+COUNTIFS(Database!$F:$I,CONCATENATE($B61,W$16,"W"))+COUNTIFS(Database!$F:$I,CONCATENATE(W$16,$B61,"W"))</f>
        <v>10</v>
      </c>
      <c r="X61" s="123">
        <f>COUNTIFS(Database!$F:$I,CONCATENATE($B61,X$16,"L"))+COUNTIFS(Database!$F:$I,CONCATENATE(X$16,$B61,"L"))+COUNTIFS(Database!$F:$I,CONCATENATE($B61,X$16,"W"))+COUNTIFS(Database!$F:$I,CONCATENATE(X$16,$B61,"W"))</f>
        <v>0</v>
      </c>
      <c r="Y61" s="123">
        <f>COUNTIFS(Database!$F:$I,CONCATENATE($B61,Y$16,"L"))+COUNTIFS(Database!$F:$I,CONCATENATE(Y$16,$B61,"L"))+COUNTIFS(Database!$F:$I,CONCATENATE($B61,Y$16,"W"))+COUNTIFS(Database!$F:$I,CONCATENATE(Y$16,$B61,"W"))</f>
        <v>1</v>
      </c>
      <c r="Z61" s="123">
        <f>COUNTIFS(Database!$F:$I,CONCATENATE($B61,Z$16,"L"))+COUNTIFS(Database!$F:$I,CONCATENATE(Z$16,$B61,"L"))+COUNTIFS(Database!$F:$I,CONCATENATE($B61,Z$16,"W"))+COUNTIFS(Database!$F:$I,CONCATENATE(Z$16,$B61,"W"))</f>
        <v>0</v>
      </c>
      <c r="AA61" s="123">
        <f>COUNTIFS(Database!$F:$I,CONCATENATE($B61,AA$16,"L"))+COUNTIFS(Database!$F:$I,CONCATENATE(AA$16,$B61,"L"))+COUNTIFS(Database!$F:$I,CONCATENATE($B61,AA$16,"W"))+COUNTIFS(Database!$F:$I,CONCATENATE(AA$16,$B61,"W"))</f>
        <v>0</v>
      </c>
      <c r="AB61" s="123">
        <f>COUNTIFS(Database!$F:$I,CONCATENATE($B61,AB$16,"L"))+COUNTIFS(Database!$F:$I,CONCATENATE(AB$16,$B61,"L"))+COUNTIFS(Database!$F:$I,CONCATENATE($B61,AB$16,"W"))+COUNTIFS(Database!$F:$I,CONCATENATE(AB$16,$B61,"W"))</f>
        <v>4</v>
      </c>
      <c r="AC61" s="123">
        <f>COUNTIFS(Database!$F:$I,CONCATENATE($B61,AC$16,"L"))+COUNTIFS(Database!$F:$I,CONCATENATE(AC$16,$B61,"L"))+COUNTIFS(Database!$F:$I,CONCATENATE($B61,AC$16,"W"))+COUNTIFS(Database!$F:$I,CONCATENATE(AC$16,$B61,"W"))</f>
        <v>5</v>
      </c>
      <c r="AD61" s="123">
        <f>COUNTIFS(Database!$F:$I,CONCATENATE($B61,AD$16,"L"))+COUNTIFS(Database!$F:$I,CONCATENATE(AD$16,$B61,"L"))+COUNTIFS(Database!$F:$I,CONCATENATE($B61,AD$16,"W"))+COUNTIFS(Database!$F:$I,CONCATENATE(AD$16,$B61,"W"))</f>
        <v>0</v>
      </c>
      <c r="AE61" s="123">
        <f>COUNTIFS(Database!$F:$I,CONCATENATE($B61,AE$16,"L"))+COUNTIFS(Database!$F:$I,CONCATENATE(AE$16,$B61,"L"))+COUNTIFS(Database!$F:$I,CONCATENATE($B61,AE$16,"W"))+COUNTIFS(Database!$F:$I,CONCATENATE(AE$16,$B61,"W"))</f>
        <v>0</v>
      </c>
      <c r="AF61" s="123">
        <f>COUNTIFS(Database!$F:$I,CONCATENATE($B61,AF$16,"L"))+COUNTIFS(Database!$F:$I,CONCATENATE(AF$16,$B61,"L"))+COUNTIFS(Database!$F:$I,CONCATENATE($B61,AF$16,"W"))+COUNTIFS(Database!$F:$I,CONCATENATE(AF$16,$B61,"W"))</f>
        <v>2</v>
      </c>
      <c r="AG61" s="123">
        <f>COUNTIFS(Database!$F:$I,CONCATENATE($B61,AG$16,"L"))+COUNTIFS(Database!$F:$I,CONCATENATE(AG$16,$B61,"L"))+COUNTIFS(Database!$F:$I,CONCATENATE($B61,AG$16,"W"))+COUNTIFS(Database!$F:$I,CONCATENATE(AG$16,$B61,"W"))</f>
        <v>0</v>
      </c>
      <c r="AH61" s="123">
        <f>COUNTIFS(Database!$F:$I,CONCATENATE($B61,AH$16,"L"))+COUNTIFS(Database!$F:$I,CONCATENATE(AH$16,$B61,"L"))+COUNTIFS(Database!$F:$I,CONCATENATE($B61,AH$16,"W"))+COUNTIFS(Database!$F:$I,CONCATENATE(AH$16,$B61,"W"))</f>
        <v>0</v>
      </c>
      <c r="AI61" s="123">
        <f>COUNTIFS(Database!$F:$I,CONCATENATE($B61,AI$16,"L"))+COUNTIFS(Database!$F:$I,CONCATENATE(AI$16,$B61,"L"))+COUNTIFS(Database!$F:$I,CONCATENATE($B61,AI$16,"W"))+COUNTIFS(Database!$F:$I,CONCATENATE(AI$16,$B61,"W"))</f>
        <v>3</v>
      </c>
      <c r="AJ61" s="123">
        <f>COUNTIFS(Database!$F:$I,CONCATENATE($B61,AJ$16,"L"))+COUNTIFS(Database!$F:$I,CONCATENATE(AJ$16,$B61,"L"))+COUNTIFS(Database!$F:$I,CONCATENATE($B61,AJ$16,"W"))+COUNTIFS(Database!$F:$I,CONCATENATE(AJ$16,$B61,"W"))</f>
        <v>1</v>
      </c>
      <c r="AK61" s="123">
        <f>COUNTIFS(Database!$F:$I,CONCATENATE($B61,AK$16,"L"))+COUNTIFS(Database!$F:$I,CONCATENATE(AK$16,$B61,"L"))+COUNTIFS(Database!$F:$I,CONCATENATE($B61,AK$16,"W"))+COUNTIFS(Database!$F:$I,CONCATENATE(AK$16,$B61,"W"))</f>
        <v>7</v>
      </c>
      <c r="AL61" s="123">
        <f>COUNTIFS(Database!$F:$I,CONCATENATE($B61,AL$16,"L"))+COUNTIFS(Database!$F:$I,CONCATENATE(AL$16,$B61,"L"))+COUNTIFS(Database!$F:$I,CONCATENATE($B61,AL$16,"W"))+COUNTIFS(Database!$F:$I,CONCATENATE(AL$16,$B61,"W"))</f>
        <v>2</v>
      </c>
      <c r="AM61" s="123">
        <f>COUNTIFS(Database!$F:$I,CONCATENATE($B61,AM$16,"L"))+COUNTIFS(Database!$F:$I,CONCATENATE(AM$16,$B61,"L"))+COUNTIFS(Database!$F:$I,CONCATENATE($B61,AM$16,"W"))+COUNTIFS(Database!$F:$I,CONCATENATE(AM$16,$B61,"W"))</f>
        <v>3</v>
      </c>
      <c r="AN61" s="123">
        <f>COUNTIFS(Database!$F:$I,CONCATENATE($B61,AN$16,"L"))+COUNTIFS(Database!$F:$I,CONCATENATE(AN$16,$B61,"L"))+COUNTIFS(Database!$F:$I,CONCATENATE($B61,AN$16,"W"))+COUNTIFS(Database!$F:$I,CONCATENATE(AN$16,$B61,"W"))</f>
        <v>0</v>
      </c>
      <c r="AO61" s="123">
        <f>COUNTIFS(Database!$F:$I,CONCATENATE($B61,AO$16,"L"))+COUNTIFS(Database!$F:$I,CONCATENATE(AO$16,$B61,"L"))+COUNTIFS(Database!$F:$I,CONCATENATE($B61,AO$16,"W"))+COUNTIFS(Database!$F:$I,CONCATENATE(AO$16,$B61,"W"))</f>
        <v>1</v>
      </c>
      <c r="AP61" s="123">
        <f>COUNTIFS(Database!$F:$I,CONCATENATE($B61,AP$16,"L"))+COUNTIFS(Database!$F:$I,CONCATENATE(AP$16,$B61,"L"))+COUNTIFS(Database!$F:$I,CONCATENATE($B61,AP$16,"W"))+COUNTIFS(Database!$F:$I,CONCATENATE(AP$16,$B61,"W"))</f>
        <v>2</v>
      </c>
      <c r="AQ61" s="123">
        <f>COUNTIFS(Database!$F:$I,CONCATENATE($B61,AQ$16,"L"))+COUNTIFS(Database!$F:$I,CONCATENATE(AQ$16,$B61,"L"))+COUNTIFS(Database!$F:$I,CONCATENATE($B61,AQ$16,"W"))+COUNTIFS(Database!$F:$I,CONCATENATE(AQ$16,$B61,"W"))</f>
        <v>2</v>
      </c>
      <c r="AR61" s="123">
        <f>COUNTIFS(Database!$F:$I,CONCATENATE($B61,AR$16,"L"))+COUNTIFS(Database!$F:$I,CONCATENATE(AR$16,$B61,"L"))+COUNTIFS(Database!$F:$I,CONCATENATE($B61,AR$16,"W"))+COUNTIFS(Database!$F:$I,CONCATENATE(AR$16,$B61,"W"))</f>
        <v>5</v>
      </c>
      <c r="AS61" s="123">
        <f>COUNTIFS(Database!$F:$I,CONCATENATE($B61,AS$16,"L"))+COUNTIFS(Database!$F:$I,CONCATENATE(AS$16,$B61,"L"))+COUNTIFS(Database!$F:$I,CONCATENATE($B61,AS$16,"W"))+COUNTIFS(Database!$F:$I,CONCATENATE(AS$16,$B61,"W"))</f>
        <v>0</v>
      </c>
      <c r="AT61" s="123">
        <f>COUNTIFS(Database!$F:$I,CONCATENATE($B61,AT$16,"L"))+COUNTIFS(Database!$F:$I,CONCATENATE(AT$16,$B61,"L"))+COUNTIFS(Database!$F:$I,CONCATENATE($B61,AT$16,"W"))+COUNTIFS(Database!$F:$I,CONCATENATE(AT$16,$B61,"W"))</f>
        <v>2</v>
      </c>
      <c r="AU61" s="123">
        <f>COUNTIFS(Database!$F:$I,CONCATENATE($B61,AU$16,"L"))+COUNTIFS(Database!$F:$I,CONCATENATE(AU$16,$B61,"L"))+COUNTIFS(Database!$F:$I,CONCATENATE($B61,AU$16,"W"))+COUNTIFS(Database!$F:$I,CONCATENATE(AU$16,$B61,"W"))</f>
        <v>0</v>
      </c>
      <c r="AV61" s="123">
        <f>COUNTIFS(Database!$F:$I,CONCATENATE($B61,AV$16,"L"))+COUNTIFS(Database!$F:$I,CONCATENATE(AV$16,$B61,"L"))+COUNTIFS(Database!$F:$I,CONCATENATE($B61,AV$16,"W"))+COUNTIFS(Database!$F:$I,CONCATENATE(AV$16,$B61,"W"))</f>
        <v>2</v>
      </c>
      <c r="AW61" s="123">
        <f>COUNTIFS(Database!$F:$I,CONCATENATE($B61,AW$16,"L"))+COUNTIFS(Database!$F:$I,CONCATENATE(AW$16,$B61,"L"))+COUNTIFS(Database!$F:$I,CONCATENATE($B61,AW$16,"W"))+COUNTIFS(Database!$F:$I,CONCATENATE(AW$16,$B61,"W"))</f>
        <v>5</v>
      </c>
      <c r="AX61" s="123">
        <f>COUNTIFS(Database!$F:$I,CONCATENATE($B61,AX$16,"L"))+COUNTIFS(Database!$F:$I,CONCATENATE(AX$16,$B61,"L"))+COUNTIFS(Database!$F:$I,CONCATENATE($B61,AX$16,"W"))+COUNTIFS(Database!$F:$I,CONCATENATE(AX$16,$B61,"W"))</f>
        <v>0</v>
      </c>
      <c r="AY61" s="123">
        <f>COUNTIFS(Database!$F:$I,CONCATENATE($B61,AY$16,"L"))+COUNTIFS(Database!$F:$I,CONCATENATE(AY$16,$B61,"L"))+COUNTIFS(Database!$F:$I,CONCATENATE($B61,AY$16,"W"))+COUNTIFS(Database!$F:$I,CONCATENATE(AY$16,$B61,"W"))</f>
        <v>3</v>
      </c>
    </row>
    <row r="62" spans="2:51" x14ac:dyDescent="0.25">
      <c r="B62" s="120" t="s">
        <v>24</v>
      </c>
      <c r="C62" s="123">
        <f>COUNTIFS(Database!$F:$I,CONCATENATE($B62,C$16,"L"))+COUNTIFS(Database!$F:$I,CONCATENATE(C$16,$B62,"L"))+COUNTIFS(Database!$F:$I,CONCATENATE($B62,C$16,"W"))+COUNTIFS(Database!$F:$I,CONCATENATE(C$16,$B62,"W"))</f>
        <v>1</v>
      </c>
      <c r="D62" s="123">
        <f>COUNTIFS(Database!$F:$I,CONCATENATE($B62,D$16,"L"))+COUNTIFS(Database!$F:$I,CONCATENATE(D$16,$B62,"L"))+COUNTIFS(Database!$F:$I,CONCATENATE($B62,D$16,"W"))+COUNTIFS(Database!$F:$I,CONCATENATE(D$16,$B62,"W"))</f>
        <v>0</v>
      </c>
      <c r="E62" s="123">
        <f>COUNTIFS(Database!$F:$I,CONCATENATE($B62,E$16,"L"))+COUNTIFS(Database!$F:$I,CONCATENATE(E$16,$B62,"L"))+COUNTIFS(Database!$F:$I,CONCATENATE($B62,E$16,"W"))+COUNTIFS(Database!$F:$I,CONCATENATE(E$16,$B62,"W"))</f>
        <v>2</v>
      </c>
      <c r="F62" s="123">
        <f>COUNTIFS(Database!$F:$I,CONCATENATE($B62,F$16,"L"))+COUNTIFS(Database!$F:$I,CONCATENATE(F$16,$B62,"L"))+COUNTIFS(Database!$F:$I,CONCATENATE($B62,F$16,"W"))+COUNTIFS(Database!$F:$I,CONCATENATE(F$16,$B62,"W"))</f>
        <v>3</v>
      </c>
      <c r="G62" s="123">
        <f>COUNTIFS(Database!$F:$I,CONCATENATE($B62,G$16,"L"))+COUNTIFS(Database!$F:$I,CONCATENATE(G$16,$B62,"L"))+COUNTIFS(Database!$F:$I,CONCATENATE($B62,G$16,"W"))+COUNTIFS(Database!$F:$I,CONCATENATE(G$16,$B62,"W"))</f>
        <v>0</v>
      </c>
      <c r="H62" s="123">
        <f>COUNTIFS(Database!$F:$I,CONCATENATE($B62,H$16,"L"))+COUNTIFS(Database!$F:$I,CONCATENATE(H$16,$B62,"L"))+COUNTIFS(Database!$F:$I,CONCATENATE($B62,H$16,"W"))+COUNTIFS(Database!$F:$I,CONCATENATE(H$16,$B62,"W"))</f>
        <v>0</v>
      </c>
      <c r="I62" s="123">
        <f>COUNTIFS(Database!$F:$I,CONCATENATE($B62,I$16,"L"))+COUNTIFS(Database!$F:$I,CONCATENATE(I$16,$B62,"L"))+COUNTIFS(Database!$F:$I,CONCATENATE($B62,I$16,"W"))+COUNTIFS(Database!$F:$I,CONCATENATE(I$16,$B62,"W"))</f>
        <v>0</v>
      </c>
      <c r="J62" s="123">
        <f>COUNTIFS(Database!$F:$I,CONCATENATE($B62,J$16,"L"))+COUNTIFS(Database!$F:$I,CONCATENATE(J$16,$B62,"L"))+COUNTIFS(Database!$F:$I,CONCATENATE($B62,J$16,"W"))+COUNTIFS(Database!$F:$I,CONCATENATE(J$16,$B62,"W"))</f>
        <v>0</v>
      </c>
      <c r="K62" s="123">
        <f>COUNTIFS(Database!$F:$I,CONCATENATE($B62,K$16,"L"))+COUNTIFS(Database!$F:$I,CONCATENATE(K$16,$B62,"L"))+COUNTIFS(Database!$F:$I,CONCATENATE($B62,K$16,"W"))+COUNTIFS(Database!$F:$I,CONCATENATE(K$16,$B62,"W"))</f>
        <v>1</v>
      </c>
      <c r="L62" s="123">
        <f>COUNTIFS(Database!$F:$I,CONCATENATE($B62,L$16,"L"))+COUNTIFS(Database!$F:$I,CONCATENATE(L$16,$B62,"L"))+COUNTIFS(Database!$F:$I,CONCATENATE($B62,L$16,"W"))+COUNTIFS(Database!$F:$I,CONCATENATE(L$16,$B62,"W"))</f>
        <v>0</v>
      </c>
      <c r="M62" s="123">
        <f>COUNTIFS(Database!$F:$I,CONCATENATE($B62,M$16,"L"))+COUNTIFS(Database!$F:$I,CONCATENATE(M$16,$B62,"L"))+COUNTIFS(Database!$F:$I,CONCATENATE($B62,M$16,"W"))+COUNTIFS(Database!$F:$I,CONCATENATE(M$16,$B62,"W"))</f>
        <v>0</v>
      </c>
      <c r="N62" s="123">
        <f>COUNTIFS(Database!$F:$I,CONCATENATE($B62,N$16,"L"))+COUNTIFS(Database!$F:$I,CONCATENATE(N$16,$B62,"L"))+COUNTIFS(Database!$F:$I,CONCATENATE($B62,N$16,"W"))+COUNTIFS(Database!$F:$I,CONCATENATE(N$16,$B62,"W"))</f>
        <v>0</v>
      </c>
      <c r="O62" s="123">
        <f>COUNTIFS(Database!$F:$I,CONCATENATE($B62,O$16,"L"))+COUNTIFS(Database!$F:$I,CONCATENATE(O$16,$B62,"L"))+COUNTIFS(Database!$F:$I,CONCATENATE($B62,O$16,"W"))+COUNTIFS(Database!$F:$I,CONCATENATE(O$16,$B62,"W"))</f>
        <v>2</v>
      </c>
      <c r="P62" s="123">
        <f>COUNTIFS(Database!$F:$I,CONCATENATE($B62,P$16,"L"))+COUNTIFS(Database!$F:$I,CONCATENATE(P$16,$B62,"L"))+COUNTIFS(Database!$F:$I,CONCATENATE($B62,P$16,"W"))+COUNTIFS(Database!$F:$I,CONCATENATE(P$16,$B62,"W"))</f>
        <v>0</v>
      </c>
      <c r="Q62" s="123">
        <f>COUNTIFS(Database!$F:$I,CONCATENATE($B62,Q$16,"L"))+COUNTIFS(Database!$F:$I,CONCATENATE(Q$16,$B62,"L"))+COUNTIFS(Database!$F:$I,CONCATENATE($B62,Q$16,"W"))+COUNTIFS(Database!$F:$I,CONCATENATE(Q$16,$B62,"W"))</f>
        <v>0</v>
      </c>
      <c r="R62" s="123">
        <f>COUNTIFS(Database!$F:$I,CONCATENATE($B62,R$16,"L"))+COUNTIFS(Database!$F:$I,CONCATENATE(R$16,$B62,"L"))+COUNTIFS(Database!$F:$I,CONCATENATE($B62,R$16,"W"))+COUNTIFS(Database!$F:$I,CONCATENATE(R$16,$B62,"W"))</f>
        <v>0</v>
      </c>
      <c r="S62" s="123">
        <f>COUNTIFS(Database!$F:$I,CONCATENATE($B62,S$16,"L"))+COUNTIFS(Database!$F:$I,CONCATENATE(S$16,$B62,"L"))+COUNTIFS(Database!$F:$I,CONCATENATE($B62,S$16,"W"))+COUNTIFS(Database!$F:$I,CONCATENATE(S$16,$B62,"W"))</f>
        <v>0</v>
      </c>
      <c r="T62" s="123">
        <f>COUNTIFS(Database!$F:$I,CONCATENATE($B62,T$16,"L"))+COUNTIFS(Database!$F:$I,CONCATENATE(T$16,$B62,"L"))+COUNTIFS(Database!$F:$I,CONCATENATE($B62,T$16,"W"))+COUNTIFS(Database!$F:$I,CONCATENATE(T$16,$B62,"W"))</f>
        <v>2</v>
      </c>
      <c r="U62" s="123">
        <f>COUNTIFS(Database!$F:$I,CONCATENATE($B62,U$16,"L"))+COUNTIFS(Database!$F:$I,CONCATENATE(U$16,$B62,"L"))+COUNTIFS(Database!$F:$I,CONCATENATE($B62,U$16,"W"))+COUNTIFS(Database!$F:$I,CONCATENATE(U$16,$B62,"W"))</f>
        <v>0</v>
      </c>
      <c r="V62" s="123">
        <f>COUNTIFS(Database!$F:$I,CONCATENATE($B62,V$16,"L"))+COUNTIFS(Database!$F:$I,CONCATENATE(V$16,$B62,"L"))+COUNTIFS(Database!$F:$I,CONCATENATE($B62,V$16,"W"))+COUNTIFS(Database!$F:$I,CONCATENATE(V$16,$B62,"W"))</f>
        <v>0</v>
      </c>
      <c r="W62" s="123">
        <f>COUNTIFS(Database!$F:$I,CONCATENATE($B62,W$16,"L"))+COUNTIFS(Database!$F:$I,CONCATENATE(W$16,$B62,"L"))+COUNTIFS(Database!$F:$I,CONCATENATE($B62,W$16,"W"))+COUNTIFS(Database!$F:$I,CONCATENATE(W$16,$B62,"W"))</f>
        <v>3</v>
      </c>
      <c r="X62" s="123">
        <f>COUNTIFS(Database!$F:$I,CONCATENATE($B62,X$16,"L"))+COUNTIFS(Database!$F:$I,CONCATENATE(X$16,$B62,"L"))+COUNTIFS(Database!$F:$I,CONCATENATE($B62,X$16,"W"))+COUNTIFS(Database!$F:$I,CONCATENATE(X$16,$B62,"W"))</f>
        <v>2</v>
      </c>
      <c r="Y62" s="123">
        <f>COUNTIFS(Database!$F:$I,CONCATENATE($B62,Y$16,"L"))+COUNTIFS(Database!$F:$I,CONCATENATE(Y$16,$B62,"L"))+COUNTIFS(Database!$F:$I,CONCATENATE($B62,Y$16,"W"))+COUNTIFS(Database!$F:$I,CONCATENATE(Y$16,$B62,"W"))</f>
        <v>0</v>
      </c>
      <c r="Z62" s="123">
        <f>COUNTIFS(Database!$F:$I,CONCATENATE($B62,Z$16,"L"))+COUNTIFS(Database!$F:$I,CONCATENATE(Z$16,$B62,"L"))+COUNTIFS(Database!$F:$I,CONCATENATE($B62,Z$16,"W"))+COUNTIFS(Database!$F:$I,CONCATENATE(Z$16,$B62,"W"))</f>
        <v>1</v>
      </c>
      <c r="AA62" s="123">
        <f>COUNTIFS(Database!$F:$I,CONCATENATE($B62,AA$16,"L"))+COUNTIFS(Database!$F:$I,CONCATENATE(AA$16,$B62,"L"))+COUNTIFS(Database!$F:$I,CONCATENATE($B62,AA$16,"W"))+COUNTIFS(Database!$F:$I,CONCATENATE(AA$16,$B62,"W"))</f>
        <v>0</v>
      </c>
      <c r="AB62" s="123">
        <f>COUNTIFS(Database!$F:$I,CONCATENATE($B62,AB$16,"L"))+COUNTIFS(Database!$F:$I,CONCATENATE(AB$16,$B62,"L"))+COUNTIFS(Database!$F:$I,CONCATENATE($B62,AB$16,"W"))+COUNTIFS(Database!$F:$I,CONCATENATE(AB$16,$B62,"W"))</f>
        <v>1</v>
      </c>
      <c r="AC62" s="123">
        <f>COUNTIFS(Database!$F:$I,CONCATENATE($B62,AC$16,"L"))+COUNTIFS(Database!$F:$I,CONCATENATE(AC$16,$B62,"L"))+COUNTIFS(Database!$F:$I,CONCATENATE($B62,AC$16,"W"))+COUNTIFS(Database!$F:$I,CONCATENATE(AC$16,$B62,"W"))</f>
        <v>6</v>
      </c>
      <c r="AD62" s="123">
        <f>COUNTIFS(Database!$F:$I,CONCATENATE($B62,AD$16,"L"))+COUNTIFS(Database!$F:$I,CONCATENATE(AD$16,$B62,"L"))+COUNTIFS(Database!$F:$I,CONCATENATE($B62,AD$16,"W"))+COUNTIFS(Database!$F:$I,CONCATENATE(AD$16,$B62,"W"))</f>
        <v>0</v>
      </c>
      <c r="AE62" s="123">
        <f>COUNTIFS(Database!$F:$I,CONCATENATE($B62,AE$16,"L"))+COUNTIFS(Database!$F:$I,CONCATENATE(AE$16,$B62,"L"))+COUNTIFS(Database!$F:$I,CONCATENATE($B62,AE$16,"W"))+COUNTIFS(Database!$F:$I,CONCATENATE(AE$16,$B62,"W"))</f>
        <v>0</v>
      </c>
      <c r="AF62" s="123">
        <f>COUNTIFS(Database!$F:$I,CONCATENATE($B62,AF$16,"L"))+COUNTIFS(Database!$F:$I,CONCATENATE(AF$16,$B62,"L"))+COUNTIFS(Database!$F:$I,CONCATENATE($B62,AF$16,"W"))+COUNTIFS(Database!$F:$I,CONCATENATE(AF$16,$B62,"W"))</f>
        <v>0</v>
      </c>
      <c r="AG62" s="123">
        <f>COUNTIFS(Database!$F:$I,CONCATENATE($B62,AG$16,"L"))+COUNTIFS(Database!$F:$I,CONCATENATE(AG$16,$B62,"L"))+COUNTIFS(Database!$F:$I,CONCATENATE($B62,AG$16,"W"))+COUNTIFS(Database!$F:$I,CONCATENATE(AG$16,$B62,"W"))</f>
        <v>0</v>
      </c>
      <c r="AH62" s="123">
        <f>COUNTIFS(Database!$F:$I,CONCATENATE($B62,AH$16,"L"))+COUNTIFS(Database!$F:$I,CONCATENATE(AH$16,$B62,"L"))+COUNTIFS(Database!$F:$I,CONCATENATE($B62,AH$16,"W"))+COUNTIFS(Database!$F:$I,CONCATENATE(AH$16,$B62,"W"))</f>
        <v>0</v>
      </c>
      <c r="AI62" s="123">
        <f>COUNTIFS(Database!$F:$I,CONCATENATE($B62,AI$16,"L"))+COUNTIFS(Database!$F:$I,CONCATENATE(AI$16,$B62,"L"))+COUNTIFS(Database!$F:$I,CONCATENATE($B62,AI$16,"W"))+COUNTIFS(Database!$F:$I,CONCATENATE(AI$16,$B62,"W"))</f>
        <v>1</v>
      </c>
      <c r="AJ62" s="123">
        <f>COUNTIFS(Database!$F:$I,CONCATENATE($B62,AJ$16,"L"))+COUNTIFS(Database!$F:$I,CONCATENATE(AJ$16,$B62,"L"))+COUNTIFS(Database!$F:$I,CONCATENATE($B62,AJ$16,"W"))+COUNTIFS(Database!$F:$I,CONCATENATE(AJ$16,$B62,"W"))</f>
        <v>1</v>
      </c>
      <c r="AK62" s="123">
        <f>COUNTIFS(Database!$F:$I,CONCATENATE($B62,AK$16,"L"))+COUNTIFS(Database!$F:$I,CONCATENATE(AK$16,$B62,"L"))+COUNTIFS(Database!$F:$I,CONCATENATE($B62,AK$16,"W"))+COUNTIFS(Database!$F:$I,CONCATENATE(AK$16,$B62,"W"))</f>
        <v>1</v>
      </c>
      <c r="AL62" s="123">
        <f>COUNTIFS(Database!$F:$I,CONCATENATE($B62,AL$16,"L"))+COUNTIFS(Database!$F:$I,CONCATENATE(AL$16,$B62,"L"))+COUNTIFS(Database!$F:$I,CONCATENATE($B62,AL$16,"W"))+COUNTIFS(Database!$F:$I,CONCATENATE(AL$16,$B62,"W"))</f>
        <v>0</v>
      </c>
      <c r="AM62" s="123">
        <f>COUNTIFS(Database!$F:$I,CONCATENATE($B62,AM$16,"L"))+COUNTIFS(Database!$F:$I,CONCATENATE(AM$16,$B62,"L"))+COUNTIFS(Database!$F:$I,CONCATENATE($B62,AM$16,"W"))+COUNTIFS(Database!$F:$I,CONCATENATE(AM$16,$B62,"W"))</f>
        <v>0</v>
      </c>
      <c r="AN62" s="123">
        <f>COUNTIFS(Database!$F:$I,CONCATENATE($B62,AN$16,"L"))+COUNTIFS(Database!$F:$I,CONCATENATE(AN$16,$B62,"L"))+COUNTIFS(Database!$F:$I,CONCATENATE($B62,AN$16,"W"))+COUNTIFS(Database!$F:$I,CONCATENATE(AN$16,$B62,"W"))</f>
        <v>0</v>
      </c>
      <c r="AO62" s="123">
        <f>COUNTIFS(Database!$F:$I,CONCATENATE($B62,AO$16,"L"))+COUNTIFS(Database!$F:$I,CONCATENATE(AO$16,$B62,"L"))+COUNTIFS(Database!$F:$I,CONCATENATE($B62,AO$16,"W"))+COUNTIFS(Database!$F:$I,CONCATENATE(AO$16,$B62,"W"))</f>
        <v>1</v>
      </c>
      <c r="AP62" s="123">
        <f>COUNTIFS(Database!$F:$I,CONCATENATE($B62,AP$16,"L"))+COUNTIFS(Database!$F:$I,CONCATENATE(AP$16,$B62,"L"))+COUNTIFS(Database!$F:$I,CONCATENATE($B62,AP$16,"W"))+COUNTIFS(Database!$F:$I,CONCATENATE(AP$16,$B62,"W"))</f>
        <v>0</v>
      </c>
      <c r="AQ62" s="123">
        <f>COUNTIFS(Database!$F:$I,CONCATENATE($B62,AQ$16,"L"))+COUNTIFS(Database!$F:$I,CONCATENATE(AQ$16,$B62,"L"))+COUNTIFS(Database!$F:$I,CONCATENATE($B62,AQ$16,"W"))+COUNTIFS(Database!$F:$I,CONCATENATE(AQ$16,$B62,"W"))</f>
        <v>0</v>
      </c>
      <c r="AR62" s="123">
        <f>COUNTIFS(Database!$F:$I,CONCATENATE($B62,AR$16,"L"))+COUNTIFS(Database!$F:$I,CONCATENATE(AR$16,$B62,"L"))+COUNTIFS(Database!$F:$I,CONCATENATE($B62,AR$16,"W"))+COUNTIFS(Database!$F:$I,CONCATENATE(AR$16,$B62,"W"))</f>
        <v>0</v>
      </c>
      <c r="AS62" s="123">
        <f>COUNTIFS(Database!$F:$I,CONCATENATE($B62,AS$16,"L"))+COUNTIFS(Database!$F:$I,CONCATENATE(AS$16,$B62,"L"))+COUNTIFS(Database!$F:$I,CONCATENATE($B62,AS$16,"W"))+COUNTIFS(Database!$F:$I,CONCATENATE(AS$16,$B62,"W"))</f>
        <v>0</v>
      </c>
      <c r="AT62" s="123">
        <f>COUNTIFS(Database!$F:$I,CONCATENATE($B62,AT$16,"L"))+COUNTIFS(Database!$F:$I,CONCATENATE(AT$16,$B62,"L"))+COUNTIFS(Database!$F:$I,CONCATENATE($B62,AT$16,"W"))+COUNTIFS(Database!$F:$I,CONCATENATE(AT$16,$B62,"W"))</f>
        <v>0</v>
      </c>
      <c r="AU62" s="123">
        <f>COUNTIFS(Database!$F:$I,CONCATENATE($B62,AU$16,"L"))+COUNTIFS(Database!$F:$I,CONCATENATE(AU$16,$B62,"L"))+COUNTIFS(Database!$F:$I,CONCATENATE($B62,AU$16,"W"))+COUNTIFS(Database!$F:$I,CONCATENATE(AU$16,$B62,"W"))</f>
        <v>2</v>
      </c>
      <c r="AV62" s="123">
        <f>COUNTIFS(Database!$F:$I,CONCATENATE($B62,AV$16,"L"))+COUNTIFS(Database!$F:$I,CONCATENATE(AV$16,$B62,"L"))+COUNTIFS(Database!$F:$I,CONCATENATE($B62,AV$16,"W"))+COUNTIFS(Database!$F:$I,CONCATENATE(AV$16,$B62,"W"))</f>
        <v>0</v>
      </c>
      <c r="AW62" s="123">
        <f>COUNTIFS(Database!$F:$I,CONCATENATE($B62,AW$16,"L"))+COUNTIFS(Database!$F:$I,CONCATENATE(AW$16,$B62,"L"))+COUNTIFS(Database!$F:$I,CONCATENATE($B62,AW$16,"W"))+COUNTIFS(Database!$F:$I,CONCATENATE(AW$16,$B62,"W"))</f>
        <v>1</v>
      </c>
      <c r="AX62" s="123">
        <f>COUNTIFS(Database!$F:$I,CONCATENATE($B62,AX$16,"L"))+COUNTIFS(Database!$F:$I,CONCATENATE(AX$16,$B62,"L"))+COUNTIFS(Database!$F:$I,CONCATENATE($B62,AX$16,"W"))+COUNTIFS(Database!$F:$I,CONCATENATE(AX$16,$B62,"W"))</f>
        <v>0</v>
      </c>
      <c r="AY62" s="123">
        <f>COUNTIFS(Database!$F:$I,CONCATENATE($B62,AY$16,"L"))+COUNTIFS(Database!$F:$I,CONCATENATE(AY$16,$B62,"L"))+COUNTIFS(Database!$F:$I,CONCATENATE($B62,AY$16,"W"))+COUNTIFS(Database!$F:$I,CONCATENATE(AY$16,$B62,"W"))</f>
        <v>0</v>
      </c>
    </row>
    <row r="63" spans="2:51" x14ac:dyDescent="0.25">
      <c r="B63" s="120" t="s">
        <v>31</v>
      </c>
      <c r="C63" s="123">
        <f>COUNTIFS(Database!$F:$I,CONCATENATE($B63,C$16,"L"))+COUNTIFS(Database!$F:$I,CONCATENATE(C$16,$B63,"L"))+COUNTIFS(Database!$F:$I,CONCATENATE($B63,C$16,"W"))+COUNTIFS(Database!$F:$I,CONCATENATE(C$16,$B63,"W"))</f>
        <v>12</v>
      </c>
      <c r="D63" s="123">
        <f>COUNTIFS(Database!$F:$I,CONCATENATE($B63,D$16,"L"))+COUNTIFS(Database!$F:$I,CONCATENATE(D$16,$B63,"L"))+COUNTIFS(Database!$F:$I,CONCATENATE($B63,D$16,"W"))+COUNTIFS(Database!$F:$I,CONCATENATE(D$16,$B63,"W"))</f>
        <v>0</v>
      </c>
      <c r="E63" s="123">
        <f>COUNTIFS(Database!$F:$I,CONCATENATE($B63,E$16,"L"))+COUNTIFS(Database!$F:$I,CONCATENATE(E$16,$B63,"L"))+COUNTIFS(Database!$F:$I,CONCATENATE($B63,E$16,"W"))+COUNTIFS(Database!$F:$I,CONCATENATE(E$16,$B63,"W"))</f>
        <v>6</v>
      </c>
      <c r="F63" s="123">
        <f>COUNTIFS(Database!$F:$I,CONCATENATE($B63,F$16,"L"))+COUNTIFS(Database!$F:$I,CONCATENATE(F$16,$B63,"L"))+COUNTIFS(Database!$F:$I,CONCATENATE($B63,F$16,"W"))+COUNTIFS(Database!$F:$I,CONCATENATE(F$16,$B63,"W"))</f>
        <v>6</v>
      </c>
      <c r="G63" s="123">
        <f>COUNTIFS(Database!$F:$I,CONCATENATE($B63,G$16,"L"))+COUNTIFS(Database!$F:$I,CONCATENATE(G$16,$B63,"L"))+COUNTIFS(Database!$F:$I,CONCATENATE($B63,G$16,"W"))+COUNTIFS(Database!$F:$I,CONCATENATE(G$16,$B63,"W"))</f>
        <v>1</v>
      </c>
      <c r="H63" s="123">
        <f>COUNTIFS(Database!$F:$I,CONCATENATE($B63,H$16,"L"))+COUNTIFS(Database!$F:$I,CONCATENATE(H$16,$B63,"L"))+COUNTIFS(Database!$F:$I,CONCATENATE($B63,H$16,"W"))+COUNTIFS(Database!$F:$I,CONCATENATE(H$16,$B63,"W"))</f>
        <v>1</v>
      </c>
      <c r="I63" s="123">
        <f>COUNTIFS(Database!$F:$I,CONCATENATE($B63,I$16,"L"))+COUNTIFS(Database!$F:$I,CONCATENATE(I$16,$B63,"L"))+COUNTIFS(Database!$F:$I,CONCATENATE($B63,I$16,"W"))+COUNTIFS(Database!$F:$I,CONCATENATE(I$16,$B63,"W"))</f>
        <v>0</v>
      </c>
      <c r="J63" s="123">
        <f>COUNTIFS(Database!$F:$I,CONCATENATE($B63,J$16,"L"))+COUNTIFS(Database!$F:$I,CONCATENATE(J$16,$B63,"L"))+COUNTIFS(Database!$F:$I,CONCATENATE($B63,J$16,"W"))+COUNTIFS(Database!$F:$I,CONCATENATE(J$16,$B63,"W"))</f>
        <v>1</v>
      </c>
      <c r="K63" s="123">
        <f>COUNTIFS(Database!$F:$I,CONCATENATE($B63,K$16,"L"))+COUNTIFS(Database!$F:$I,CONCATENATE(K$16,$B63,"L"))+COUNTIFS(Database!$F:$I,CONCATENATE($B63,K$16,"W"))+COUNTIFS(Database!$F:$I,CONCATENATE(K$16,$B63,"W"))</f>
        <v>9</v>
      </c>
      <c r="L63" s="123">
        <f>COUNTIFS(Database!$F:$I,CONCATENATE($B63,L$16,"L"))+COUNTIFS(Database!$F:$I,CONCATENATE(L$16,$B63,"L"))+COUNTIFS(Database!$F:$I,CONCATENATE($B63,L$16,"W"))+COUNTIFS(Database!$F:$I,CONCATENATE(L$16,$B63,"W"))</f>
        <v>1</v>
      </c>
      <c r="M63" s="123">
        <f>COUNTIFS(Database!$F:$I,CONCATENATE($B63,M$16,"L"))+COUNTIFS(Database!$F:$I,CONCATENATE(M$16,$B63,"L"))+COUNTIFS(Database!$F:$I,CONCATENATE($B63,M$16,"W"))+COUNTIFS(Database!$F:$I,CONCATENATE(M$16,$B63,"W"))</f>
        <v>0</v>
      </c>
      <c r="N63" s="123">
        <f>COUNTIFS(Database!$F:$I,CONCATENATE($B63,N$16,"L"))+COUNTIFS(Database!$F:$I,CONCATENATE(N$16,$B63,"L"))+COUNTIFS(Database!$F:$I,CONCATENATE($B63,N$16,"W"))+COUNTIFS(Database!$F:$I,CONCATENATE(N$16,$B63,"W"))</f>
        <v>0</v>
      </c>
      <c r="O63" s="123">
        <f>COUNTIFS(Database!$F:$I,CONCATENATE($B63,O$16,"L"))+COUNTIFS(Database!$F:$I,CONCATENATE(O$16,$B63,"L"))+COUNTIFS(Database!$F:$I,CONCATENATE($B63,O$16,"W"))+COUNTIFS(Database!$F:$I,CONCATENATE(O$16,$B63,"W"))</f>
        <v>5</v>
      </c>
      <c r="P63" s="123">
        <f>COUNTIFS(Database!$F:$I,CONCATENATE($B63,P$16,"L"))+COUNTIFS(Database!$F:$I,CONCATENATE(P$16,$B63,"L"))+COUNTIFS(Database!$F:$I,CONCATENATE($B63,P$16,"W"))+COUNTIFS(Database!$F:$I,CONCATENATE(P$16,$B63,"W"))</f>
        <v>1</v>
      </c>
      <c r="Q63" s="123">
        <f>COUNTIFS(Database!$F:$I,CONCATENATE($B63,Q$16,"L"))+COUNTIFS(Database!$F:$I,CONCATENATE(Q$16,$B63,"L"))+COUNTIFS(Database!$F:$I,CONCATENATE($B63,Q$16,"W"))+COUNTIFS(Database!$F:$I,CONCATENATE(Q$16,$B63,"W"))</f>
        <v>1</v>
      </c>
      <c r="R63" s="123">
        <f>COUNTIFS(Database!$F:$I,CONCATENATE($B63,R$16,"L"))+COUNTIFS(Database!$F:$I,CONCATENATE(R$16,$B63,"L"))+COUNTIFS(Database!$F:$I,CONCATENATE($B63,R$16,"W"))+COUNTIFS(Database!$F:$I,CONCATENATE(R$16,$B63,"W"))</f>
        <v>2</v>
      </c>
      <c r="S63" s="123">
        <f>COUNTIFS(Database!$F:$I,CONCATENATE($B63,S$16,"L"))+COUNTIFS(Database!$F:$I,CONCATENATE(S$16,$B63,"L"))+COUNTIFS(Database!$F:$I,CONCATENATE($B63,S$16,"W"))+COUNTIFS(Database!$F:$I,CONCATENATE(S$16,$B63,"W"))</f>
        <v>0</v>
      </c>
      <c r="T63" s="123">
        <f>COUNTIFS(Database!$F:$I,CONCATENATE($B63,T$16,"L"))+COUNTIFS(Database!$F:$I,CONCATENATE(T$16,$B63,"L"))+COUNTIFS(Database!$F:$I,CONCATENATE($B63,T$16,"W"))+COUNTIFS(Database!$F:$I,CONCATENATE(T$16,$B63,"W"))</f>
        <v>2</v>
      </c>
      <c r="U63" s="123">
        <f>COUNTIFS(Database!$F:$I,CONCATENATE($B63,U$16,"L"))+COUNTIFS(Database!$F:$I,CONCATENATE(U$16,$B63,"L"))+COUNTIFS(Database!$F:$I,CONCATENATE($B63,U$16,"W"))+COUNTIFS(Database!$F:$I,CONCATENATE(U$16,$B63,"W"))</f>
        <v>1</v>
      </c>
      <c r="V63" s="123">
        <f>COUNTIFS(Database!$F:$I,CONCATENATE($B63,V$16,"L"))+COUNTIFS(Database!$F:$I,CONCATENATE(V$16,$B63,"L"))+COUNTIFS(Database!$F:$I,CONCATENATE($B63,V$16,"W"))+COUNTIFS(Database!$F:$I,CONCATENATE(V$16,$B63,"W"))</f>
        <v>0</v>
      </c>
      <c r="W63" s="123">
        <f>COUNTIFS(Database!$F:$I,CONCATENATE($B63,W$16,"L"))+COUNTIFS(Database!$F:$I,CONCATENATE(W$16,$B63,"L"))+COUNTIFS(Database!$F:$I,CONCATENATE($B63,W$16,"W"))+COUNTIFS(Database!$F:$I,CONCATENATE(W$16,$B63,"W"))</f>
        <v>4</v>
      </c>
      <c r="X63" s="123">
        <f>COUNTIFS(Database!$F:$I,CONCATENATE($B63,X$16,"L"))+COUNTIFS(Database!$F:$I,CONCATENATE(X$16,$B63,"L"))+COUNTIFS(Database!$F:$I,CONCATENATE($B63,X$16,"W"))+COUNTIFS(Database!$F:$I,CONCATENATE(X$16,$B63,"W"))</f>
        <v>1</v>
      </c>
      <c r="Y63" s="123">
        <f>COUNTIFS(Database!$F:$I,CONCATENATE($B63,Y$16,"L"))+COUNTIFS(Database!$F:$I,CONCATENATE(Y$16,$B63,"L"))+COUNTIFS(Database!$F:$I,CONCATENATE($B63,Y$16,"W"))+COUNTIFS(Database!$F:$I,CONCATENATE(Y$16,$B63,"W"))</f>
        <v>3</v>
      </c>
      <c r="Z63" s="123">
        <f>COUNTIFS(Database!$F:$I,CONCATENATE($B63,Z$16,"L"))+COUNTIFS(Database!$F:$I,CONCATENATE(Z$16,$B63,"L"))+COUNTIFS(Database!$F:$I,CONCATENATE($B63,Z$16,"W"))+COUNTIFS(Database!$F:$I,CONCATENATE(Z$16,$B63,"W"))</f>
        <v>1</v>
      </c>
      <c r="AA63" s="123">
        <f>COUNTIFS(Database!$F:$I,CONCATENATE($B63,AA$16,"L"))+COUNTIFS(Database!$F:$I,CONCATENATE(AA$16,$B63,"L"))+COUNTIFS(Database!$F:$I,CONCATENATE($B63,AA$16,"W"))+COUNTIFS(Database!$F:$I,CONCATENATE(AA$16,$B63,"W"))</f>
        <v>1</v>
      </c>
      <c r="AB63" s="123">
        <f>COUNTIFS(Database!$F:$I,CONCATENATE($B63,AB$16,"L"))+COUNTIFS(Database!$F:$I,CONCATENATE(AB$16,$B63,"L"))+COUNTIFS(Database!$F:$I,CONCATENATE($B63,AB$16,"W"))+COUNTIFS(Database!$F:$I,CONCATENATE(AB$16,$B63,"W"))</f>
        <v>8</v>
      </c>
      <c r="AC63" s="123">
        <f>COUNTIFS(Database!$F:$I,CONCATENATE($B63,AC$16,"L"))+COUNTIFS(Database!$F:$I,CONCATENATE(AC$16,$B63,"L"))+COUNTIFS(Database!$F:$I,CONCATENATE($B63,AC$16,"W"))+COUNTIFS(Database!$F:$I,CONCATENATE(AC$16,$B63,"W"))</f>
        <v>9</v>
      </c>
      <c r="AD63" s="123">
        <f>COUNTIFS(Database!$F:$I,CONCATENATE($B63,AD$16,"L"))+COUNTIFS(Database!$F:$I,CONCATENATE(AD$16,$B63,"L"))+COUNTIFS(Database!$F:$I,CONCATENATE($B63,AD$16,"W"))+COUNTIFS(Database!$F:$I,CONCATENATE(AD$16,$B63,"W"))</f>
        <v>1</v>
      </c>
      <c r="AE63" s="123">
        <f>COUNTIFS(Database!$F:$I,CONCATENATE($B63,AE$16,"L"))+COUNTIFS(Database!$F:$I,CONCATENATE(AE$16,$B63,"L"))+COUNTIFS(Database!$F:$I,CONCATENATE($B63,AE$16,"W"))+COUNTIFS(Database!$F:$I,CONCATENATE(AE$16,$B63,"W"))</f>
        <v>1</v>
      </c>
      <c r="AF63" s="123">
        <f>COUNTIFS(Database!$F:$I,CONCATENATE($B63,AF$16,"L"))+COUNTIFS(Database!$F:$I,CONCATENATE(AF$16,$B63,"L"))+COUNTIFS(Database!$F:$I,CONCATENATE($B63,AF$16,"W"))+COUNTIFS(Database!$F:$I,CONCATENATE(AF$16,$B63,"W"))</f>
        <v>0</v>
      </c>
      <c r="AG63" s="123">
        <f>COUNTIFS(Database!$F:$I,CONCATENATE($B63,AG$16,"L"))+COUNTIFS(Database!$F:$I,CONCATENATE(AG$16,$B63,"L"))+COUNTIFS(Database!$F:$I,CONCATENATE($B63,AG$16,"W"))+COUNTIFS(Database!$F:$I,CONCATENATE(AG$16,$B63,"W"))</f>
        <v>0</v>
      </c>
      <c r="AH63" s="123">
        <f>COUNTIFS(Database!$F:$I,CONCATENATE($B63,AH$16,"L"))+COUNTIFS(Database!$F:$I,CONCATENATE(AH$16,$B63,"L"))+COUNTIFS(Database!$F:$I,CONCATENATE($B63,AH$16,"W"))+COUNTIFS(Database!$F:$I,CONCATENATE(AH$16,$B63,"W"))</f>
        <v>0</v>
      </c>
      <c r="AI63" s="123">
        <f>COUNTIFS(Database!$F:$I,CONCATENATE($B63,AI$16,"L"))+COUNTIFS(Database!$F:$I,CONCATENATE(AI$16,$B63,"L"))+COUNTIFS(Database!$F:$I,CONCATENATE($B63,AI$16,"W"))+COUNTIFS(Database!$F:$I,CONCATENATE(AI$16,$B63,"W"))</f>
        <v>1</v>
      </c>
      <c r="AJ63" s="123">
        <f>COUNTIFS(Database!$F:$I,CONCATENATE($B63,AJ$16,"L"))+COUNTIFS(Database!$F:$I,CONCATENATE(AJ$16,$B63,"L"))+COUNTIFS(Database!$F:$I,CONCATENATE($B63,AJ$16,"W"))+COUNTIFS(Database!$F:$I,CONCATENATE(AJ$16,$B63,"W"))</f>
        <v>4</v>
      </c>
      <c r="AK63" s="123">
        <f>COUNTIFS(Database!$F:$I,CONCATENATE($B63,AK$16,"L"))+COUNTIFS(Database!$F:$I,CONCATENATE(AK$16,$B63,"L"))+COUNTIFS(Database!$F:$I,CONCATENATE($B63,AK$16,"W"))+COUNTIFS(Database!$F:$I,CONCATENATE(AK$16,$B63,"W"))</f>
        <v>4</v>
      </c>
      <c r="AL63" s="123">
        <f>COUNTIFS(Database!$F:$I,CONCATENATE($B63,AL$16,"L"))+COUNTIFS(Database!$F:$I,CONCATENATE(AL$16,$B63,"L"))+COUNTIFS(Database!$F:$I,CONCATENATE($B63,AL$16,"W"))+COUNTIFS(Database!$F:$I,CONCATENATE(AL$16,$B63,"W"))</f>
        <v>3</v>
      </c>
      <c r="AM63" s="123">
        <f>COUNTIFS(Database!$F:$I,CONCATENATE($B63,AM$16,"L"))+COUNTIFS(Database!$F:$I,CONCATENATE(AM$16,$B63,"L"))+COUNTIFS(Database!$F:$I,CONCATENATE($B63,AM$16,"W"))+COUNTIFS(Database!$F:$I,CONCATENATE(AM$16,$B63,"W"))</f>
        <v>0</v>
      </c>
      <c r="AN63" s="123">
        <f>COUNTIFS(Database!$F:$I,CONCATENATE($B63,AN$16,"L"))+COUNTIFS(Database!$F:$I,CONCATENATE(AN$16,$B63,"L"))+COUNTIFS(Database!$F:$I,CONCATENATE($B63,AN$16,"W"))+COUNTIFS(Database!$F:$I,CONCATENATE(AN$16,$B63,"W"))</f>
        <v>0</v>
      </c>
      <c r="AO63" s="123">
        <f>COUNTIFS(Database!$F:$I,CONCATENATE($B63,AO$16,"L"))+COUNTIFS(Database!$F:$I,CONCATENATE(AO$16,$B63,"L"))+COUNTIFS(Database!$F:$I,CONCATENATE($B63,AO$16,"W"))+COUNTIFS(Database!$F:$I,CONCATENATE(AO$16,$B63,"W"))</f>
        <v>2</v>
      </c>
      <c r="AP63" s="123">
        <f>COUNTIFS(Database!$F:$I,CONCATENATE($B63,AP$16,"L"))+COUNTIFS(Database!$F:$I,CONCATENATE(AP$16,$B63,"L"))+COUNTIFS(Database!$F:$I,CONCATENATE($B63,AP$16,"W"))+COUNTIFS(Database!$F:$I,CONCATENATE(AP$16,$B63,"W"))</f>
        <v>1</v>
      </c>
      <c r="AQ63" s="123">
        <f>COUNTIFS(Database!$F:$I,CONCATENATE($B63,AQ$16,"L"))+COUNTIFS(Database!$F:$I,CONCATENATE(AQ$16,$B63,"L"))+COUNTIFS(Database!$F:$I,CONCATENATE($B63,AQ$16,"W"))+COUNTIFS(Database!$F:$I,CONCATENATE(AQ$16,$B63,"W"))</f>
        <v>0</v>
      </c>
      <c r="AR63" s="123">
        <f>COUNTIFS(Database!$F:$I,CONCATENATE($B63,AR$16,"L"))+COUNTIFS(Database!$F:$I,CONCATENATE(AR$16,$B63,"L"))+COUNTIFS(Database!$F:$I,CONCATENATE($B63,AR$16,"W"))+COUNTIFS(Database!$F:$I,CONCATENATE(AR$16,$B63,"W"))</f>
        <v>2</v>
      </c>
      <c r="AS63" s="123">
        <f>COUNTIFS(Database!$F:$I,CONCATENATE($B63,AS$16,"L"))+COUNTIFS(Database!$F:$I,CONCATENATE(AS$16,$B63,"L"))+COUNTIFS(Database!$F:$I,CONCATENATE($B63,AS$16,"W"))+COUNTIFS(Database!$F:$I,CONCATENATE(AS$16,$B63,"W"))</f>
        <v>0</v>
      </c>
      <c r="AT63" s="123">
        <f>COUNTIFS(Database!$F:$I,CONCATENATE($B63,AT$16,"L"))+COUNTIFS(Database!$F:$I,CONCATENATE(AT$16,$B63,"L"))+COUNTIFS(Database!$F:$I,CONCATENATE($B63,AT$16,"W"))+COUNTIFS(Database!$F:$I,CONCATENATE(AT$16,$B63,"W"))</f>
        <v>0</v>
      </c>
      <c r="AU63" s="123">
        <f>COUNTIFS(Database!$F:$I,CONCATENATE($B63,AU$16,"L"))+COUNTIFS(Database!$F:$I,CONCATENATE(AU$16,$B63,"L"))+COUNTIFS(Database!$F:$I,CONCATENATE($B63,AU$16,"W"))+COUNTIFS(Database!$F:$I,CONCATENATE(AU$16,$B63,"W"))</f>
        <v>5</v>
      </c>
      <c r="AV63" s="123">
        <f>COUNTIFS(Database!$F:$I,CONCATENATE($B63,AV$16,"L"))+COUNTIFS(Database!$F:$I,CONCATENATE(AV$16,$B63,"L"))+COUNTIFS(Database!$F:$I,CONCATENATE($B63,AV$16,"W"))+COUNTIFS(Database!$F:$I,CONCATENATE(AV$16,$B63,"W"))</f>
        <v>1</v>
      </c>
      <c r="AW63" s="123">
        <f>COUNTIFS(Database!$F:$I,CONCATENATE($B63,AW$16,"L"))+COUNTIFS(Database!$F:$I,CONCATENATE(AW$16,$B63,"L"))+COUNTIFS(Database!$F:$I,CONCATENATE($B63,AW$16,"W"))+COUNTIFS(Database!$F:$I,CONCATENATE(AW$16,$B63,"W"))</f>
        <v>0</v>
      </c>
      <c r="AX63" s="123">
        <f>COUNTIFS(Database!$F:$I,CONCATENATE($B63,AX$16,"L"))+COUNTIFS(Database!$F:$I,CONCATENATE(AX$16,$B63,"L"))+COUNTIFS(Database!$F:$I,CONCATENATE($B63,AX$16,"W"))+COUNTIFS(Database!$F:$I,CONCATENATE(AX$16,$B63,"W"))</f>
        <v>0</v>
      </c>
      <c r="AY63" s="123">
        <f>COUNTIFS(Database!$F:$I,CONCATENATE($B63,AY$16,"L"))+COUNTIFS(Database!$F:$I,CONCATENATE(AY$16,$B63,"L"))+COUNTIFS(Database!$F:$I,CONCATENATE($B63,AY$16,"W"))+COUNTIFS(Database!$F:$I,CONCATENATE(AY$16,$B63,"W"))</f>
        <v>3</v>
      </c>
    </row>
    <row r="64" spans="2:51" x14ac:dyDescent="0.25">
      <c r="B64" s="120" t="s">
        <v>27</v>
      </c>
      <c r="C64" s="123">
        <f>COUNTIFS(Database!$F:$I,CONCATENATE($B64,C$16,"L"))+COUNTIFS(Database!$F:$I,CONCATENATE(C$16,$B64,"L"))+COUNTIFS(Database!$F:$I,CONCATENATE($B64,C$16,"W"))+COUNTIFS(Database!$F:$I,CONCATENATE(C$16,$B64,"W"))</f>
        <v>1</v>
      </c>
      <c r="D64" s="123">
        <f>COUNTIFS(Database!$F:$I,CONCATENATE($B64,D$16,"L"))+COUNTIFS(Database!$F:$I,CONCATENATE(D$16,$B64,"L"))+COUNTIFS(Database!$F:$I,CONCATENATE($B64,D$16,"W"))+COUNTIFS(Database!$F:$I,CONCATENATE(D$16,$B64,"W"))</f>
        <v>1</v>
      </c>
      <c r="E64" s="123">
        <f>COUNTIFS(Database!$F:$I,CONCATENATE($B64,E$16,"L"))+COUNTIFS(Database!$F:$I,CONCATENATE(E$16,$B64,"L"))+COUNTIFS(Database!$F:$I,CONCATENATE($B64,E$16,"W"))+COUNTIFS(Database!$F:$I,CONCATENATE(E$16,$B64,"W"))</f>
        <v>3</v>
      </c>
      <c r="F64" s="123">
        <f>COUNTIFS(Database!$F:$I,CONCATENATE($B64,F$16,"L"))+COUNTIFS(Database!$F:$I,CONCATENATE(F$16,$B64,"L"))+COUNTIFS(Database!$F:$I,CONCATENATE($B64,F$16,"W"))+COUNTIFS(Database!$F:$I,CONCATENATE(F$16,$B64,"W"))</f>
        <v>0</v>
      </c>
      <c r="G64" s="123">
        <f>COUNTIFS(Database!$F:$I,CONCATENATE($B64,G$16,"L"))+COUNTIFS(Database!$F:$I,CONCATENATE(G$16,$B64,"L"))+COUNTIFS(Database!$F:$I,CONCATENATE($B64,G$16,"W"))+COUNTIFS(Database!$F:$I,CONCATENATE(G$16,$B64,"W"))</f>
        <v>0</v>
      </c>
      <c r="H64" s="123">
        <f>COUNTIFS(Database!$F:$I,CONCATENATE($B64,H$16,"L"))+COUNTIFS(Database!$F:$I,CONCATENATE(H$16,$B64,"L"))+COUNTIFS(Database!$F:$I,CONCATENATE($B64,H$16,"W"))+COUNTIFS(Database!$F:$I,CONCATENATE(H$16,$B64,"W"))</f>
        <v>0</v>
      </c>
      <c r="I64" s="123">
        <f>COUNTIFS(Database!$F:$I,CONCATENATE($B64,I$16,"L"))+COUNTIFS(Database!$F:$I,CONCATENATE(I$16,$B64,"L"))+COUNTIFS(Database!$F:$I,CONCATENATE($B64,I$16,"W"))+COUNTIFS(Database!$F:$I,CONCATENATE(I$16,$B64,"W"))</f>
        <v>1</v>
      </c>
      <c r="J64" s="123">
        <f>COUNTIFS(Database!$F:$I,CONCATENATE($B64,J$16,"L"))+COUNTIFS(Database!$F:$I,CONCATENATE(J$16,$B64,"L"))+COUNTIFS(Database!$F:$I,CONCATENATE($B64,J$16,"W"))+COUNTIFS(Database!$F:$I,CONCATENATE(J$16,$B64,"W"))</f>
        <v>0</v>
      </c>
      <c r="K64" s="123">
        <f>COUNTIFS(Database!$F:$I,CONCATENATE($B64,K$16,"L"))+COUNTIFS(Database!$F:$I,CONCATENATE(K$16,$B64,"L"))+COUNTIFS(Database!$F:$I,CONCATENATE($B64,K$16,"W"))+COUNTIFS(Database!$F:$I,CONCATENATE(K$16,$B64,"W"))</f>
        <v>1</v>
      </c>
      <c r="L64" s="123">
        <f>COUNTIFS(Database!$F:$I,CONCATENATE($B64,L$16,"L"))+COUNTIFS(Database!$F:$I,CONCATENATE(L$16,$B64,"L"))+COUNTIFS(Database!$F:$I,CONCATENATE($B64,L$16,"W"))+COUNTIFS(Database!$F:$I,CONCATENATE(L$16,$B64,"W"))</f>
        <v>0</v>
      </c>
      <c r="M64" s="123">
        <f>COUNTIFS(Database!$F:$I,CONCATENATE($B64,M$16,"L"))+COUNTIFS(Database!$F:$I,CONCATENATE(M$16,$B64,"L"))+COUNTIFS(Database!$F:$I,CONCATENATE($B64,M$16,"W"))+COUNTIFS(Database!$F:$I,CONCATENATE(M$16,$B64,"W"))</f>
        <v>0</v>
      </c>
      <c r="N64" s="123">
        <f>COUNTIFS(Database!$F:$I,CONCATENATE($B64,N$16,"L"))+COUNTIFS(Database!$F:$I,CONCATENATE(N$16,$B64,"L"))+COUNTIFS(Database!$F:$I,CONCATENATE($B64,N$16,"W"))+COUNTIFS(Database!$F:$I,CONCATENATE(N$16,$B64,"W"))</f>
        <v>0</v>
      </c>
      <c r="O64" s="123">
        <f>COUNTIFS(Database!$F:$I,CONCATENATE($B64,O$16,"L"))+COUNTIFS(Database!$F:$I,CONCATENATE(O$16,$B64,"L"))+COUNTIFS(Database!$F:$I,CONCATENATE($B64,O$16,"W"))+COUNTIFS(Database!$F:$I,CONCATENATE(O$16,$B64,"W"))</f>
        <v>1</v>
      </c>
      <c r="P64" s="123">
        <f>COUNTIFS(Database!$F:$I,CONCATENATE($B64,P$16,"L"))+COUNTIFS(Database!$F:$I,CONCATENATE(P$16,$B64,"L"))+COUNTIFS(Database!$F:$I,CONCATENATE($B64,P$16,"W"))+COUNTIFS(Database!$F:$I,CONCATENATE(P$16,$B64,"W"))</f>
        <v>0</v>
      </c>
      <c r="Q64" s="123">
        <f>COUNTIFS(Database!$F:$I,CONCATENATE($B64,Q$16,"L"))+COUNTIFS(Database!$F:$I,CONCATENATE(Q$16,$B64,"L"))+COUNTIFS(Database!$F:$I,CONCATENATE($B64,Q$16,"W"))+COUNTIFS(Database!$F:$I,CONCATENATE(Q$16,$B64,"W"))</f>
        <v>0</v>
      </c>
      <c r="R64" s="123">
        <f>COUNTIFS(Database!$F:$I,CONCATENATE($B64,R$16,"L"))+COUNTIFS(Database!$F:$I,CONCATENATE(R$16,$B64,"L"))+COUNTIFS(Database!$F:$I,CONCATENATE($B64,R$16,"W"))+COUNTIFS(Database!$F:$I,CONCATENATE(R$16,$B64,"W"))</f>
        <v>0</v>
      </c>
      <c r="S64" s="123">
        <f>COUNTIFS(Database!$F:$I,CONCATENATE($B64,S$16,"L"))+COUNTIFS(Database!$F:$I,CONCATENATE(S$16,$B64,"L"))+COUNTIFS(Database!$F:$I,CONCATENATE($B64,S$16,"W"))+COUNTIFS(Database!$F:$I,CONCATENATE(S$16,$B64,"W"))</f>
        <v>0</v>
      </c>
      <c r="T64" s="123">
        <f>COUNTIFS(Database!$F:$I,CONCATENATE($B64,T$16,"L"))+COUNTIFS(Database!$F:$I,CONCATENATE(T$16,$B64,"L"))+COUNTIFS(Database!$F:$I,CONCATENATE($B64,T$16,"W"))+COUNTIFS(Database!$F:$I,CONCATENATE(T$16,$B64,"W"))</f>
        <v>0</v>
      </c>
      <c r="U64" s="123">
        <f>COUNTIFS(Database!$F:$I,CONCATENATE($B64,U$16,"L"))+COUNTIFS(Database!$F:$I,CONCATENATE(U$16,$B64,"L"))+COUNTIFS(Database!$F:$I,CONCATENATE($B64,U$16,"W"))+COUNTIFS(Database!$F:$I,CONCATENATE(U$16,$B64,"W"))</f>
        <v>0</v>
      </c>
      <c r="V64" s="123">
        <f>COUNTIFS(Database!$F:$I,CONCATENATE($B64,V$16,"L"))+COUNTIFS(Database!$F:$I,CONCATENATE(V$16,$B64,"L"))+COUNTIFS(Database!$F:$I,CONCATENATE($B64,V$16,"W"))+COUNTIFS(Database!$F:$I,CONCATENATE(V$16,$B64,"W"))</f>
        <v>1</v>
      </c>
      <c r="W64" s="123">
        <f>COUNTIFS(Database!$F:$I,CONCATENATE($B64,W$16,"L"))+COUNTIFS(Database!$F:$I,CONCATENATE(W$16,$B64,"L"))+COUNTIFS(Database!$F:$I,CONCATENATE($B64,W$16,"W"))+COUNTIFS(Database!$F:$I,CONCATENATE(W$16,$B64,"W"))</f>
        <v>2</v>
      </c>
      <c r="X64" s="123">
        <f>COUNTIFS(Database!$F:$I,CONCATENATE($B64,X$16,"L"))+COUNTIFS(Database!$F:$I,CONCATENATE(X$16,$B64,"L"))+COUNTIFS(Database!$F:$I,CONCATENATE($B64,X$16,"W"))+COUNTIFS(Database!$F:$I,CONCATENATE(X$16,$B64,"W"))</f>
        <v>0</v>
      </c>
      <c r="Y64" s="123">
        <f>COUNTIFS(Database!$F:$I,CONCATENATE($B64,Y$16,"L"))+COUNTIFS(Database!$F:$I,CONCATENATE(Y$16,$B64,"L"))+COUNTIFS(Database!$F:$I,CONCATENATE($B64,Y$16,"W"))+COUNTIFS(Database!$F:$I,CONCATENATE(Y$16,$B64,"W"))</f>
        <v>0</v>
      </c>
      <c r="Z64" s="123">
        <f>COUNTIFS(Database!$F:$I,CONCATENATE($B64,Z$16,"L"))+COUNTIFS(Database!$F:$I,CONCATENATE(Z$16,$B64,"L"))+COUNTIFS(Database!$F:$I,CONCATENATE($B64,Z$16,"W"))+COUNTIFS(Database!$F:$I,CONCATENATE(Z$16,$B64,"W"))</f>
        <v>0</v>
      </c>
      <c r="AA64" s="123">
        <f>COUNTIFS(Database!$F:$I,CONCATENATE($B64,AA$16,"L"))+COUNTIFS(Database!$F:$I,CONCATENATE(AA$16,$B64,"L"))+COUNTIFS(Database!$F:$I,CONCATENATE($B64,AA$16,"W"))+COUNTIFS(Database!$F:$I,CONCATENATE(AA$16,$B64,"W"))</f>
        <v>0</v>
      </c>
      <c r="AB64" s="123">
        <f>COUNTIFS(Database!$F:$I,CONCATENATE($B64,AB$16,"L"))+COUNTIFS(Database!$F:$I,CONCATENATE(AB$16,$B64,"L"))+COUNTIFS(Database!$F:$I,CONCATENATE($B64,AB$16,"W"))+COUNTIFS(Database!$F:$I,CONCATENATE(AB$16,$B64,"W"))</f>
        <v>1</v>
      </c>
      <c r="AC64" s="123">
        <f>COUNTIFS(Database!$F:$I,CONCATENATE($B64,AC$16,"L"))+COUNTIFS(Database!$F:$I,CONCATENATE(AC$16,$B64,"L"))+COUNTIFS(Database!$F:$I,CONCATENATE($B64,AC$16,"W"))+COUNTIFS(Database!$F:$I,CONCATENATE(AC$16,$B64,"W"))</f>
        <v>1</v>
      </c>
      <c r="AD64" s="123">
        <f>COUNTIFS(Database!$F:$I,CONCATENATE($B64,AD$16,"L"))+COUNTIFS(Database!$F:$I,CONCATENATE(AD$16,$B64,"L"))+COUNTIFS(Database!$F:$I,CONCATENATE($B64,AD$16,"W"))+COUNTIFS(Database!$F:$I,CONCATENATE(AD$16,$B64,"W"))</f>
        <v>0</v>
      </c>
      <c r="AE64" s="123">
        <f>COUNTIFS(Database!$F:$I,CONCATENATE($B64,AE$16,"L"))+COUNTIFS(Database!$F:$I,CONCATENATE(AE$16,$B64,"L"))+COUNTIFS(Database!$F:$I,CONCATENATE($B64,AE$16,"W"))+COUNTIFS(Database!$F:$I,CONCATENATE(AE$16,$B64,"W"))</f>
        <v>0</v>
      </c>
      <c r="AF64" s="123">
        <f>COUNTIFS(Database!$F:$I,CONCATENATE($B64,AF$16,"L"))+COUNTIFS(Database!$F:$I,CONCATENATE(AF$16,$B64,"L"))+COUNTIFS(Database!$F:$I,CONCATENATE($B64,AF$16,"W"))+COUNTIFS(Database!$F:$I,CONCATENATE(AF$16,$B64,"W"))</f>
        <v>0</v>
      </c>
      <c r="AG64" s="123">
        <f>COUNTIFS(Database!$F:$I,CONCATENATE($B64,AG$16,"L"))+COUNTIFS(Database!$F:$I,CONCATENATE(AG$16,$B64,"L"))+COUNTIFS(Database!$F:$I,CONCATENATE($B64,AG$16,"W"))+COUNTIFS(Database!$F:$I,CONCATENATE(AG$16,$B64,"W"))</f>
        <v>1</v>
      </c>
      <c r="AH64" s="123">
        <f>COUNTIFS(Database!$F:$I,CONCATENATE($B64,AH$16,"L"))+COUNTIFS(Database!$F:$I,CONCATENATE(AH$16,$B64,"L"))+COUNTIFS(Database!$F:$I,CONCATENATE($B64,AH$16,"W"))+COUNTIFS(Database!$F:$I,CONCATENATE(AH$16,$B64,"W"))</f>
        <v>0</v>
      </c>
      <c r="AI64" s="123">
        <f>COUNTIFS(Database!$F:$I,CONCATENATE($B64,AI$16,"L"))+COUNTIFS(Database!$F:$I,CONCATENATE(AI$16,$B64,"L"))+COUNTIFS(Database!$F:$I,CONCATENATE($B64,AI$16,"W"))+COUNTIFS(Database!$F:$I,CONCATENATE(AI$16,$B64,"W"))</f>
        <v>1</v>
      </c>
      <c r="AJ64" s="123">
        <f>COUNTIFS(Database!$F:$I,CONCATENATE($B64,AJ$16,"L"))+COUNTIFS(Database!$F:$I,CONCATENATE(AJ$16,$B64,"L"))+COUNTIFS(Database!$F:$I,CONCATENATE($B64,AJ$16,"W"))+COUNTIFS(Database!$F:$I,CONCATENATE(AJ$16,$B64,"W"))</f>
        <v>0</v>
      </c>
      <c r="AK64" s="123">
        <f>COUNTIFS(Database!$F:$I,CONCATENATE($B64,AK$16,"L"))+COUNTIFS(Database!$F:$I,CONCATENATE(AK$16,$B64,"L"))+COUNTIFS(Database!$F:$I,CONCATENATE($B64,AK$16,"W"))+COUNTIFS(Database!$F:$I,CONCATENATE(AK$16,$B64,"W"))</f>
        <v>0</v>
      </c>
      <c r="AL64" s="123">
        <f>COUNTIFS(Database!$F:$I,CONCATENATE($B64,AL$16,"L"))+COUNTIFS(Database!$F:$I,CONCATENATE(AL$16,$B64,"L"))+COUNTIFS(Database!$F:$I,CONCATENATE($B64,AL$16,"W"))+COUNTIFS(Database!$F:$I,CONCATENATE(AL$16,$B64,"W"))</f>
        <v>0</v>
      </c>
      <c r="AM64" s="123">
        <f>COUNTIFS(Database!$F:$I,CONCATENATE($B64,AM$16,"L"))+COUNTIFS(Database!$F:$I,CONCATENATE(AM$16,$B64,"L"))+COUNTIFS(Database!$F:$I,CONCATENATE($B64,AM$16,"W"))+COUNTIFS(Database!$F:$I,CONCATENATE(AM$16,$B64,"W"))</f>
        <v>0</v>
      </c>
      <c r="AN64" s="123">
        <f>COUNTIFS(Database!$F:$I,CONCATENATE($B64,AN$16,"L"))+COUNTIFS(Database!$F:$I,CONCATENATE(AN$16,$B64,"L"))+COUNTIFS(Database!$F:$I,CONCATENATE($B64,AN$16,"W"))+COUNTIFS(Database!$F:$I,CONCATENATE(AN$16,$B64,"W"))</f>
        <v>0</v>
      </c>
      <c r="AO64" s="123">
        <f>COUNTIFS(Database!$F:$I,CONCATENATE($B64,AO$16,"L"))+COUNTIFS(Database!$F:$I,CONCATENATE(AO$16,$B64,"L"))+COUNTIFS(Database!$F:$I,CONCATENATE($B64,AO$16,"W"))+COUNTIFS(Database!$F:$I,CONCATENATE(AO$16,$B64,"W"))</f>
        <v>1</v>
      </c>
      <c r="AP64" s="123">
        <f>COUNTIFS(Database!$F:$I,CONCATENATE($B64,AP$16,"L"))+COUNTIFS(Database!$F:$I,CONCATENATE(AP$16,$B64,"L"))+COUNTIFS(Database!$F:$I,CONCATENATE($B64,AP$16,"W"))+COUNTIFS(Database!$F:$I,CONCATENATE(AP$16,$B64,"W"))</f>
        <v>0</v>
      </c>
      <c r="AQ64" s="123">
        <f>COUNTIFS(Database!$F:$I,CONCATENATE($B64,AQ$16,"L"))+COUNTIFS(Database!$F:$I,CONCATENATE(AQ$16,$B64,"L"))+COUNTIFS(Database!$F:$I,CONCATENATE($B64,AQ$16,"W"))+COUNTIFS(Database!$F:$I,CONCATENATE(AQ$16,$B64,"W"))</f>
        <v>2</v>
      </c>
      <c r="AR64" s="123">
        <f>COUNTIFS(Database!$F:$I,CONCATENATE($B64,AR$16,"L"))+COUNTIFS(Database!$F:$I,CONCATENATE(AR$16,$B64,"L"))+COUNTIFS(Database!$F:$I,CONCATENATE($B64,AR$16,"W"))+COUNTIFS(Database!$F:$I,CONCATENATE(AR$16,$B64,"W"))</f>
        <v>0</v>
      </c>
      <c r="AS64" s="123">
        <f>COUNTIFS(Database!$F:$I,CONCATENATE($B64,AS$16,"L"))+COUNTIFS(Database!$F:$I,CONCATENATE(AS$16,$B64,"L"))+COUNTIFS(Database!$F:$I,CONCATENATE($B64,AS$16,"W"))+COUNTIFS(Database!$F:$I,CONCATENATE(AS$16,$B64,"W"))</f>
        <v>0</v>
      </c>
      <c r="AT64" s="123">
        <f>COUNTIFS(Database!$F:$I,CONCATENATE($B64,AT$16,"L"))+COUNTIFS(Database!$F:$I,CONCATENATE(AT$16,$B64,"L"))+COUNTIFS(Database!$F:$I,CONCATENATE($B64,AT$16,"W"))+COUNTIFS(Database!$F:$I,CONCATENATE(AT$16,$B64,"W"))</f>
        <v>0</v>
      </c>
      <c r="AU64" s="123">
        <f>COUNTIFS(Database!$F:$I,CONCATENATE($B64,AU$16,"L"))+COUNTIFS(Database!$F:$I,CONCATENATE(AU$16,$B64,"L"))+COUNTIFS(Database!$F:$I,CONCATENATE($B64,AU$16,"W"))+COUNTIFS(Database!$F:$I,CONCATENATE(AU$16,$B64,"W"))</f>
        <v>0</v>
      </c>
      <c r="AV64" s="123">
        <f>COUNTIFS(Database!$F:$I,CONCATENATE($B64,AV$16,"L"))+COUNTIFS(Database!$F:$I,CONCATENATE(AV$16,$B64,"L"))+COUNTIFS(Database!$F:$I,CONCATENATE($B64,AV$16,"W"))+COUNTIFS(Database!$F:$I,CONCATENATE(AV$16,$B64,"W"))</f>
        <v>0</v>
      </c>
      <c r="AW64" s="123">
        <f>COUNTIFS(Database!$F:$I,CONCATENATE($B64,AW$16,"L"))+COUNTIFS(Database!$F:$I,CONCATENATE(AW$16,$B64,"L"))+COUNTIFS(Database!$F:$I,CONCATENATE($B64,AW$16,"W"))+COUNTIFS(Database!$F:$I,CONCATENATE(AW$16,$B64,"W"))</f>
        <v>0</v>
      </c>
      <c r="AX64" s="123">
        <f>COUNTIFS(Database!$F:$I,CONCATENATE($B64,AX$16,"L"))+COUNTIFS(Database!$F:$I,CONCATENATE(AX$16,$B64,"L"))+COUNTIFS(Database!$F:$I,CONCATENATE($B64,AX$16,"W"))+COUNTIFS(Database!$F:$I,CONCATENATE(AX$16,$B64,"W"))</f>
        <v>0</v>
      </c>
      <c r="AY64" s="123">
        <f>COUNTIFS(Database!$F:$I,CONCATENATE($B64,AY$16,"L"))+COUNTIFS(Database!$F:$I,CONCATENATE(AY$16,$B64,"L"))+COUNTIFS(Database!$F:$I,CONCATENATE($B64,AY$16,"W"))+COUNTIFS(Database!$F:$I,CONCATENATE(AY$16,$B64,"W"))</f>
        <v>1</v>
      </c>
    </row>
    <row r="65" spans="2:51" x14ac:dyDescent="0.25">
      <c r="B65" s="124" t="s">
        <v>36</v>
      </c>
      <c r="C65" s="123">
        <f>COUNTIFS(Database!$F:$I,CONCATENATE($B65,C$16,"L"))+COUNTIFS(Database!$F:$I,CONCATENATE(C$16,$B65,"L"))+COUNTIFS(Database!$F:$I,CONCATENATE($B65,C$16,"W"))+COUNTIFS(Database!$F:$I,CONCATENATE(C$16,$B65,"W"))</f>
        <v>10</v>
      </c>
      <c r="D65" s="123">
        <f>COUNTIFS(Database!$F:$I,CONCATENATE($B65,D$16,"L"))+COUNTIFS(Database!$F:$I,CONCATENATE(D$16,$B65,"L"))+COUNTIFS(Database!$F:$I,CONCATENATE($B65,D$16,"W"))+COUNTIFS(Database!$F:$I,CONCATENATE(D$16,$B65,"W"))</f>
        <v>0</v>
      </c>
      <c r="E65" s="123">
        <f>COUNTIFS(Database!$F:$I,CONCATENATE($B65,E$16,"L"))+COUNTIFS(Database!$F:$I,CONCATENATE(E$16,$B65,"L"))+COUNTIFS(Database!$F:$I,CONCATENATE($B65,E$16,"W"))+COUNTIFS(Database!$F:$I,CONCATENATE(E$16,$B65,"W"))</f>
        <v>6</v>
      </c>
      <c r="F65" s="123">
        <f>COUNTIFS(Database!$F:$I,CONCATENATE($B65,F$16,"L"))+COUNTIFS(Database!$F:$I,CONCATENATE(F$16,$B65,"L"))+COUNTIFS(Database!$F:$I,CONCATENATE($B65,F$16,"W"))+COUNTIFS(Database!$F:$I,CONCATENATE(F$16,$B65,"W"))</f>
        <v>4</v>
      </c>
      <c r="G65" s="123">
        <f>COUNTIFS(Database!$F:$I,CONCATENATE($B65,G$16,"L"))+COUNTIFS(Database!$F:$I,CONCATENATE(G$16,$B65,"L"))+COUNTIFS(Database!$F:$I,CONCATENATE($B65,G$16,"W"))+COUNTIFS(Database!$F:$I,CONCATENATE(G$16,$B65,"W"))</f>
        <v>1</v>
      </c>
      <c r="H65" s="123">
        <f>COUNTIFS(Database!$F:$I,CONCATENATE($B65,H$16,"L"))+COUNTIFS(Database!$F:$I,CONCATENATE(H$16,$B65,"L"))+COUNTIFS(Database!$F:$I,CONCATENATE($B65,H$16,"W"))+COUNTIFS(Database!$F:$I,CONCATENATE(H$16,$B65,"W"))</f>
        <v>0</v>
      </c>
      <c r="I65" s="123">
        <f>COUNTIFS(Database!$F:$I,CONCATENATE($B65,I$16,"L"))+COUNTIFS(Database!$F:$I,CONCATENATE(I$16,$B65,"L"))+COUNTIFS(Database!$F:$I,CONCATENATE($B65,I$16,"W"))+COUNTIFS(Database!$F:$I,CONCATENATE(I$16,$B65,"W"))</f>
        <v>2</v>
      </c>
      <c r="J65" s="123">
        <f>COUNTIFS(Database!$F:$I,CONCATENATE($B65,J$16,"L"))+COUNTIFS(Database!$F:$I,CONCATENATE(J$16,$B65,"L"))+COUNTIFS(Database!$F:$I,CONCATENATE($B65,J$16,"W"))+COUNTIFS(Database!$F:$I,CONCATENATE(J$16,$B65,"W"))</f>
        <v>2</v>
      </c>
      <c r="K65" s="123">
        <f>COUNTIFS(Database!$F:$I,CONCATENATE($B65,K$16,"L"))+COUNTIFS(Database!$F:$I,CONCATENATE(K$16,$B65,"L"))+COUNTIFS(Database!$F:$I,CONCATENATE($B65,K$16,"W"))+COUNTIFS(Database!$F:$I,CONCATENATE(K$16,$B65,"W"))</f>
        <v>5</v>
      </c>
      <c r="L65" s="123">
        <f>COUNTIFS(Database!$F:$I,CONCATENATE($B65,L$16,"L"))+COUNTIFS(Database!$F:$I,CONCATENATE(L$16,$B65,"L"))+COUNTIFS(Database!$F:$I,CONCATENATE($B65,L$16,"W"))+COUNTIFS(Database!$F:$I,CONCATENATE(L$16,$B65,"W"))</f>
        <v>1</v>
      </c>
      <c r="M65" s="123">
        <f>COUNTIFS(Database!$F:$I,CONCATENATE($B65,M$16,"L"))+COUNTIFS(Database!$F:$I,CONCATENATE(M$16,$B65,"L"))+COUNTIFS(Database!$F:$I,CONCATENATE($B65,M$16,"W"))+COUNTIFS(Database!$F:$I,CONCATENATE(M$16,$B65,"W"))</f>
        <v>0</v>
      </c>
      <c r="N65" s="123">
        <f>COUNTIFS(Database!$F:$I,CONCATENATE($B65,N$16,"L"))+COUNTIFS(Database!$F:$I,CONCATENATE(N$16,$B65,"L"))+COUNTIFS(Database!$F:$I,CONCATENATE($B65,N$16,"W"))+COUNTIFS(Database!$F:$I,CONCATENATE(N$16,$B65,"W"))</f>
        <v>3</v>
      </c>
      <c r="O65" s="123">
        <f>COUNTIFS(Database!$F:$I,CONCATENATE($B65,O$16,"L"))+COUNTIFS(Database!$F:$I,CONCATENATE(O$16,$B65,"L"))+COUNTIFS(Database!$F:$I,CONCATENATE($B65,O$16,"W"))+COUNTIFS(Database!$F:$I,CONCATENATE(O$16,$B65,"W"))</f>
        <v>9</v>
      </c>
      <c r="P65" s="123">
        <f>COUNTIFS(Database!$F:$I,CONCATENATE($B65,P$16,"L"))+COUNTIFS(Database!$F:$I,CONCATENATE(P$16,$B65,"L"))+COUNTIFS(Database!$F:$I,CONCATENATE($B65,P$16,"W"))+COUNTIFS(Database!$F:$I,CONCATENATE(P$16,$B65,"W"))</f>
        <v>1</v>
      </c>
      <c r="Q65" s="123">
        <f>COUNTIFS(Database!$F:$I,CONCATENATE($B65,Q$16,"L"))+COUNTIFS(Database!$F:$I,CONCATENATE(Q$16,$B65,"L"))+COUNTIFS(Database!$F:$I,CONCATENATE($B65,Q$16,"W"))+COUNTIFS(Database!$F:$I,CONCATENATE(Q$16,$B65,"W"))</f>
        <v>0</v>
      </c>
      <c r="R65" s="123">
        <f>COUNTIFS(Database!$F:$I,CONCATENATE($B65,R$16,"L"))+COUNTIFS(Database!$F:$I,CONCATENATE(R$16,$B65,"L"))+COUNTIFS(Database!$F:$I,CONCATENATE($B65,R$16,"W"))+COUNTIFS(Database!$F:$I,CONCATENATE(R$16,$B65,"W"))</f>
        <v>0</v>
      </c>
      <c r="S65" s="123">
        <f>COUNTIFS(Database!$F:$I,CONCATENATE($B65,S$16,"L"))+COUNTIFS(Database!$F:$I,CONCATENATE(S$16,$B65,"L"))+COUNTIFS(Database!$F:$I,CONCATENATE($B65,S$16,"W"))+COUNTIFS(Database!$F:$I,CONCATENATE(S$16,$B65,"W"))</f>
        <v>2</v>
      </c>
      <c r="T65" s="123">
        <f>COUNTIFS(Database!$F:$I,CONCATENATE($B65,T$16,"L"))+COUNTIFS(Database!$F:$I,CONCATENATE(T$16,$B65,"L"))+COUNTIFS(Database!$F:$I,CONCATENATE($B65,T$16,"W"))+COUNTIFS(Database!$F:$I,CONCATENATE(T$16,$B65,"W"))</f>
        <v>1</v>
      </c>
      <c r="U65" s="123">
        <f>COUNTIFS(Database!$F:$I,CONCATENATE($B65,U$16,"L"))+COUNTIFS(Database!$F:$I,CONCATENATE(U$16,$B65,"L"))+COUNTIFS(Database!$F:$I,CONCATENATE($B65,U$16,"W"))+COUNTIFS(Database!$F:$I,CONCATENATE(U$16,$B65,"W"))</f>
        <v>0</v>
      </c>
      <c r="V65" s="123">
        <f>COUNTIFS(Database!$F:$I,CONCATENATE($B65,V$16,"L"))+COUNTIFS(Database!$F:$I,CONCATENATE(V$16,$B65,"L"))+COUNTIFS(Database!$F:$I,CONCATENATE($B65,V$16,"W"))+COUNTIFS(Database!$F:$I,CONCATENATE(V$16,$B65,"W"))</f>
        <v>1</v>
      </c>
      <c r="W65" s="123">
        <f>COUNTIFS(Database!$F:$I,CONCATENATE($B65,W$16,"L"))+COUNTIFS(Database!$F:$I,CONCATENATE(W$16,$B65,"L"))+COUNTIFS(Database!$F:$I,CONCATENATE($B65,W$16,"W"))+COUNTIFS(Database!$F:$I,CONCATENATE(W$16,$B65,"W"))</f>
        <v>6</v>
      </c>
      <c r="X65" s="123">
        <f>COUNTIFS(Database!$F:$I,CONCATENATE($B65,X$16,"L"))+COUNTIFS(Database!$F:$I,CONCATENATE(X$16,$B65,"L"))+COUNTIFS(Database!$F:$I,CONCATENATE($B65,X$16,"W"))+COUNTIFS(Database!$F:$I,CONCATENATE(X$16,$B65,"W"))</f>
        <v>0</v>
      </c>
      <c r="Y65" s="123">
        <f>COUNTIFS(Database!$F:$I,CONCATENATE($B65,Y$16,"L"))+COUNTIFS(Database!$F:$I,CONCATENATE(Y$16,$B65,"L"))+COUNTIFS(Database!$F:$I,CONCATENATE($B65,Y$16,"W"))+COUNTIFS(Database!$F:$I,CONCATENATE(Y$16,$B65,"W"))</f>
        <v>2</v>
      </c>
      <c r="Z65" s="123">
        <f>COUNTIFS(Database!$F:$I,CONCATENATE($B65,Z$16,"L"))+COUNTIFS(Database!$F:$I,CONCATENATE(Z$16,$B65,"L"))+COUNTIFS(Database!$F:$I,CONCATENATE($B65,Z$16,"W"))+COUNTIFS(Database!$F:$I,CONCATENATE(Z$16,$B65,"W"))</f>
        <v>1</v>
      </c>
      <c r="AA65" s="123">
        <f>COUNTIFS(Database!$F:$I,CONCATENATE($B65,AA$16,"L"))+COUNTIFS(Database!$F:$I,CONCATENATE(AA$16,$B65,"L"))+COUNTIFS(Database!$F:$I,CONCATENATE($B65,AA$16,"W"))+COUNTIFS(Database!$F:$I,CONCATENATE(AA$16,$B65,"W"))</f>
        <v>1</v>
      </c>
      <c r="AB65" s="123">
        <f>COUNTIFS(Database!$F:$I,CONCATENATE($B65,AB$16,"L"))+COUNTIFS(Database!$F:$I,CONCATENATE(AB$16,$B65,"L"))+COUNTIFS(Database!$F:$I,CONCATENATE($B65,AB$16,"W"))+COUNTIFS(Database!$F:$I,CONCATENATE(AB$16,$B65,"W"))</f>
        <v>3</v>
      </c>
      <c r="AC65" s="123">
        <f>COUNTIFS(Database!$F:$I,CONCATENATE($B65,AC$16,"L"))+COUNTIFS(Database!$F:$I,CONCATENATE(AC$16,$B65,"L"))+COUNTIFS(Database!$F:$I,CONCATENATE($B65,AC$16,"W"))+COUNTIFS(Database!$F:$I,CONCATENATE(AC$16,$B65,"W"))</f>
        <v>4</v>
      </c>
      <c r="AD65" s="123">
        <f>COUNTIFS(Database!$F:$I,CONCATENATE($B65,AD$16,"L"))+COUNTIFS(Database!$F:$I,CONCATENATE(AD$16,$B65,"L"))+COUNTIFS(Database!$F:$I,CONCATENATE($B65,AD$16,"W"))+COUNTIFS(Database!$F:$I,CONCATENATE(AD$16,$B65,"W"))</f>
        <v>4</v>
      </c>
      <c r="AE65" s="123">
        <f>COUNTIFS(Database!$F:$I,CONCATENATE($B65,AE$16,"L"))+COUNTIFS(Database!$F:$I,CONCATENATE(AE$16,$B65,"L"))+COUNTIFS(Database!$F:$I,CONCATENATE($B65,AE$16,"W"))+COUNTIFS(Database!$F:$I,CONCATENATE(AE$16,$B65,"W"))</f>
        <v>0</v>
      </c>
      <c r="AF65" s="123">
        <f>COUNTIFS(Database!$F:$I,CONCATENATE($B65,AF$16,"L"))+COUNTIFS(Database!$F:$I,CONCATENATE(AF$16,$B65,"L"))+COUNTIFS(Database!$F:$I,CONCATENATE($B65,AF$16,"W"))+COUNTIFS(Database!$F:$I,CONCATENATE(AF$16,$B65,"W"))</f>
        <v>0</v>
      </c>
      <c r="AG65" s="123">
        <f>COUNTIFS(Database!$F:$I,CONCATENATE($B65,AG$16,"L"))+COUNTIFS(Database!$F:$I,CONCATENATE(AG$16,$B65,"L"))+COUNTIFS(Database!$F:$I,CONCATENATE($B65,AG$16,"W"))+COUNTIFS(Database!$F:$I,CONCATENATE(AG$16,$B65,"W"))</f>
        <v>0</v>
      </c>
      <c r="AH65" s="123">
        <f>COUNTIFS(Database!$F:$I,CONCATENATE($B65,AH$16,"L"))+COUNTIFS(Database!$F:$I,CONCATENATE(AH$16,$B65,"L"))+COUNTIFS(Database!$F:$I,CONCATENATE($B65,AH$16,"W"))+COUNTIFS(Database!$F:$I,CONCATENATE(AH$16,$B65,"W"))</f>
        <v>0</v>
      </c>
      <c r="AI65" s="123">
        <f>COUNTIFS(Database!$F:$I,CONCATENATE($B65,AI$16,"L"))+COUNTIFS(Database!$F:$I,CONCATENATE(AI$16,$B65,"L"))+COUNTIFS(Database!$F:$I,CONCATENATE($B65,AI$16,"W"))+COUNTIFS(Database!$F:$I,CONCATENATE(AI$16,$B65,"W"))</f>
        <v>1</v>
      </c>
      <c r="AJ65" s="123">
        <f>COUNTIFS(Database!$F:$I,CONCATENATE($B65,AJ$16,"L"))+COUNTIFS(Database!$F:$I,CONCATENATE(AJ$16,$B65,"L"))+COUNTIFS(Database!$F:$I,CONCATENATE($B65,AJ$16,"W"))+COUNTIFS(Database!$F:$I,CONCATENATE(AJ$16,$B65,"W"))</f>
        <v>0</v>
      </c>
      <c r="AK65" s="123">
        <f>COUNTIFS(Database!$F:$I,CONCATENATE($B65,AK$16,"L"))+COUNTIFS(Database!$F:$I,CONCATENATE(AK$16,$B65,"L"))+COUNTIFS(Database!$F:$I,CONCATENATE($B65,AK$16,"W"))+COUNTIFS(Database!$F:$I,CONCATENATE(AK$16,$B65,"W"))</f>
        <v>7</v>
      </c>
      <c r="AL65" s="123">
        <f>COUNTIFS(Database!$F:$I,CONCATENATE($B65,AL$16,"L"))+COUNTIFS(Database!$F:$I,CONCATENATE(AL$16,$B65,"L"))+COUNTIFS(Database!$F:$I,CONCATENATE($B65,AL$16,"W"))+COUNTIFS(Database!$F:$I,CONCATENATE(AL$16,$B65,"W"))</f>
        <v>3</v>
      </c>
      <c r="AM65" s="123">
        <f>COUNTIFS(Database!$F:$I,CONCATENATE($B65,AM$16,"L"))+COUNTIFS(Database!$F:$I,CONCATENATE(AM$16,$B65,"L"))+COUNTIFS(Database!$F:$I,CONCATENATE($B65,AM$16,"W"))+COUNTIFS(Database!$F:$I,CONCATENATE(AM$16,$B65,"W"))</f>
        <v>1</v>
      </c>
      <c r="AN65" s="123">
        <f>COUNTIFS(Database!$F:$I,CONCATENATE($B65,AN$16,"L"))+COUNTIFS(Database!$F:$I,CONCATENATE(AN$16,$B65,"L"))+COUNTIFS(Database!$F:$I,CONCATENATE($B65,AN$16,"W"))+COUNTIFS(Database!$F:$I,CONCATENATE(AN$16,$B65,"W"))</f>
        <v>0</v>
      </c>
      <c r="AO65" s="123">
        <f>COUNTIFS(Database!$F:$I,CONCATENATE($B65,AO$16,"L"))+COUNTIFS(Database!$F:$I,CONCATENATE(AO$16,$B65,"L"))+COUNTIFS(Database!$F:$I,CONCATENATE($B65,AO$16,"W"))+COUNTIFS(Database!$F:$I,CONCATENATE(AO$16,$B65,"W"))</f>
        <v>5</v>
      </c>
      <c r="AP65" s="123">
        <f>COUNTIFS(Database!$F:$I,CONCATENATE($B65,AP$16,"L"))+COUNTIFS(Database!$F:$I,CONCATENATE(AP$16,$B65,"L"))+COUNTIFS(Database!$F:$I,CONCATENATE($B65,AP$16,"W"))+COUNTIFS(Database!$F:$I,CONCATENATE(AP$16,$B65,"W"))</f>
        <v>0</v>
      </c>
      <c r="AQ65" s="123">
        <f>COUNTIFS(Database!$F:$I,CONCATENATE($B65,AQ$16,"L"))+COUNTIFS(Database!$F:$I,CONCATENATE(AQ$16,$B65,"L"))+COUNTIFS(Database!$F:$I,CONCATENATE($B65,AQ$16,"W"))+COUNTIFS(Database!$F:$I,CONCATENATE(AQ$16,$B65,"W"))</f>
        <v>2</v>
      </c>
      <c r="AR65" s="123">
        <f>COUNTIFS(Database!$F:$I,CONCATENATE($B65,AR$16,"L"))+COUNTIFS(Database!$F:$I,CONCATENATE(AR$16,$B65,"L"))+COUNTIFS(Database!$F:$I,CONCATENATE($B65,AR$16,"W"))+COUNTIFS(Database!$F:$I,CONCATENATE(AR$16,$B65,"W"))</f>
        <v>6</v>
      </c>
      <c r="AS65" s="123">
        <f>COUNTIFS(Database!$F:$I,CONCATENATE($B65,AS$16,"L"))+COUNTIFS(Database!$F:$I,CONCATENATE(AS$16,$B65,"L"))+COUNTIFS(Database!$F:$I,CONCATENATE($B65,AS$16,"W"))+COUNTIFS(Database!$F:$I,CONCATENATE(AS$16,$B65,"W"))</f>
        <v>1</v>
      </c>
      <c r="AT65" s="123">
        <f>COUNTIFS(Database!$F:$I,CONCATENATE($B65,AT$16,"L"))+COUNTIFS(Database!$F:$I,CONCATENATE(AT$16,$B65,"L"))+COUNTIFS(Database!$F:$I,CONCATENATE($B65,AT$16,"W"))+COUNTIFS(Database!$F:$I,CONCATENATE(AT$16,$B65,"W"))</f>
        <v>0</v>
      </c>
      <c r="AU65" s="123">
        <f>COUNTIFS(Database!$F:$I,CONCATENATE($B65,AU$16,"L"))+COUNTIFS(Database!$F:$I,CONCATENATE(AU$16,$B65,"L"))+COUNTIFS(Database!$F:$I,CONCATENATE($B65,AU$16,"W"))+COUNTIFS(Database!$F:$I,CONCATENATE(AU$16,$B65,"W"))</f>
        <v>3</v>
      </c>
      <c r="AV65" s="123">
        <f>COUNTIFS(Database!$F:$I,CONCATENATE($B65,AV$16,"L"))+COUNTIFS(Database!$F:$I,CONCATENATE(AV$16,$B65,"L"))+COUNTIFS(Database!$F:$I,CONCATENATE($B65,AV$16,"W"))+COUNTIFS(Database!$F:$I,CONCATENATE(AV$16,$B65,"W"))</f>
        <v>0</v>
      </c>
      <c r="AW65" s="123">
        <f>COUNTIFS(Database!$F:$I,CONCATENATE($B65,AW$16,"L"))+COUNTIFS(Database!$F:$I,CONCATENATE(AW$16,$B65,"L"))+COUNTIFS(Database!$F:$I,CONCATENATE($B65,AW$16,"W"))+COUNTIFS(Database!$F:$I,CONCATENATE(AW$16,$B65,"W"))</f>
        <v>3</v>
      </c>
      <c r="AX65" s="123">
        <f>COUNTIFS(Database!$F:$I,CONCATENATE($B65,AX$16,"L"))+COUNTIFS(Database!$F:$I,CONCATENATE(AX$16,$B65,"L"))+COUNTIFS(Database!$F:$I,CONCATENATE($B65,AX$16,"W"))+COUNTIFS(Database!$F:$I,CONCATENATE(AX$16,$B65,"W"))</f>
        <v>1</v>
      </c>
      <c r="AY65" s="123">
        <f>COUNTIFS(Database!$F:$I,CONCATENATE($B65,AY$16,"L"))+COUNTIFS(Database!$F:$I,CONCATENATE(AY$16,$B65,"L"))+COUNTIFS(Database!$F:$I,CONCATENATE($B65,AY$16,"W"))+COUNTIFS(Database!$F:$I,CONCATENATE(AY$16,$B65,"W"))</f>
        <v>0</v>
      </c>
    </row>
    <row r="66" spans="2:51" x14ac:dyDescent="0.25">
      <c r="B66" s="126"/>
      <c r="C66" s="126"/>
      <c r="D66" s="127"/>
      <c r="E66" s="126"/>
      <c r="F66" s="126"/>
      <c r="G66" s="126"/>
      <c r="H66" s="126"/>
      <c r="I66" s="126"/>
      <c r="J66" s="126"/>
      <c r="K66" s="126"/>
      <c r="L66" s="126"/>
      <c r="M66" s="126"/>
      <c r="N66" s="126"/>
      <c r="O66" s="126"/>
      <c r="P66" s="126"/>
      <c r="Q66" s="126"/>
      <c r="R66" s="126"/>
      <c r="S66" s="126"/>
      <c r="T66" s="126"/>
      <c r="U66" s="126"/>
      <c r="V66" s="126"/>
      <c r="W66" s="126"/>
      <c r="X66" s="126"/>
      <c r="Y66" s="126"/>
      <c r="Z66" s="126"/>
      <c r="AA66" s="126"/>
      <c r="AB66" s="126"/>
      <c r="AC66" s="126"/>
      <c r="AD66" s="126"/>
      <c r="AE66" s="126"/>
      <c r="AF66" s="126"/>
      <c r="AG66" s="126"/>
      <c r="AH66" s="126"/>
      <c r="AI66" s="126"/>
      <c r="AJ66" s="126"/>
      <c r="AK66" s="126"/>
      <c r="AL66" s="126"/>
      <c r="AM66" s="126"/>
      <c r="AN66" s="126"/>
      <c r="AO66" s="126"/>
      <c r="AP66" s="126"/>
      <c r="AQ66" s="126"/>
      <c r="AR66" s="126"/>
      <c r="AS66" s="126"/>
      <c r="AT66" s="126"/>
      <c r="AU66" s="126"/>
      <c r="AV66" s="126"/>
      <c r="AW66" s="126"/>
      <c r="AX66" s="126"/>
      <c r="AY66" s="126"/>
    </row>
    <row r="67" spans="2:51" ht="16.3" x14ac:dyDescent="0.3">
      <c r="B67" s="125"/>
      <c r="C67" s="145" t="s">
        <v>93</v>
      </c>
      <c r="D67" s="145"/>
      <c r="E67" s="145"/>
      <c r="F67" s="145"/>
      <c r="G67" s="145"/>
      <c r="H67" s="145"/>
      <c r="I67" s="145"/>
      <c r="J67" s="145"/>
      <c r="K67" s="145"/>
      <c r="L67" s="145"/>
      <c r="M67" s="145"/>
      <c r="N67" s="145"/>
      <c r="O67" s="145"/>
      <c r="P67" s="145"/>
      <c r="Q67" s="145"/>
      <c r="R67" s="145"/>
      <c r="S67" s="145"/>
      <c r="T67" s="145"/>
      <c r="U67" s="145"/>
      <c r="V67" s="145"/>
      <c r="W67" s="145"/>
      <c r="X67" s="145"/>
      <c r="Y67" s="145"/>
      <c r="Z67" s="145"/>
      <c r="AA67" s="145"/>
      <c r="AB67" s="145"/>
      <c r="AC67" s="145"/>
      <c r="AD67" s="145"/>
      <c r="AE67" s="145"/>
      <c r="AF67" s="145"/>
      <c r="AG67" s="145"/>
      <c r="AH67" s="145"/>
      <c r="AI67" s="145"/>
      <c r="AJ67" s="145"/>
      <c r="AK67" s="145"/>
      <c r="AL67" s="145"/>
      <c r="AM67" s="145"/>
      <c r="AN67" s="145"/>
      <c r="AO67" s="145"/>
      <c r="AP67" s="145"/>
      <c r="AQ67" s="145"/>
      <c r="AR67" s="145"/>
      <c r="AS67" s="145"/>
      <c r="AT67" s="145"/>
      <c r="AU67" s="145"/>
      <c r="AV67" s="145"/>
      <c r="AW67" s="145"/>
      <c r="AX67" s="145"/>
      <c r="AY67" s="145"/>
    </row>
    <row r="68" spans="2:51" x14ac:dyDescent="0.25">
      <c r="B68" s="119"/>
      <c r="C68" s="128" t="s">
        <v>53</v>
      </c>
      <c r="D68" s="128" t="s">
        <v>17</v>
      </c>
      <c r="E68" s="128" t="s">
        <v>47</v>
      </c>
      <c r="F68" s="128" t="s">
        <v>54</v>
      </c>
      <c r="G68" s="128" t="s">
        <v>18</v>
      </c>
      <c r="H68" s="128" t="s">
        <v>19</v>
      </c>
      <c r="I68" s="128" t="s">
        <v>49</v>
      </c>
      <c r="J68" s="128" t="s">
        <v>55</v>
      </c>
      <c r="K68" s="128" t="s">
        <v>61</v>
      </c>
      <c r="L68" s="128" t="s">
        <v>52</v>
      </c>
      <c r="M68" s="128" t="s">
        <v>15</v>
      </c>
      <c r="N68" s="128" t="s">
        <v>28</v>
      </c>
      <c r="O68" s="128" t="s">
        <v>35</v>
      </c>
      <c r="P68" s="128" t="s">
        <v>16</v>
      </c>
      <c r="Q68" s="128" t="s">
        <v>23</v>
      </c>
      <c r="R68" s="128" t="s">
        <v>41</v>
      </c>
      <c r="S68" s="128" t="s">
        <v>59</v>
      </c>
      <c r="T68" s="128" t="s">
        <v>33</v>
      </c>
      <c r="U68" s="128" t="s">
        <v>30</v>
      </c>
      <c r="V68" s="128" t="s">
        <v>56</v>
      </c>
      <c r="W68" s="128" t="s">
        <v>45</v>
      </c>
      <c r="X68" s="128" t="s">
        <v>50</v>
      </c>
      <c r="Y68" s="128" t="s">
        <v>60</v>
      </c>
      <c r="Z68" s="128" t="s">
        <v>21</v>
      </c>
      <c r="AA68" s="128" t="s">
        <v>34</v>
      </c>
      <c r="AB68" s="128" t="s">
        <v>46</v>
      </c>
      <c r="AC68" s="128" t="s">
        <v>58</v>
      </c>
      <c r="AD68" s="128" t="s">
        <v>38</v>
      </c>
      <c r="AE68" s="128" t="s">
        <v>20</v>
      </c>
      <c r="AF68" s="128" t="s">
        <v>51</v>
      </c>
      <c r="AG68" s="128" t="s">
        <v>22</v>
      </c>
      <c r="AH68" s="128" t="s">
        <v>140</v>
      </c>
      <c r="AI68" s="128" t="s">
        <v>43</v>
      </c>
      <c r="AJ68" s="128" t="s">
        <v>39</v>
      </c>
      <c r="AK68" s="128" t="s">
        <v>42</v>
      </c>
      <c r="AL68" s="128" t="s">
        <v>48</v>
      </c>
      <c r="AM68" s="128" t="s">
        <v>29</v>
      </c>
      <c r="AN68" s="128" t="s">
        <v>25</v>
      </c>
      <c r="AO68" s="128" t="s">
        <v>32</v>
      </c>
      <c r="AP68" s="128" t="s">
        <v>40</v>
      </c>
      <c r="AQ68" s="128" t="s">
        <v>57</v>
      </c>
      <c r="AR68" s="128" t="s">
        <v>44</v>
      </c>
      <c r="AS68" s="128" t="s">
        <v>26</v>
      </c>
      <c r="AT68" s="128" t="s">
        <v>13</v>
      </c>
      <c r="AU68" s="128" t="s">
        <v>37</v>
      </c>
      <c r="AV68" s="128" t="s">
        <v>24</v>
      </c>
      <c r="AW68" s="128" t="s">
        <v>31</v>
      </c>
      <c r="AX68" s="128" t="s">
        <v>27</v>
      </c>
      <c r="AY68" s="128" t="s">
        <v>36</v>
      </c>
    </row>
    <row r="69" spans="2:51" x14ac:dyDescent="0.25">
      <c r="B69" s="120" t="s">
        <v>53</v>
      </c>
      <c r="C69" s="121" t="str">
        <f>IFERROR((COUNTIFS(Database!$F:$I,CONCATENATE($B69,C$68,"W"))+COUNTIFS(Database!$F:$I,CONCATENATE(C$68,$B69,"W")))/(COUNTIFS(Database!$F:$I,CONCATENATE($B69,C$68,"L"))+COUNTIFS(Database!$F:$I,CONCATENATE(C$68,$B69,"L"))+COUNTIFS(Database!$F:$I,CONCATENATE($B69,C$68,"W"))+COUNTIFS(Database!$F:$I,CONCATENATE(C$68,$B69,"W"))),"-")</f>
        <v>-</v>
      </c>
      <c r="D69" s="121" t="str">
        <f>IFERROR((COUNTIFS(Database!$F:$I,CONCATENATE($B69,D$68,"W"))+COUNTIFS(Database!$F:$I,CONCATENATE(D$68,$B69,"W")))/(COUNTIFS(Database!$F:$I,CONCATENATE($B69,D$68,"L"))+COUNTIFS(Database!$F:$I,CONCATENATE(D$68,$B69,"L"))+COUNTIFS(Database!$F:$I,CONCATENATE($B69,D$68,"W"))+COUNTIFS(Database!$F:$I,CONCATENATE(D$68,$B69,"W"))),"-")</f>
        <v>-</v>
      </c>
      <c r="E69" s="122">
        <f>IFERROR((COUNTIFS(Database!$F:$I,CONCATENATE($B69,E$68,"W"))+COUNTIFS(Database!$F:$I,CONCATENATE(E$68,$B69,"W")))/(COUNTIFS(Database!$F:$I,CONCATENATE($B69,E$68,"L"))+COUNTIFS(Database!$F:$I,CONCATENATE(E$68,$B69,"L"))+COUNTIFS(Database!$F:$I,CONCATENATE($B69,E$68,"W"))+COUNTIFS(Database!$F:$I,CONCATENATE(E$68,$B69,"W"))),"-")</f>
        <v>0.72727272727272729</v>
      </c>
      <c r="F69" s="122">
        <f>IFERROR((COUNTIFS(Database!$F:$I,CONCATENATE($B69,F$68,"W"))+COUNTIFS(Database!$F:$I,CONCATENATE(F$68,$B69,"W")))/(COUNTIFS(Database!$F:$I,CONCATENATE($B69,F$68,"L"))+COUNTIFS(Database!$F:$I,CONCATENATE(F$68,$B69,"L"))+COUNTIFS(Database!$F:$I,CONCATENATE($B69,F$68,"W"))+COUNTIFS(Database!$F:$I,CONCATENATE(F$68,$B69,"W"))),"-")</f>
        <v>0.8</v>
      </c>
      <c r="G69" s="122">
        <f>IFERROR((COUNTIFS(Database!$F:$I,CONCATENATE($B69,G$68,"W"))+COUNTIFS(Database!$F:$I,CONCATENATE(G$68,$B69,"W")))/(COUNTIFS(Database!$F:$I,CONCATENATE($B69,G$68,"L"))+COUNTIFS(Database!$F:$I,CONCATENATE(G$68,$B69,"L"))+COUNTIFS(Database!$F:$I,CONCATENATE($B69,G$68,"W"))+COUNTIFS(Database!$F:$I,CONCATENATE(G$68,$B69,"W"))),"-")</f>
        <v>0.33333333333333331</v>
      </c>
      <c r="H69" s="122" t="str">
        <f>IFERROR((COUNTIFS(Database!$F:$I,CONCATENATE($B69,H$68,"W"))+COUNTIFS(Database!$F:$I,CONCATENATE(H$68,$B69,"W")))/(COUNTIFS(Database!$F:$I,CONCATENATE($B69,H$68,"L"))+COUNTIFS(Database!$F:$I,CONCATENATE(H$68,$B69,"L"))+COUNTIFS(Database!$F:$I,CONCATENATE($B69,H$68,"W"))+COUNTIFS(Database!$F:$I,CONCATENATE(H$68,$B69,"W"))),"-")</f>
        <v>-</v>
      </c>
      <c r="I69" s="122">
        <f>IFERROR((COUNTIFS(Database!$F:$I,CONCATENATE($B69,I$68,"W"))+COUNTIFS(Database!$F:$I,CONCATENATE(I$68,$B69,"W")))/(COUNTIFS(Database!$F:$I,CONCATENATE($B69,I$68,"L"))+COUNTIFS(Database!$F:$I,CONCATENATE(I$68,$B69,"L"))+COUNTIFS(Database!$F:$I,CONCATENATE($B69,I$68,"W"))+COUNTIFS(Database!$F:$I,CONCATENATE(I$68,$B69,"W"))),"-")</f>
        <v>0</v>
      </c>
      <c r="J69" s="122">
        <f>IFERROR((COUNTIFS(Database!$F:$I,CONCATENATE($B69,J$68,"W"))+COUNTIFS(Database!$F:$I,CONCATENATE(J$68,$B69,"W")))/(COUNTIFS(Database!$F:$I,CONCATENATE($B69,J$68,"L"))+COUNTIFS(Database!$F:$I,CONCATENATE(J$68,$B69,"L"))+COUNTIFS(Database!$F:$I,CONCATENATE($B69,J$68,"W"))+COUNTIFS(Database!$F:$I,CONCATENATE(J$68,$B69,"W"))),"-")</f>
        <v>0.25</v>
      </c>
      <c r="K69" s="122">
        <f>IFERROR((COUNTIFS(Database!$F:$I,CONCATENATE($B69,K$68,"W"))+COUNTIFS(Database!$F:$I,CONCATENATE(K$68,$B69,"W")))/(COUNTIFS(Database!$F:$I,CONCATENATE($B69,K$68,"L"))+COUNTIFS(Database!$F:$I,CONCATENATE(K$68,$B69,"L"))+COUNTIFS(Database!$F:$I,CONCATENATE($B69,K$68,"W"))+COUNTIFS(Database!$F:$I,CONCATENATE(K$68,$B69,"W"))),"-")</f>
        <v>0.33333333333333331</v>
      </c>
      <c r="L69" s="122">
        <f>IFERROR((COUNTIFS(Database!$F:$I,CONCATENATE($B69,L$68,"W"))+COUNTIFS(Database!$F:$I,CONCATENATE(L$68,$B69,"W")))/(COUNTIFS(Database!$F:$I,CONCATENATE($B69,L$68,"L"))+COUNTIFS(Database!$F:$I,CONCATENATE(L$68,$B69,"L"))+COUNTIFS(Database!$F:$I,CONCATENATE($B69,L$68,"W"))+COUNTIFS(Database!$F:$I,CONCATENATE(L$68,$B69,"W"))),"-")</f>
        <v>0.66666666666666663</v>
      </c>
      <c r="M69" s="122">
        <f>IFERROR((COUNTIFS(Database!$F:$I,CONCATENATE($B69,M$68,"W"))+COUNTIFS(Database!$F:$I,CONCATENATE(M$68,$B69,"W")))/(COUNTIFS(Database!$F:$I,CONCATENATE($B69,M$68,"L"))+COUNTIFS(Database!$F:$I,CONCATENATE(M$68,$B69,"L"))+COUNTIFS(Database!$F:$I,CONCATENATE($B69,M$68,"W"))+COUNTIFS(Database!$F:$I,CONCATENATE(M$68,$B69,"W"))),"-")</f>
        <v>1</v>
      </c>
      <c r="N69" s="122">
        <f>IFERROR((COUNTIFS(Database!$F:$I,CONCATENATE($B69,N$68,"W"))+COUNTIFS(Database!$F:$I,CONCATENATE(N$68,$B69,"W")))/(COUNTIFS(Database!$F:$I,CONCATENATE($B69,N$68,"L"))+COUNTIFS(Database!$F:$I,CONCATENATE(N$68,$B69,"L"))+COUNTIFS(Database!$F:$I,CONCATENATE($B69,N$68,"W"))+COUNTIFS(Database!$F:$I,CONCATENATE(N$68,$B69,"W"))),"-")</f>
        <v>1</v>
      </c>
      <c r="O69" s="122">
        <f>IFERROR((COUNTIFS(Database!$F:$I,CONCATENATE($B69,O$68,"W"))+COUNTIFS(Database!$F:$I,CONCATENATE(O$68,$B69,"W")))/(COUNTIFS(Database!$F:$I,CONCATENATE($B69,O$68,"L"))+COUNTIFS(Database!$F:$I,CONCATENATE(O$68,$B69,"L"))+COUNTIFS(Database!$F:$I,CONCATENATE($B69,O$68,"W"))+COUNTIFS(Database!$F:$I,CONCATENATE(O$68,$B69,"W"))),"-")</f>
        <v>0.5</v>
      </c>
      <c r="P69" s="122" t="str">
        <f>IFERROR((COUNTIFS(Database!$F:$I,CONCATENATE($B69,P$68,"W"))+COUNTIFS(Database!$F:$I,CONCATENATE(P$68,$B69,"W")))/(COUNTIFS(Database!$F:$I,CONCATENATE($B69,P$68,"L"))+COUNTIFS(Database!$F:$I,CONCATENATE(P$68,$B69,"L"))+COUNTIFS(Database!$F:$I,CONCATENATE($B69,P$68,"W"))+COUNTIFS(Database!$F:$I,CONCATENATE(P$68,$B69,"W"))),"-")</f>
        <v>-</v>
      </c>
      <c r="Q69" s="122" t="str">
        <f>IFERROR((COUNTIFS(Database!$F:$I,CONCATENATE($B69,Q$68,"W"))+COUNTIFS(Database!$F:$I,CONCATENATE(Q$68,$B69,"W")))/(COUNTIFS(Database!$F:$I,CONCATENATE($B69,Q$68,"L"))+COUNTIFS(Database!$F:$I,CONCATENATE(Q$68,$B69,"L"))+COUNTIFS(Database!$F:$I,CONCATENATE($B69,Q$68,"W"))+COUNTIFS(Database!$F:$I,CONCATENATE(Q$68,$B69,"W"))),"-")</f>
        <v>-</v>
      </c>
      <c r="R69" s="122">
        <f>IFERROR((COUNTIFS(Database!$F:$I,CONCATENATE($B69,R$68,"W"))+COUNTIFS(Database!$F:$I,CONCATENATE(R$68,$B69,"W")))/(COUNTIFS(Database!$F:$I,CONCATENATE($B69,R$68,"L"))+COUNTIFS(Database!$F:$I,CONCATENATE(R$68,$B69,"L"))+COUNTIFS(Database!$F:$I,CONCATENATE($B69,R$68,"W"))+COUNTIFS(Database!$F:$I,CONCATENATE(R$68,$B69,"W"))),"-")</f>
        <v>1</v>
      </c>
      <c r="S69" s="122">
        <f>IFERROR((COUNTIFS(Database!$F:$I,CONCATENATE($B69,S$68,"W"))+COUNTIFS(Database!$F:$I,CONCATENATE(S$68,$B69,"W")))/(COUNTIFS(Database!$F:$I,CONCATENATE($B69,S$68,"L"))+COUNTIFS(Database!$F:$I,CONCATENATE(S$68,$B69,"L"))+COUNTIFS(Database!$F:$I,CONCATENATE($B69,S$68,"W"))+COUNTIFS(Database!$F:$I,CONCATENATE(S$68,$B69,"W"))),"-")</f>
        <v>0.4</v>
      </c>
      <c r="T69" s="122">
        <f>IFERROR((COUNTIFS(Database!$F:$I,CONCATENATE($B69,T$68,"W"))+COUNTIFS(Database!$F:$I,CONCATENATE(T$68,$B69,"W")))/(COUNTIFS(Database!$F:$I,CONCATENATE($B69,T$68,"L"))+COUNTIFS(Database!$F:$I,CONCATENATE(T$68,$B69,"L"))+COUNTIFS(Database!$F:$I,CONCATENATE($B69,T$68,"W"))+COUNTIFS(Database!$F:$I,CONCATENATE(T$68,$B69,"W"))),"-")</f>
        <v>0</v>
      </c>
      <c r="U69" s="122">
        <f>IFERROR((COUNTIFS(Database!$F:$I,CONCATENATE($B69,U$68,"W"))+COUNTIFS(Database!$F:$I,CONCATENATE(U$68,$B69,"W")))/(COUNTIFS(Database!$F:$I,CONCATENATE($B69,U$68,"L"))+COUNTIFS(Database!$F:$I,CONCATENATE(U$68,$B69,"L"))+COUNTIFS(Database!$F:$I,CONCATENATE($B69,U$68,"W"))+COUNTIFS(Database!$F:$I,CONCATENATE(U$68,$B69,"W"))),"-")</f>
        <v>0</v>
      </c>
      <c r="V69" s="122">
        <f>IFERROR((COUNTIFS(Database!$F:$I,CONCATENATE($B69,V$68,"W"))+COUNTIFS(Database!$F:$I,CONCATENATE(V$68,$B69,"W")))/(COUNTIFS(Database!$F:$I,CONCATENATE($B69,V$68,"L"))+COUNTIFS(Database!$F:$I,CONCATENATE(V$68,$B69,"L"))+COUNTIFS(Database!$F:$I,CONCATENATE($B69,V$68,"W"))+COUNTIFS(Database!$F:$I,CONCATENATE(V$68,$B69,"W"))),"-")</f>
        <v>0</v>
      </c>
      <c r="W69" s="122">
        <f>IFERROR((COUNTIFS(Database!$F:$I,CONCATENATE($B69,W$68,"W"))+COUNTIFS(Database!$F:$I,CONCATENATE(W$68,$B69,"W")))/(COUNTIFS(Database!$F:$I,CONCATENATE($B69,W$68,"L"))+COUNTIFS(Database!$F:$I,CONCATENATE(W$68,$B69,"L"))+COUNTIFS(Database!$F:$I,CONCATENATE($B69,W$68,"W"))+COUNTIFS(Database!$F:$I,CONCATENATE(W$68,$B69,"W"))),"-")</f>
        <v>0.47058823529411764</v>
      </c>
      <c r="X69" s="122">
        <f>IFERROR((COUNTIFS(Database!$F:$I,CONCATENATE($B69,X$68,"W"))+COUNTIFS(Database!$F:$I,CONCATENATE(X$68,$B69,"W")))/(COUNTIFS(Database!$F:$I,CONCATENATE($B69,X$68,"L"))+COUNTIFS(Database!$F:$I,CONCATENATE(X$68,$B69,"L"))+COUNTIFS(Database!$F:$I,CONCATENATE($B69,X$68,"W"))+COUNTIFS(Database!$F:$I,CONCATENATE(X$68,$B69,"W"))),"-")</f>
        <v>0</v>
      </c>
      <c r="Y69" s="122">
        <f>IFERROR((COUNTIFS(Database!$F:$I,CONCATENATE($B69,Y$68,"W"))+COUNTIFS(Database!$F:$I,CONCATENATE(Y$68,$B69,"W")))/(COUNTIFS(Database!$F:$I,CONCATENATE($B69,Y$68,"L"))+COUNTIFS(Database!$F:$I,CONCATENATE(Y$68,$B69,"L"))+COUNTIFS(Database!$F:$I,CONCATENATE($B69,Y$68,"W"))+COUNTIFS(Database!$F:$I,CONCATENATE(Y$68,$B69,"W"))),"-")</f>
        <v>0.66666666666666663</v>
      </c>
      <c r="Z69" s="122">
        <f>IFERROR((COUNTIFS(Database!$F:$I,CONCATENATE($B69,Z$68,"W"))+COUNTIFS(Database!$F:$I,CONCATENATE(Z$68,$B69,"W")))/(COUNTIFS(Database!$F:$I,CONCATENATE($B69,Z$68,"L"))+COUNTIFS(Database!$F:$I,CONCATENATE(Z$68,$B69,"L"))+COUNTIFS(Database!$F:$I,CONCATENATE($B69,Z$68,"W"))+COUNTIFS(Database!$F:$I,CONCATENATE(Z$68,$B69,"W"))),"-")</f>
        <v>1</v>
      </c>
      <c r="AA69" s="122">
        <f>IFERROR((COUNTIFS(Database!$F:$I,CONCATENATE($B69,AA$68,"W"))+COUNTIFS(Database!$F:$I,CONCATENATE(AA$68,$B69,"W")))/(COUNTIFS(Database!$F:$I,CONCATENATE($B69,AA$68,"L"))+COUNTIFS(Database!$F:$I,CONCATENATE(AA$68,$B69,"L"))+COUNTIFS(Database!$F:$I,CONCATENATE($B69,AA$68,"W"))+COUNTIFS(Database!$F:$I,CONCATENATE(AA$68,$B69,"W"))),"-")</f>
        <v>1</v>
      </c>
      <c r="AB69" s="122">
        <f>IFERROR((COUNTIFS(Database!$F:$I,CONCATENATE($B69,AB$68,"W"))+COUNTIFS(Database!$F:$I,CONCATENATE(AB$68,$B69,"W")))/(COUNTIFS(Database!$F:$I,CONCATENATE($B69,AB$68,"L"))+COUNTIFS(Database!$F:$I,CONCATENATE(AB$68,$B69,"L"))+COUNTIFS(Database!$F:$I,CONCATENATE($B69,AB$68,"W"))+COUNTIFS(Database!$F:$I,CONCATENATE(AB$68,$B69,"W"))),"-")</f>
        <v>0.5</v>
      </c>
      <c r="AC69" s="122">
        <f>IFERROR((COUNTIFS(Database!$F:$I,CONCATENATE($B69,AC$68,"W"))+COUNTIFS(Database!$F:$I,CONCATENATE(AC$68,$B69,"W")))/(COUNTIFS(Database!$F:$I,CONCATENATE($B69,AC$68,"L"))+COUNTIFS(Database!$F:$I,CONCATENATE(AC$68,$B69,"L"))+COUNTIFS(Database!$F:$I,CONCATENATE($B69,AC$68,"W"))+COUNTIFS(Database!$F:$I,CONCATENATE(AC$68,$B69,"W"))),"-")</f>
        <v>0.45454545454545453</v>
      </c>
      <c r="AD69" s="122">
        <f>IFERROR((COUNTIFS(Database!$F:$I,CONCATENATE($B69,AD$68,"W"))+COUNTIFS(Database!$F:$I,CONCATENATE(AD$68,$B69,"W")))/(COUNTIFS(Database!$F:$I,CONCATENATE($B69,AD$68,"L"))+COUNTIFS(Database!$F:$I,CONCATENATE(AD$68,$B69,"L"))+COUNTIFS(Database!$F:$I,CONCATENATE($B69,AD$68,"W"))+COUNTIFS(Database!$F:$I,CONCATENATE(AD$68,$B69,"W"))),"-")</f>
        <v>1</v>
      </c>
      <c r="AE69" s="122" t="str">
        <f>IFERROR((COUNTIFS(Database!$F:$I,CONCATENATE($B69,AE$68,"W"))+COUNTIFS(Database!$F:$I,CONCATENATE(AE$68,$B69,"W")))/(COUNTIFS(Database!$F:$I,CONCATENATE($B69,AE$68,"L"))+COUNTIFS(Database!$F:$I,CONCATENATE(AE$68,$B69,"L"))+COUNTIFS(Database!$F:$I,CONCATENATE($B69,AE$68,"W"))+COUNTIFS(Database!$F:$I,CONCATENATE(AE$68,$B69,"W"))),"-")</f>
        <v>-</v>
      </c>
      <c r="AF69" s="122" t="str">
        <f>IFERROR((COUNTIFS(Database!$F:$I,CONCATENATE($B69,AF$68,"W"))+COUNTIFS(Database!$F:$I,CONCATENATE(AF$68,$B69,"W")))/(COUNTIFS(Database!$F:$I,CONCATENATE($B69,AF$68,"L"))+COUNTIFS(Database!$F:$I,CONCATENATE(AF$68,$B69,"L"))+COUNTIFS(Database!$F:$I,CONCATENATE($B69,AF$68,"W"))+COUNTIFS(Database!$F:$I,CONCATENATE(AF$68,$B69,"W"))),"-")</f>
        <v>-</v>
      </c>
      <c r="AG69" s="122">
        <f>IFERROR((COUNTIFS(Database!$F:$I,CONCATENATE($B69,AG$68,"W"))+COUNTIFS(Database!$F:$I,CONCATENATE(AG$68,$B69,"W")))/(COUNTIFS(Database!$F:$I,CONCATENATE($B69,AG$68,"L"))+COUNTIFS(Database!$F:$I,CONCATENATE(AG$68,$B69,"L"))+COUNTIFS(Database!$F:$I,CONCATENATE($B69,AG$68,"W"))+COUNTIFS(Database!$F:$I,CONCATENATE(AG$68,$B69,"W"))),"-")</f>
        <v>1</v>
      </c>
      <c r="AH69" s="122" t="str">
        <f>IFERROR((COUNTIFS(Database!$F:$I,CONCATENATE($B69,AH$68,"W"))+COUNTIFS(Database!$F:$I,CONCATENATE(AH$68,$B69,"W")))/(COUNTIFS(Database!$F:$I,CONCATENATE($B69,AH$68,"L"))+COUNTIFS(Database!$F:$I,CONCATENATE(AH$68,$B69,"L"))+COUNTIFS(Database!$F:$I,CONCATENATE($B69,AH$68,"W"))+COUNTIFS(Database!$F:$I,CONCATENATE(AH$68,$B69,"W"))),"-")</f>
        <v>-</v>
      </c>
      <c r="AI69" s="122">
        <f>IFERROR((COUNTIFS(Database!$F:$I,CONCATENATE($B69,AI$68,"W"))+COUNTIFS(Database!$F:$I,CONCATENATE(AI$68,$B69,"W")))/(COUNTIFS(Database!$F:$I,CONCATENATE($B69,AI$68,"L"))+COUNTIFS(Database!$F:$I,CONCATENATE(AI$68,$B69,"L"))+COUNTIFS(Database!$F:$I,CONCATENATE($B69,AI$68,"W"))+COUNTIFS(Database!$F:$I,CONCATENATE(AI$68,$B69,"W"))),"-")</f>
        <v>0</v>
      </c>
      <c r="AJ69" s="122" t="str">
        <f>IFERROR((COUNTIFS(Database!$F:$I,CONCATENATE($B69,AJ$68,"W"))+COUNTIFS(Database!$F:$I,CONCATENATE(AJ$68,$B69,"W")))/(COUNTIFS(Database!$F:$I,CONCATENATE($B69,AJ$68,"L"))+COUNTIFS(Database!$F:$I,CONCATENATE(AJ$68,$B69,"L"))+COUNTIFS(Database!$F:$I,CONCATENATE($B69,AJ$68,"W"))+COUNTIFS(Database!$F:$I,CONCATENATE(AJ$68,$B69,"W"))),"-")</f>
        <v>-</v>
      </c>
      <c r="AK69" s="122">
        <f>IFERROR((COUNTIFS(Database!$F:$I,CONCATENATE($B69,AK$68,"W"))+COUNTIFS(Database!$F:$I,CONCATENATE(AK$68,$B69,"W")))/(COUNTIFS(Database!$F:$I,CONCATENATE($B69,AK$68,"L"))+COUNTIFS(Database!$F:$I,CONCATENATE(AK$68,$B69,"L"))+COUNTIFS(Database!$F:$I,CONCATENATE($B69,AK$68,"W"))+COUNTIFS(Database!$F:$I,CONCATENATE(AK$68,$B69,"W"))),"-")</f>
        <v>0.55555555555555558</v>
      </c>
      <c r="AL69" s="122">
        <f>IFERROR((COUNTIFS(Database!$F:$I,CONCATENATE($B69,AL$68,"W"))+COUNTIFS(Database!$F:$I,CONCATENATE(AL$68,$B69,"W")))/(COUNTIFS(Database!$F:$I,CONCATENATE($B69,AL$68,"L"))+COUNTIFS(Database!$F:$I,CONCATENATE(AL$68,$B69,"L"))+COUNTIFS(Database!$F:$I,CONCATENATE($B69,AL$68,"W"))+COUNTIFS(Database!$F:$I,CONCATENATE(AL$68,$B69,"W"))),"-")</f>
        <v>0.4</v>
      </c>
      <c r="AM69" s="122">
        <f>IFERROR((COUNTIFS(Database!$F:$I,CONCATENATE($B69,AM$68,"W"))+COUNTIFS(Database!$F:$I,CONCATENATE(AM$68,$B69,"W")))/(COUNTIFS(Database!$F:$I,CONCATENATE($B69,AM$68,"L"))+COUNTIFS(Database!$F:$I,CONCATENATE(AM$68,$B69,"L"))+COUNTIFS(Database!$F:$I,CONCATENATE($B69,AM$68,"W"))+COUNTIFS(Database!$F:$I,CONCATENATE(AM$68,$B69,"W"))),"-")</f>
        <v>0</v>
      </c>
      <c r="AN69" s="122" t="str">
        <f>IFERROR((COUNTIFS(Database!$F:$I,CONCATENATE($B69,AN$68,"W"))+COUNTIFS(Database!$F:$I,CONCATENATE(AN$68,$B69,"W")))/(COUNTIFS(Database!$F:$I,CONCATENATE($B69,AN$68,"L"))+COUNTIFS(Database!$F:$I,CONCATENATE(AN$68,$B69,"L"))+COUNTIFS(Database!$F:$I,CONCATENATE($B69,AN$68,"W"))+COUNTIFS(Database!$F:$I,CONCATENATE(AN$68,$B69,"W"))),"-")</f>
        <v>-</v>
      </c>
      <c r="AO69" s="122">
        <f>IFERROR((COUNTIFS(Database!$F:$I,CONCATENATE($B69,AO$68,"W"))+COUNTIFS(Database!$F:$I,CONCATENATE(AO$68,$B69,"W")))/(COUNTIFS(Database!$F:$I,CONCATENATE($B69,AO$68,"L"))+COUNTIFS(Database!$F:$I,CONCATENATE(AO$68,$B69,"L"))+COUNTIFS(Database!$F:$I,CONCATENATE($B69,AO$68,"W"))+COUNTIFS(Database!$F:$I,CONCATENATE(AO$68,$B69,"W"))),"-")</f>
        <v>0.44444444444444442</v>
      </c>
      <c r="AP69" s="122">
        <f>IFERROR((COUNTIFS(Database!$F:$I,CONCATENATE($B69,AP$68,"W"))+COUNTIFS(Database!$F:$I,CONCATENATE(AP$68,$B69,"W")))/(COUNTIFS(Database!$F:$I,CONCATENATE($B69,AP$68,"L"))+COUNTIFS(Database!$F:$I,CONCATENATE(AP$68,$B69,"L"))+COUNTIFS(Database!$F:$I,CONCATENATE($B69,AP$68,"W"))+COUNTIFS(Database!$F:$I,CONCATENATE(AP$68,$B69,"W"))),"-")</f>
        <v>1</v>
      </c>
      <c r="AQ69" s="122">
        <f>IFERROR((COUNTIFS(Database!$F:$I,CONCATENATE($B69,AQ$68,"W"))+COUNTIFS(Database!$F:$I,CONCATENATE(AQ$68,$B69,"W")))/(COUNTIFS(Database!$F:$I,CONCATENATE($B69,AQ$68,"L"))+COUNTIFS(Database!$F:$I,CONCATENATE(AQ$68,$B69,"L"))+COUNTIFS(Database!$F:$I,CONCATENATE($B69,AQ$68,"W"))+COUNTIFS(Database!$F:$I,CONCATENATE(AQ$68,$B69,"W"))),"-")</f>
        <v>0.25</v>
      </c>
      <c r="AR69" s="122">
        <f>IFERROR((COUNTIFS(Database!$F:$I,CONCATENATE($B69,AR$68,"W"))+COUNTIFS(Database!$F:$I,CONCATENATE(AR$68,$B69,"W")))/(COUNTIFS(Database!$F:$I,CONCATENATE($B69,AR$68,"L"))+COUNTIFS(Database!$F:$I,CONCATENATE(AR$68,$B69,"L"))+COUNTIFS(Database!$F:$I,CONCATENATE($B69,AR$68,"W"))+COUNTIFS(Database!$F:$I,CONCATENATE(AR$68,$B69,"W"))),"-")</f>
        <v>0.45454545454545453</v>
      </c>
      <c r="AS69" s="122" t="str">
        <f>IFERROR((COUNTIFS(Database!$F:$I,CONCATENATE($B69,AS$68,"W"))+COUNTIFS(Database!$F:$I,CONCATENATE(AS$68,$B69,"W")))/(COUNTIFS(Database!$F:$I,CONCATENATE($B69,AS$68,"L"))+COUNTIFS(Database!$F:$I,CONCATENATE(AS$68,$B69,"L"))+COUNTIFS(Database!$F:$I,CONCATENATE($B69,AS$68,"W"))+COUNTIFS(Database!$F:$I,CONCATENATE(AS$68,$B69,"W"))),"-")</f>
        <v>-</v>
      </c>
      <c r="AT69" s="122" t="str">
        <f>IFERROR((COUNTIFS(Database!$F:$I,CONCATENATE($B69,AT$68,"W"))+COUNTIFS(Database!$F:$I,CONCATENATE(AT$68,$B69,"W")))/(COUNTIFS(Database!$F:$I,CONCATENATE($B69,AT$68,"L"))+COUNTIFS(Database!$F:$I,CONCATENATE(AT$68,$B69,"L"))+COUNTIFS(Database!$F:$I,CONCATENATE($B69,AT$68,"W"))+COUNTIFS(Database!$F:$I,CONCATENATE(AT$68,$B69,"W"))),"-")</f>
        <v>-</v>
      </c>
      <c r="AU69" s="122">
        <f>IFERROR((COUNTIFS(Database!$F:$I,CONCATENATE($B69,AU$68,"W"))+COUNTIFS(Database!$F:$I,CONCATENATE(AU$68,$B69,"W")))/(COUNTIFS(Database!$F:$I,CONCATENATE($B69,AU$68,"L"))+COUNTIFS(Database!$F:$I,CONCATENATE(AU$68,$B69,"L"))+COUNTIFS(Database!$F:$I,CONCATENATE($B69,AU$68,"W"))+COUNTIFS(Database!$F:$I,CONCATENATE(AU$68,$B69,"W"))),"-")</f>
        <v>0.5</v>
      </c>
      <c r="AV69" s="122">
        <f>IFERROR((COUNTIFS(Database!$F:$I,CONCATENATE($B69,AV$68,"W"))+COUNTIFS(Database!$F:$I,CONCATENATE(AV$68,$B69,"W")))/(COUNTIFS(Database!$F:$I,CONCATENATE($B69,AV$68,"L"))+COUNTIFS(Database!$F:$I,CONCATENATE(AV$68,$B69,"L"))+COUNTIFS(Database!$F:$I,CONCATENATE($B69,AV$68,"W"))+COUNTIFS(Database!$F:$I,CONCATENATE(AV$68,$B69,"W"))),"-")</f>
        <v>0</v>
      </c>
      <c r="AW69" s="122">
        <f>IFERROR((COUNTIFS(Database!$F:$I,CONCATENATE($B69,AW$68,"W"))+COUNTIFS(Database!$F:$I,CONCATENATE(AW$68,$B69,"W")))/(COUNTIFS(Database!$F:$I,CONCATENATE($B69,AW$68,"L"))+COUNTIFS(Database!$F:$I,CONCATENATE(AW$68,$B69,"L"))+COUNTIFS(Database!$F:$I,CONCATENATE($B69,AW$68,"W"))+COUNTIFS(Database!$F:$I,CONCATENATE(AW$68,$B69,"W"))),"-")</f>
        <v>0.75</v>
      </c>
      <c r="AX69" s="122">
        <f>IFERROR((COUNTIFS(Database!$F:$I,CONCATENATE($B69,AX$68,"W"))+COUNTIFS(Database!$F:$I,CONCATENATE(AX$68,$B69,"W")))/(COUNTIFS(Database!$F:$I,CONCATENATE($B69,AX$68,"L"))+COUNTIFS(Database!$F:$I,CONCATENATE(AX$68,$B69,"L"))+COUNTIFS(Database!$F:$I,CONCATENATE($B69,AX$68,"W"))+COUNTIFS(Database!$F:$I,CONCATENATE(AX$68,$B69,"W"))),"-")</f>
        <v>0</v>
      </c>
      <c r="AY69" s="122">
        <f>IFERROR((COUNTIFS(Database!$F:$I,CONCATENATE($B69,AY$68,"W"))+COUNTIFS(Database!$F:$I,CONCATENATE(AY$68,$B69,"W")))/(COUNTIFS(Database!$F:$I,CONCATENATE($B69,AY$68,"L"))+COUNTIFS(Database!$F:$I,CONCATENATE(AY$68,$B69,"L"))+COUNTIFS(Database!$F:$I,CONCATENATE($B69,AY$68,"W"))+COUNTIFS(Database!$F:$I,CONCATENATE(AY$68,$B69,"W"))),"-")</f>
        <v>0.4</v>
      </c>
    </row>
    <row r="70" spans="2:51" x14ac:dyDescent="0.25">
      <c r="B70" s="120" t="s">
        <v>17</v>
      </c>
      <c r="C70" s="122" t="str">
        <f>IFERROR((COUNTIFS(Database!$F:$I,CONCATENATE($B70,C$68,"W"))+COUNTIFS(Database!$F:$I,CONCATENATE(C$68,$B70,"W")))/(COUNTIFS(Database!$F:$I,CONCATENATE($B70,C$68,"L"))+COUNTIFS(Database!$F:$I,CONCATENATE(C$68,$B70,"L"))+COUNTIFS(Database!$F:$I,CONCATENATE($B70,C$68,"W"))+COUNTIFS(Database!$F:$I,CONCATENATE(C$68,$B70,"W"))),"-")</f>
        <v>-</v>
      </c>
      <c r="D70" s="122" t="str">
        <f>IFERROR((COUNTIFS(Database!$F:$I,CONCATENATE($B70,D$68,"W"))+COUNTIFS(Database!$F:$I,CONCATENATE(D$68,$B70,"W")))/(COUNTIFS(Database!$F:$I,CONCATENATE($B70,D$68,"L"))+COUNTIFS(Database!$F:$I,CONCATENATE(D$68,$B70,"L"))+COUNTIFS(Database!$F:$I,CONCATENATE($B70,D$68,"W"))+COUNTIFS(Database!$F:$I,CONCATENATE(D$68,$B70,"W"))),"-")</f>
        <v>-</v>
      </c>
      <c r="E70" s="122">
        <f>IFERROR((COUNTIFS(Database!$F:$I,CONCATENATE($B70,E$68,"W"))+COUNTIFS(Database!$F:$I,CONCATENATE(E$68,$B70,"W")))/(COUNTIFS(Database!$F:$I,CONCATENATE($B70,E$68,"L"))+COUNTIFS(Database!$F:$I,CONCATENATE(E$68,$B70,"L"))+COUNTIFS(Database!$F:$I,CONCATENATE($B70,E$68,"W"))+COUNTIFS(Database!$F:$I,CONCATENATE(E$68,$B70,"W"))),"-")</f>
        <v>1</v>
      </c>
      <c r="F70" s="122" t="str">
        <f>IFERROR((COUNTIFS(Database!$F:$I,CONCATENATE($B70,F$68,"W"))+COUNTIFS(Database!$F:$I,CONCATENATE(F$68,$B70,"W")))/(COUNTIFS(Database!$F:$I,CONCATENATE($B70,F$68,"L"))+COUNTIFS(Database!$F:$I,CONCATENATE(F$68,$B70,"L"))+COUNTIFS(Database!$F:$I,CONCATENATE($B70,F$68,"W"))+COUNTIFS(Database!$F:$I,CONCATENATE(F$68,$B70,"W"))),"-")</f>
        <v>-</v>
      </c>
      <c r="G70" s="122" t="str">
        <f>IFERROR((COUNTIFS(Database!$F:$I,CONCATENATE($B70,G$68,"W"))+COUNTIFS(Database!$F:$I,CONCATENATE(G$68,$B70,"W")))/(COUNTIFS(Database!$F:$I,CONCATENATE($B70,G$68,"L"))+COUNTIFS(Database!$F:$I,CONCATENATE(G$68,$B70,"L"))+COUNTIFS(Database!$F:$I,CONCATENATE($B70,G$68,"W"))+COUNTIFS(Database!$F:$I,CONCATENATE(G$68,$B70,"W"))),"-")</f>
        <v>-</v>
      </c>
      <c r="H70" s="122" t="str">
        <f>IFERROR((COUNTIFS(Database!$F:$I,CONCATENATE($B70,H$68,"W"))+COUNTIFS(Database!$F:$I,CONCATENATE(H$68,$B70,"W")))/(COUNTIFS(Database!$F:$I,CONCATENATE($B70,H$68,"L"))+COUNTIFS(Database!$F:$I,CONCATENATE(H$68,$B70,"L"))+COUNTIFS(Database!$F:$I,CONCATENATE($B70,H$68,"W"))+COUNTIFS(Database!$F:$I,CONCATENATE(H$68,$B70,"W"))),"-")</f>
        <v>-</v>
      </c>
      <c r="I70" s="122" t="str">
        <f>IFERROR((COUNTIFS(Database!$F:$I,CONCATENATE($B70,I$68,"W"))+COUNTIFS(Database!$F:$I,CONCATENATE(I$68,$B70,"W")))/(COUNTIFS(Database!$F:$I,CONCATENATE($B70,I$68,"L"))+COUNTIFS(Database!$F:$I,CONCATENATE(I$68,$B70,"L"))+COUNTIFS(Database!$F:$I,CONCATENATE($B70,I$68,"W"))+COUNTIFS(Database!$F:$I,CONCATENATE(I$68,$B70,"W"))),"-")</f>
        <v>-</v>
      </c>
      <c r="J70" s="122" t="str">
        <f>IFERROR((COUNTIFS(Database!$F:$I,CONCATENATE($B70,J$68,"W"))+COUNTIFS(Database!$F:$I,CONCATENATE(J$68,$B70,"W")))/(COUNTIFS(Database!$F:$I,CONCATENATE($B70,J$68,"L"))+COUNTIFS(Database!$F:$I,CONCATENATE(J$68,$B70,"L"))+COUNTIFS(Database!$F:$I,CONCATENATE($B70,J$68,"W"))+COUNTIFS(Database!$F:$I,CONCATENATE(J$68,$B70,"W"))),"-")</f>
        <v>-</v>
      </c>
      <c r="K70" s="122">
        <f>IFERROR((COUNTIFS(Database!$F:$I,CONCATENATE($B70,K$68,"W"))+COUNTIFS(Database!$F:$I,CONCATENATE(K$68,$B70,"W")))/(COUNTIFS(Database!$F:$I,CONCATENATE($B70,K$68,"L"))+COUNTIFS(Database!$F:$I,CONCATENATE(K$68,$B70,"L"))+COUNTIFS(Database!$F:$I,CONCATENATE($B70,K$68,"W"))+COUNTIFS(Database!$F:$I,CONCATENATE(K$68,$B70,"W"))),"-")</f>
        <v>1</v>
      </c>
      <c r="L70" s="122" t="str">
        <f>IFERROR((COUNTIFS(Database!$F:$I,CONCATENATE($B70,L$68,"W"))+COUNTIFS(Database!$F:$I,CONCATENATE(L$68,$B70,"W")))/(COUNTIFS(Database!$F:$I,CONCATENATE($B70,L$68,"L"))+COUNTIFS(Database!$F:$I,CONCATENATE(L$68,$B70,"L"))+COUNTIFS(Database!$F:$I,CONCATENATE($B70,L$68,"W"))+COUNTIFS(Database!$F:$I,CONCATENATE(L$68,$B70,"W"))),"-")</f>
        <v>-</v>
      </c>
      <c r="M70" s="122" t="str">
        <f>IFERROR((COUNTIFS(Database!$F:$I,CONCATENATE($B70,M$68,"W"))+COUNTIFS(Database!$F:$I,CONCATENATE(M$68,$B70,"W")))/(COUNTIFS(Database!$F:$I,CONCATENATE($B70,M$68,"L"))+COUNTIFS(Database!$F:$I,CONCATENATE(M$68,$B70,"L"))+COUNTIFS(Database!$F:$I,CONCATENATE($B70,M$68,"W"))+COUNTIFS(Database!$F:$I,CONCATENATE(M$68,$B70,"W"))),"-")</f>
        <v>-</v>
      </c>
      <c r="N70" s="122" t="str">
        <f>IFERROR((COUNTIFS(Database!$F:$I,CONCATENATE($B70,N$68,"W"))+COUNTIFS(Database!$F:$I,CONCATENATE(N$68,$B70,"W")))/(COUNTIFS(Database!$F:$I,CONCATENATE($B70,N$68,"L"))+COUNTIFS(Database!$F:$I,CONCATENATE(N$68,$B70,"L"))+COUNTIFS(Database!$F:$I,CONCATENATE($B70,N$68,"W"))+COUNTIFS(Database!$F:$I,CONCATENATE(N$68,$B70,"W"))),"-")</f>
        <v>-</v>
      </c>
      <c r="O70" s="122" t="str">
        <f>IFERROR((COUNTIFS(Database!$F:$I,CONCATENATE($B70,O$68,"W"))+COUNTIFS(Database!$F:$I,CONCATENATE(O$68,$B70,"W")))/(COUNTIFS(Database!$F:$I,CONCATENATE($B70,O$68,"L"))+COUNTIFS(Database!$F:$I,CONCATENATE(O$68,$B70,"L"))+COUNTIFS(Database!$F:$I,CONCATENATE($B70,O$68,"W"))+COUNTIFS(Database!$F:$I,CONCATENATE(O$68,$B70,"W"))),"-")</f>
        <v>-</v>
      </c>
      <c r="P70" s="122" t="str">
        <f>IFERROR((COUNTIFS(Database!$F:$I,CONCATENATE($B70,P$68,"W"))+COUNTIFS(Database!$F:$I,CONCATENATE(P$68,$B70,"W")))/(COUNTIFS(Database!$F:$I,CONCATENATE($B70,P$68,"L"))+COUNTIFS(Database!$F:$I,CONCATENATE(P$68,$B70,"L"))+COUNTIFS(Database!$F:$I,CONCATENATE($B70,P$68,"W"))+COUNTIFS(Database!$F:$I,CONCATENATE(P$68,$B70,"W"))),"-")</f>
        <v>-</v>
      </c>
      <c r="Q70" s="122" t="str">
        <f>IFERROR((COUNTIFS(Database!$F:$I,CONCATENATE($B70,Q$68,"W"))+COUNTIFS(Database!$F:$I,CONCATENATE(Q$68,$B70,"W")))/(COUNTIFS(Database!$F:$I,CONCATENATE($B70,Q$68,"L"))+COUNTIFS(Database!$F:$I,CONCATENATE(Q$68,$B70,"L"))+COUNTIFS(Database!$F:$I,CONCATENATE($B70,Q$68,"W"))+COUNTIFS(Database!$F:$I,CONCATENATE(Q$68,$B70,"W"))),"-")</f>
        <v>-</v>
      </c>
      <c r="R70" s="122" t="str">
        <f>IFERROR((COUNTIFS(Database!$F:$I,CONCATENATE($B70,R$68,"W"))+COUNTIFS(Database!$F:$I,CONCATENATE(R$68,$B70,"W")))/(COUNTIFS(Database!$F:$I,CONCATENATE($B70,R$68,"L"))+COUNTIFS(Database!$F:$I,CONCATENATE(R$68,$B70,"L"))+COUNTIFS(Database!$F:$I,CONCATENATE($B70,R$68,"W"))+COUNTIFS(Database!$F:$I,CONCATENATE(R$68,$B70,"W"))),"-")</f>
        <v>-</v>
      </c>
      <c r="S70" s="122" t="str">
        <f>IFERROR((COUNTIFS(Database!$F:$I,CONCATENATE($B70,S$68,"W"))+COUNTIFS(Database!$F:$I,CONCATENATE(S$68,$B70,"W")))/(COUNTIFS(Database!$F:$I,CONCATENATE($B70,S$68,"L"))+COUNTIFS(Database!$F:$I,CONCATENATE(S$68,$B70,"L"))+COUNTIFS(Database!$F:$I,CONCATENATE($B70,S$68,"W"))+COUNTIFS(Database!$F:$I,CONCATENATE(S$68,$B70,"W"))),"-")</f>
        <v>-</v>
      </c>
      <c r="T70" s="122" t="str">
        <f>IFERROR((COUNTIFS(Database!$F:$I,CONCATENATE($B70,T$68,"W"))+COUNTIFS(Database!$F:$I,CONCATENATE(T$68,$B70,"W")))/(COUNTIFS(Database!$F:$I,CONCATENATE($B70,T$68,"L"))+COUNTIFS(Database!$F:$I,CONCATENATE(T$68,$B70,"L"))+COUNTIFS(Database!$F:$I,CONCATENATE($B70,T$68,"W"))+COUNTIFS(Database!$F:$I,CONCATENATE(T$68,$B70,"W"))),"-")</f>
        <v>-</v>
      </c>
      <c r="U70" s="122" t="str">
        <f>IFERROR((COUNTIFS(Database!$F:$I,CONCATENATE($B70,U$68,"W"))+COUNTIFS(Database!$F:$I,CONCATENATE(U$68,$B70,"W")))/(COUNTIFS(Database!$F:$I,CONCATENATE($B70,U$68,"L"))+COUNTIFS(Database!$F:$I,CONCATENATE(U$68,$B70,"L"))+COUNTIFS(Database!$F:$I,CONCATENATE($B70,U$68,"W"))+COUNTIFS(Database!$F:$I,CONCATENATE(U$68,$B70,"W"))),"-")</f>
        <v>-</v>
      </c>
      <c r="V70" s="122" t="str">
        <f>IFERROR((COUNTIFS(Database!$F:$I,CONCATENATE($B70,V$68,"W"))+COUNTIFS(Database!$F:$I,CONCATENATE(V$68,$B70,"W")))/(COUNTIFS(Database!$F:$I,CONCATENATE($B70,V$68,"L"))+COUNTIFS(Database!$F:$I,CONCATENATE(V$68,$B70,"L"))+COUNTIFS(Database!$F:$I,CONCATENATE($B70,V$68,"W"))+COUNTIFS(Database!$F:$I,CONCATENATE(V$68,$B70,"W"))),"-")</f>
        <v>-</v>
      </c>
      <c r="W70" s="122">
        <f>IFERROR((COUNTIFS(Database!$F:$I,CONCATENATE($B70,W$68,"W"))+COUNTIFS(Database!$F:$I,CONCATENATE(W$68,$B70,"W")))/(COUNTIFS(Database!$F:$I,CONCATENATE($B70,W$68,"L"))+COUNTIFS(Database!$F:$I,CONCATENATE(W$68,$B70,"L"))+COUNTIFS(Database!$F:$I,CONCATENATE($B70,W$68,"W"))+COUNTIFS(Database!$F:$I,CONCATENATE(W$68,$B70,"W"))),"-")</f>
        <v>1</v>
      </c>
      <c r="X70" s="122" t="str">
        <f>IFERROR((COUNTIFS(Database!$F:$I,CONCATENATE($B70,X$68,"W"))+COUNTIFS(Database!$F:$I,CONCATENATE(X$68,$B70,"W")))/(COUNTIFS(Database!$F:$I,CONCATENATE($B70,X$68,"L"))+COUNTIFS(Database!$F:$I,CONCATENATE(X$68,$B70,"L"))+COUNTIFS(Database!$F:$I,CONCATENATE($B70,X$68,"W"))+COUNTIFS(Database!$F:$I,CONCATENATE(X$68,$B70,"W"))),"-")</f>
        <v>-</v>
      </c>
      <c r="Y70" s="122" t="str">
        <f>IFERROR((COUNTIFS(Database!$F:$I,CONCATENATE($B70,Y$68,"W"))+COUNTIFS(Database!$F:$I,CONCATENATE(Y$68,$B70,"W")))/(COUNTIFS(Database!$F:$I,CONCATENATE($B70,Y$68,"L"))+COUNTIFS(Database!$F:$I,CONCATENATE(Y$68,$B70,"L"))+COUNTIFS(Database!$F:$I,CONCATENATE($B70,Y$68,"W"))+COUNTIFS(Database!$F:$I,CONCATENATE(Y$68,$B70,"W"))),"-")</f>
        <v>-</v>
      </c>
      <c r="Z70" s="122" t="str">
        <f>IFERROR((COUNTIFS(Database!$F:$I,CONCATENATE($B70,Z$68,"W"))+COUNTIFS(Database!$F:$I,CONCATENATE(Z$68,$B70,"W")))/(COUNTIFS(Database!$F:$I,CONCATENATE($B70,Z$68,"L"))+COUNTIFS(Database!$F:$I,CONCATENATE(Z$68,$B70,"L"))+COUNTIFS(Database!$F:$I,CONCATENATE($B70,Z$68,"W"))+COUNTIFS(Database!$F:$I,CONCATENATE(Z$68,$B70,"W"))),"-")</f>
        <v>-</v>
      </c>
      <c r="AA70" s="122" t="str">
        <f>IFERROR((COUNTIFS(Database!$F:$I,CONCATENATE($B70,AA$68,"W"))+COUNTIFS(Database!$F:$I,CONCATENATE(AA$68,$B70,"W")))/(COUNTIFS(Database!$F:$I,CONCATENATE($B70,AA$68,"L"))+COUNTIFS(Database!$F:$I,CONCATENATE(AA$68,$B70,"L"))+COUNTIFS(Database!$F:$I,CONCATENATE($B70,AA$68,"W"))+COUNTIFS(Database!$F:$I,CONCATENATE(AA$68,$B70,"W"))),"-")</f>
        <v>-</v>
      </c>
      <c r="AB70" s="122" t="str">
        <f>IFERROR((COUNTIFS(Database!$F:$I,CONCATENATE($B70,AB$68,"W"))+COUNTIFS(Database!$F:$I,CONCATENATE(AB$68,$B70,"W")))/(COUNTIFS(Database!$F:$I,CONCATENATE($B70,AB$68,"L"))+COUNTIFS(Database!$F:$I,CONCATENATE(AB$68,$B70,"L"))+COUNTIFS(Database!$F:$I,CONCATENATE($B70,AB$68,"W"))+COUNTIFS(Database!$F:$I,CONCATENATE(AB$68,$B70,"W"))),"-")</f>
        <v>-</v>
      </c>
      <c r="AC70" s="122">
        <f>IFERROR((COUNTIFS(Database!$F:$I,CONCATENATE($B70,AC$68,"W"))+COUNTIFS(Database!$F:$I,CONCATENATE(AC$68,$B70,"W")))/(COUNTIFS(Database!$F:$I,CONCATENATE($B70,AC$68,"L"))+COUNTIFS(Database!$F:$I,CONCATENATE(AC$68,$B70,"L"))+COUNTIFS(Database!$F:$I,CONCATENATE($B70,AC$68,"W"))+COUNTIFS(Database!$F:$I,CONCATENATE(AC$68,$B70,"W"))),"-")</f>
        <v>1</v>
      </c>
      <c r="AD70" s="122" t="str">
        <f>IFERROR((COUNTIFS(Database!$F:$I,CONCATENATE($B70,AD$68,"W"))+COUNTIFS(Database!$F:$I,CONCATENATE(AD$68,$B70,"W")))/(COUNTIFS(Database!$F:$I,CONCATENATE($B70,AD$68,"L"))+COUNTIFS(Database!$F:$I,CONCATENATE(AD$68,$B70,"L"))+COUNTIFS(Database!$F:$I,CONCATENATE($B70,AD$68,"W"))+COUNTIFS(Database!$F:$I,CONCATENATE(AD$68,$B70,"W"))),"-")</f>
        <v>-</v>
      </c>
      <c r="AE70" s="122" t="str">
        <f>IFERROR((COUNTIFS(Database!$F:$I,CONCATENATE($B70,AE$68,"W"))+COUNTIFS(Database!$F:$I,CONCATENATE(AE$68,$B70,"W")))/(COUNTIFS(Database!$F:$I,CONCATENATE($B70,AE$68,"L"))+COUNTIFS(Database!$F:$I,CONCATENATE(AE$68,$B70,"L"))+COUNTIFS(Database!$F:$I,CONCATENATE($B70,AE$68,"W"))+COUNTIFS(Database!$F:$I,CONCATENATE(AE$68,$B70,"W"))),"-")</f>
        <v>-</v>
      </c>
      <c r="AF70" s="122" t="str">
        <f>IFERROR((COUNTIFS(Database!$F:$I,CONCATENATE($B70,AF$68,"W"))+COUNTIFS(Database!$F:$I,CONCATENATE(AF$68,$B70,"W")))/(COUNTIFS(Database!$F:$I,CONCATENATE($B70,AF$68,"L"))+COUNTIFS(Database!$F:$I,CONCATENATE(AF$68,$B70,"L"))+COUNTIFS(Database!$F:$I,CONCATENATE($B70,AF$68,"W"))+COUNTIFS(Database!$F:$I,CONCATENATE(AF$68,$B70,"W"))),"-")</f>
        <v>-</v>
      </c>
      <c r="AG70" s="122">
        <f>IFERROR((COUNTIFS(Database!$F:$I,CONCATENATE($B70,AG$68,"W"))+COUNTIFS(Database!$F:$I,CONCATENATE(AG$68,$B70,"W")))/(COUNTIFS(Database!$F:$I,CONCATENATE($B70,AG$68,"L"))+COUNTIFS(Database!$F:$I,CONCATENATE(AG$68,$B70,"L"))+COUNTIFS(Database!$F:$I,CONCATENATE($B70,AG$68,"W"))+COUNTIFS(Database!$F:$I,CONCATENATE(AG$68,$B70,"W"))),"-")</f>
        <v>1</v>
      </c>
      <c r="AH70" s="122" t="str">
        <f>IFERROR((COUNTIFS(Database!$F:$I,CONCATENATE($B70,AH$68,"W"))+COUNTIFS(Database!$F:$I,CONCATENATE(AH$68,$B70,"W")))/(COUNTIFS(Database!$F:$I,CONCATENATE($B70,AH$68,"L"))+COUNTIFS(Database!$F:$I,CONCATENATE(AH$68,$B70,"L"))+COUNTIFS(Database!$F:$I,CONCATENATE($B70,AH$68,"W"))+COUNTIFS(Database!$F:$I,CONCATENATE(AH$68,$B70,"W"))),"-")</f>
        <v>-</v>
      </c>
      <c r="AI70" s="122">
        <f>IFERROR((COUNTIFS(Database!$F:$I,CONCATENATE($B70,AI$68,"W"))+COUNTIFS(Database!$F:$I,CONCATENATE(AI$68,$B70,"W")))/(COUNTIFS(Database!$F:$I,CONCATENATE($B70,AI$68,"L"))+COUNTIFS(Database!$F:$I,CONCATENATE(AI$68,$B70,"L"))+COUNTIFS(Database!$F:$I,CONCATENATE($B70,AI$68,"W"))+COUNTIFS(Database!$F:$I,CONCATENATE(AI$68,$B70,"W"))),"-")</f>
        <v>1</v>
      </c>
      <c r="AJ70" s="122">
        <f>IFERROR((COUNTIFS(Database!$F:$I,CONCATENATE($B70,AJ$68,"W"))+COUNTIFS(Database!$F:$I,CONCATENATE(AJ$68,$B70,"W")))/(COUNTIFS(Database!$F:$I,CONCATENATE($B70,AJ$68,"L"))+COUNTIFS(Database!$F:$I,CONCATENATE(AJ$68,$B70,"L"))+COUNTIFS(Database!$F:$I,CONCATENATE($B70,AJ$68,"W"))+COUNTIFS(Database!$F:$I,CONCATENATE(AJ$68,$B70,"W"))),"-")</f>
        <v>1</v>
      </c>
      <c r="AK70" s="122" t="str">
        <f>IFERROR((COUNTIFS(Database!$F:$I,CONCATENATE($B70,AK$68,"W"))+COUNTIFS(Database!$F:$I,CONCATENATE(AK$68,$B70,"W")))/(COUNTIFS(Database!$F:$I,CONCATENATE($B70,AK$68,"L"))+COUNTIFS(Database!$F:$I,CONCATENATE(AK$68,$B70,"L"))+COUNTIFS(Database!$F:$I,CONCATENATE($B70,AK$68,"W"))+COUNTIFS(Database!$F:$I,CONCATENATE(AK$68,$B70,"W"))),"-")</f>
        <v>-</v>
      </c>
      <c r="AL70" s="122">
        <f>IFERROR((COUNTIFS(Database!$F:$I,CONCATENATE($B70,AL$68,"W"))+COUNTIFS(Database!$F:$I,CONCATENATE(AL$68,$B70,"W")))/(COUNTIFS(Database!$F:$I,CONCATENATE($B70,AL$68,"L"))+COUNTIFS(Database!$F:$I,CONCATENATE(AL$68,$B70,"L"))+COUNTIFS(Database!$F:$I,CONCATENATE($B70,AL$68,"W"))+COUNTIFS(Database!$F:$I,CONCATENATE(AL$68,$B70,"W"))),"-")</f>
        <v>1</v>
      </c>
      <c r="AM70" s="122" t="str">
        <f>IFERROR((COUNTIFS(Database!$F:$I,CONCATENATE($B70,AM$68,"W"))+COUNTIFS(Database!$F:$I,CONCATENATE(AM$68,$B70,"W")))/(COUNTIFS(Database!$F:$I,CONCATENATE($B70,AM$68,"L"))+COUNTIFS(Database!$F:$I,CONCATENATE(AM$68,$B70,"L"))+COUNTIFS(Database!$F:$I,CONCATENATE($B70,AM$68,"W"))+COUNTIFS(Database!$F:$I,CONCATENATE(AM$68,$B70,"W"))),"-")</f>
        <v>-</v>
      </c>
      <c r="AN70" s="122" t="str">
        <f>IFERROR((COUNTIFS(Database!$F:$I,CONCATENATE($B70,AN$68,"W"))+COUNTIFS(Database!$F:$I,CONCATENATE(AN$68,$B70,"W")))/(COUNTIFS(Database!$F:$I,CONCATENATE($B70,AN$68,"L"))+COUNTIFS(Database!$F:$I,CONCATENATE(AN$68,$B70,"L"))+COUNTIFS(Database!$F:$I,CONCATENATE($B70,AN$68,"W"))+COUNTIFS(Database!$F:$I,CONCATENATE(AN$68,$B70,"W"))),"-")</f>
        <v>-</v>
      </c>
      <c r="AO70" s="122">
        <f>IFERROR((COUNTIFS(Database!$F:$I,CONCATENATE($B70,AO$68,"W"))+COUNTIFS(Database!$F:$I,CONCATENATE(AO$68,$B70,"W")))/(COUNTIFS(Database!$F:$I,CONCATENATE($B70,AO$68,"L"))+COUNTIFS(Database!$F:$I,CONCATENATE(AO$68,$B70,"L"))+COUNTIFS(Database!$F:$I,CONCATENATE($B70,AO$68,"W"))+COUNTIFS(Database!$F:$I,CONCATENATE(AO$68,$B70,"W"))),"-")</f>
        <v>1</v>
      </c>
      <c r="AP70" s="122" t="str">
        <f>IFERROR((COUNTIFS(Database!$F:$I,CONCATENATE($B70,AP$68,"W"))+COUNTIFS(Database!$F:$I,CONCATENATE(AP$68,$B70,"W")))/(COUNTIFS(Database!$F:$I,CONCATENATE($B70,AP$68,"L"))+COUNTIFS(Database!$F:$I,CONCATENATE(AP$68,$B70,"L"))+COUNTIFS(Database!$F:$I,CONCATENATE($B70,AP$68,"W"))+COUNTIFS(Database!$F:$I,CONCATENATE(AP$68,$B70,"W"))),"-")</f>
        <v>-</v>
      </c>
      <c r="AQ70" s="122" t="str">
        <f>IFERROR((COUNTIFS(Database!$F:$I,CONCATENATE($B70,AQ$68,"W"))+COUNTIFS(Database!$F:$I,CONCATENATE(AQ$68,$B70,"W")))/(COUNTIFS(Database!$F:$I,CONCATENATE($B70,AQ$68,"L"))+COUNTIFS(Database!$F:$I,CONCATENATE(AQ$68,$B70,"L"))+COUNTIFS(Database!$F:$I,CONCATENATE($B70,AQ$68,"W"))+COUNTIFS(Database!$F:$I,CONCATENATE(AQ$68,$B70,"W"))),"-")</f>
        <v>-</v>
      </c>
      <c r="AR70" s="122">
        <f>IFERROR((COUNTIFS(Database!$F:$I,CONCATENATE($B70,AR$68,"W"))+COUNTIFS(Database!$F:$I,CONCATENATE(AR$68,$B70,"W")))/(COUNTIFS(Database!$F:$I,CONCATENATE($B70,AR$68,"L"))+COUNTIFS(Database!$F:$I,CONCATENATE(AR$68,$B70,"L"))+COUNTIFS(Database!$F:$I,CONCATENATE($B70,AR$68,"W"))+COUNTIFS(Database!$F:$I,CONCATENATE(AR$68,$B70,"W"))),"-")</f>
        <v>1</v>
      </c>
      <c r="AS70" s="122" t="str">
        <f>IFERROR((COUNTIFS(Database!$F:$I,CONCATENATE($B70,AS$68,"W"))+COUNTIFS(Database!$F:$I,CONCATENATE(AS$68,$B70,"W")))/(COUNTIFS(Database!$F:$I,CONCATENATE($B70,AS$68,"L"))+COUNTIFS(Database!$F:$I,CONCATENATE(AS$68,$B70,"L"))+COUNTIFS(Database!$F:$I,CONCATENATE($B70,AS$68,"W"))+COUNTIFS(Database!$F:$I,CONCATENATE(AS$68,$B70,"W"))),"-")</f>
        <v>-</v>
      </c>
      <c r="AT70" s="122" t="str">
        <f>IFERROR((COUNTIFS(Database!$F:$I,CONCATENATE($B70,AT$68,"W"))+COUNTIFS(Database!$F:$I,CONCATENATE(AT$68,$B70,"W")))/(COUNTIFS(Database!$F:$I,CONCATENATE($B70,AT$68,"L"))+COUNTIFS(Database!$F:$I,CONCATENATE(AT$68,$B70,"L"))+COUNTIFS(Database!$F:$I,CONCATENATE($B70,AT$68,"W"))+COUNTIFS(Database!$F:$I,CONCATENATE(AT$68,$B70,"W"))),"-")</f>
        <v>-</v>
      </c>
      <c r="AU70" s="122">
        <f>IFERROR((COUNTIFS(Database!$F:$I,CONCATENATE($B70,AU$68,"W"))+COUNTIFS(Database!$F:$I,CONCATENATE(AU$68,$B70,"W")))/(COUNTIFS(Database!$F:$I,CONCATENATE($B70,AU$68,"L"))+COUNTIFS(Database!$F:$I,CONCATENATE(AU$68,$B70,"L"))+COUNTIFS(Database!$F:$I,CONCATENATE($B70,AU$68,"W"))+COUNTIFS(Database!$F:$I,CONCATENATE(AU$68,$B70,"W"))),"-")</f>
        <v>1</v>
      </c>
      <c r="AV70" s="122" t="str">
        <f>IFERROR((COUNTIFS(Database!$F:$I,CONCATENATE($B70,AV$68,"W"))+COUNTIFS(Database!$F:$I,CONCATENATE(AV$68,$B70,"W")))/(COUNTIFS(Database!$F:$I,CONCATENATE($B70,AV$68,"L"))+COUNTIFS(Database!$F:$I,CONCATENATE(AV$68,$B70,"L"))+COUNTIFS(Database!$F:$I,CONCATENATE($B70,AV$68,"W"))+COUNTIFS(Database!$F:$I,CONCATENATE(AV$68,$B70,"W"))),"-")</f>
        <v>-</v>
      </c>
      <c r="AW70" s="122" t="str">
        <f>IFERROR((COUNTIFS(Database!$F:$I,CONCATENATE($B70,AW$68,"W"))+COUNTIFS(Database!$F:$I,CONCATENATE(AW$68,$B70,"W")))/(COUNTIFS(Database!$F:$I,CONCATENATE($B70,AW$68,"L"))+COUNTIFS(Database!$F:$I,CONCATENATE(AW$68,$B70,"L"))+COUNTIFS(Database!$F:$I,CONCATENATE($B70,AW$68,"W"))+COUNTIFS(Database!$F:$I,CONCATENATE(AW$68,$B70,"W"))),"-")</f>
        <v>-</v>
      </c>
      <c r="AX70" s="122">
        <f>IFERROR((COUNTIFS(Database!$F:$I,CONCATENATE($B70,AX$68,"W"))+COUNTIFS(Database!$F:$I,CONCATENATE(AX$68,$B70,"W")))/(COUNTIFS(Database!$F:$I,CONCATENATE($B70,AX$68,"L"))+COUNTIFS(Database!$F:$I,CONCATENATE(AX$68,$B70,"L"))+COUNTIFS(Database!$F:$I,CONCATENATE($B70,AX$68,"W"))+COUNTIFS(Database!$F:$I,CONCATENATE(AX$68,$B70,"W"))),"-")</f>
        <v>1</v>
      </c>
      <c r="AY70" s="122" t="str">
        <f>IFERROR((COUNTIFS(Database!$F:$I,CONCATENATE($B70,AY$68,"W"))+COUNTIFS(Database!$F:$I,CONCATENATE(AY$68,$B70,"W")))/(COUNTIFS(Database!$F:$I,CONCATENATE($B70,AY$68,"L"))+COUNTIFS(Database!$F:$I,CONCATENATE(AY$68,$B70,"L"))+COUNTIFS(Database!$F:$I,CONCATENATE($B70,AY$68,"W"))+COUNTIFS(Database!$F:$I,CONCATENATE(AY$68,$B70,"W"))),"-")</f>
        <v>-</v>
      </c>
    </row>
    <row r="71" spans="2:51" x14ac:dyDescent="0.25">
      <c r="B71" s="120" t="s">
        <v>47</v>
      </c>
      <c r="C71" s="122">
        <f>IFERROR((COUNTIFS(Database!$F:$I,CONCATENATE($B71,C$68,"W"))+COUNTIFS(Database!$F:$I,CONCATENATE(C$68,$B71,"W")))/(COUNTIFS(Database!$F:$I,CONCATENATE($B71,C$68,"L"))+COUNTIFS(Database!$F:$I,CONCATENATE(C$68,$B71,"L"))+COUNTIFS(Database!$F:$I,CONCATENATE($B71,C$68,"W"))+COUNTIFS(Database!$F:$I,CONCATENATE(C$68,$B71,"W"))),"-")</f>
        <v>0.72727272727272729</v>
      </c>
      <c r="D71" s="122">
        <f>IFERROR((COUNTIFS(Database!$F:$I,CONCATENATE($B71,D$68,"W"))+COUNTIFS(Database!$F:$I,CONCATENATE(D$68,$B71,"W")))/(COUNTIFS(Database!$F:$I,CONCATENATE($B71,D$68,"L"))+COUNTIFS(Database!$F:$I,CONCATENATE(D$68,$B71,"L"))+COUNTIFS(Database!$F:$I,CONCATENATE($B71,D$68,"W"))+COUNTIFS(Database!$F:$I,CONCATENATE(D$68,$B71,"W"))),"-")</f>
        <v>1</v>
      </c>
      <c r="E71" s="122" t="str">
        <f>IFERROR((COUNTIFS(Database!$F:$I,CONCATENATE($B71,E$68,"W"))+COUNTIFS(Database!$F:$I,CONCATENATE(E$68,$B71,"W")))/(COUNTIFS(Database!$F:$I,CONCATENATE($B71,E$68,"L"))+COUNTIFS(Database!$F:$I,CONCATENATE(E$68,$B71,"L"))+COUNTIFS(Database!$F:$I,CONCATENATE($B71,E$68,"W"))+COUNTIFS(Database!$F:$I,CONCATENATE(E$68,$B71,"W"))),"-")</f>
        <v>-</v>
      </c>
      <c r="F71" s="122">
        <f>IFERROR((COUNTIFS(Database!$F:$I,CONCATENATE($B71,F$68,"W"))+COUNTIFS(Database!$F:$I,CONCATENATE(F$68,$B71,"W")))/(COUNTIFS(Database!$F:$I,CONCATENATE($B71,F$68,"L"))+COUNTIFS(Database!$F:$I,CONCATENATE(F$68,$B71,"L"))+COUNTIFS(Database!$F:$I,CONCATENATE($B71,F$68,"W"))+COUNTIFS(Database!$F:$I,CONCATENATE(F$68,$B71,"W"))),"-")</f>
        <v>0.7142857142857143</v>
      </c>
      <c r="G71" s="122" t="str">
        <f>IFERROR((COUNTIFS(Database!$F:$I,CONCATENATE($B71,G$68,"W"))+COUNTIFS(Database!$F:$I,CONCATENATE(G$68,$B71,"W")))/(COUNTIFS(Database!$F:$I,CONCATENATE($B71,G$68,"L"))+COUNTIFS(Database!$F:$I,CONCATENATE(G$68,$B71,"L"))+COUNTIFS(Database!$F:$I,CONCATENATE($B71,G$68,"W"))+COUNTIFS(Database!$F:$I,CONCATENATE(G$68,$B71,"W"))),"-")</f>
        <v>-</v>
      </c>
      <c r="H71" s="122" t="str">
        <f>IFERROR((COUNTIFS(Database!$F:$I,CONCATENATE($B71,H$68,"W"))+COUNTIFS(Database!$F:$I,CONCATENATE(H$68,$B71,"W")))/(COUNTIFS(Database!$F:$I,CONCATENATE($B71,H$68,"L"))+COUNTIFS(Database!$F:$I,CONCATENATE(H$68,$B71,"L"))+COUNTIFS(Database!$F:$I,CONCATENATE($B71,H$68,"W"))+COUNTIFS(Database!$F:$I,CONCATENATE(H$68,$B71,"W"))),"-")</f>
        <v>-</v>
      </c>
      <c r="I71" s="122" t="str">
        <f>IFERROR((COUNTIFS(Database!$F:$I,CONCATENATE($B71,I$68,"W"))+COUNTIFS(Database!$F:$I,CONCATENATE(I$68,$B71,"W")))/(COUNTIFS(Database!$F:$I,CONCATENATE($B71,I$68,"L"))+COUNTIFS(Database!$F:$I,CONCATENATE(I$68,$B71,"L"))+COUNTIFS(Database!$F:$I,CONCATENATE($B71,I$68,"W"))+COUNTIFS(Database!$F:$I,CONCATENATE(I$68,$B71,"W"))),"-")</f>
        <v>-</v>
      </c>
      <c r="J71" s="122" t="str">
        <f>IFERROR((COUNTIFS(Database!$F:$I,CONCATENATE($B71,J$68,"W"))+COUNTIFS(Database!$F:$I,CONCATENATE(J$68,$B71,"W")))/(COUNTIFS(Database!$F:$I,CONCATENATE($B71,J$68,"L"))+COUNTIFS(Database!$F:$I,CONCATENATE(J$68,$B71,"L"))+COUNTIFS(Database!$F:$I,CONCATENATE($B71,J$68,"W"))+COUNTIFS(Database!$F:$I,CONCATENATE(J$68,$B71,"W"))),"-")</f>
        <v>-</v>
      </c>
      <c r="K71" s="122">
        <f>IFERROR((COUNTIFS(Database!$F:$I,CONCATENATE($B71,K$68,"W"))+COUNTIFS(Database!$F:$I,CONCATENATE(K$68,$B71,"W")))/(COUNTIFS(Database!$F:$I,CONCATENATE($B71,K$68,"L"))+COUNTIFS(Database!$F:$I,CONCATENATE(K$68,$B71,"L"))+COUNTIFS(Database!$F:$I,CONCATENATE($B71,K$68,"W"))+COUNTIFS(Database!$F:$I,CONCATENATE(K$68,$B71,"W"))),"-")</f>
        <v>0.75</v>
      </c>
      <c r="L71" s="122">
        <f>IFERROR((COUNTIFS(Database!$F:$I,CONCATENATE($B71,L$68,"W"))+COUNTIFS(Database!$F:$I,CONCATENATE(L$68,$B71,"W")))/(COUNTIFS(Database!$F:$I,CONCATENATE($B71,L$68,"L"))+COUNTIFS(Database!$F:$I,CONCATENATE(L$68,$B71,"L"))+COUNTIFS(Database!$F:$I,CONCATENATE($B71,L$68,"W"))+COUNTIFS(Database!$F:$I,CONCATENATE(L$68,$B71,"W"))),"-")</f>
        <v>0</v>
      </c>
      <c r="M71" s="122">
        <f>IFERROR((COUNTIFS(Database!$F:$I,CONCATENATE($B71,M$68,"W"))+COUNTIFS(Database!$F:$I,CONCATENATE(M$68,$B71,"W")))/(COUNTIFS(Database!$F:$I,CONCATENATE($B71,M$68,"L"))+COUNTIFS(Database!$F:$I,CONCATENATE(M$68,$B71,"L"))+COUNTIFS(Database!$F:$I,CONCATENATE($B71,M$68,"W"))+COUNTIFS(Database!$F:$I,CONCATENATE(M$68,$B71,"W"))),"-")</f>
        <v>1</v>
      </c>
      <c r="N71" s="122">
        <f>IFERROR((COUNTIFS(Database!$F:$I,CONCATENATE($B71,N$68,"W"))+COUNTIFS(Database!$F:$I,CONCATENATE(N$68,$B71,"W")))/(COUNTIFS(Database!$F:$I,CONCATENATE($B71,N$68,"L"))+COUNTIFS(Database!$F:$I,CONCATENATE(N$68,$B71,"L"))+COUNTIFS(Database!$F:$I,CONCATENATE($B71,N$68,"W"))+COUNTIFS(Database!$F:$I,CONCATENATE(N$68,$B71,"W"))),"-")</f>
        <v>0.5</v>
      </c>
      <c r="O71" s="122">
        <f>IFERROR((COUNTIFS(Database!$F:$I,CONCATENATE($B71,O$68,"W"))+COUNTIFS(Database!$F:$I,CONCATENATE(O$68,$B71,"W")))/(COUNTIFS(Database!$F:$I,CONCATENATE($B71,O$68,"L"))+COUNTIFS(Database!$F:$I,CONCATENATE(O$68,$B71,"L"))+COUNTIFS(Database!$F:$I,CONCATENATE($B71,O$68,"W"))+COUNTIFS(Database!$F:$I,CONCATENATE(O$68,$B71,"W"))),"-")</f>
        <v>0.5714285714285714</v>
      </c>
      <c r="P71" s="122">
        <f>IFERROR((COUNTIFS(Database!$F:$I,CONCATENATE($B71,P$68,"W"))+COUNTIFS(Database!$F:$I,CONCATENATE(P$68,$B71,"W")))/(COUNTIFS(Database!$F:$I,CONCATENATE($B71,P$68,"L"))+COUNTIFS(Database!$F:$I,CONCATENATE(P$68,$B71,"L"))+COUNTIFS(Database!$F:$I,CONCATENATE($B71,P$68,"W"))+COUNTIFS(Database!$F:$I,CONCATENATE(P$68,$B71,"W"))),"-")</f>
        <v>1</v>
      </c>
      <c r="Q71" s="122">
        <f>IFERROR((COUNTIFS(Database!$F:$I,CONCATENATE($B71,Q$68,"W"))+COUNTIFS(Database!$F:$I,CONCATENATE(Q$68,$B71,"W")))/(COUNTIFS(Database!$F:$I,CONCATENATE($B71,Q$68,"L"))+COUNTIFS(Database!$F:$I,CONCATENATE(Q$68,$B71,"L"))+COUNTIFS(Database!$F:$I,CONCATENATE($B71,Q$68,"W"))+COUNTIFS(Database!$F:$I,CONCATENATE(Q$68,$B71,"W"))),"-")</f>
        <v>1</v>
      </c>
      <c r="R71" s="122">
        <f>IFERROR((COUNTIFS(Database!$F:$I,CONCATENATE($B71,R$68,"W"))+COUNTIFS(Database!$F:$I,CONCATENATE(R$68,$B71,"W")))/(COUNTIFS(Database!$F:$I,CONCATENATE($B71,R$68,"L"))+COUNTIFS(Database!$F:$I,CONCATENATE(R$68,$B71,"L"))+COUNTIFS(Database!$F:$I,CONCATENATE($B71,R$68,"W"))+COUNTIFS(Database!$F:$I,CONCATENATE(R$68,$B71,"W"))),"-")</f>
        <v>0</v>
      </c>
      <c r="S71" s="122">
        <f>IFERROR((COUNTIFS(Database!$F:$I,CONCATENATE($B71,S$68,"W"))+COUNTIFS(Database!$F:$I,CONCATENATE(S$68,$B71,"W")))/(COUNTIFS(Database!$F:$I,CONCATENATE($B71,S$68,"L"))+COUNTIFS(Database!$F:$I,CONCATENATE(S$68,$B71,"L"))+COUNTIFS(Database!$F:$I,CONCATENATE($B71,S$68,"W"))+COUNTIFS(Database!$F:$I,CONCATENATE(S$68,$B71,"W"))),"-")</f>
        <v>0.5</v>
      </c>
      <c r="T71" s="122">
        <f>IFERROR((COUNTIFS(Database!$F:$I,CONCATENATE($B71,T$68,"W"))+COUNTIFS(Database!$F:$I,CONCATENATE(T$68,$B71,"W")))/(COUNTIFS(Database!$F:$I,CONCATENATE($B71,T$68,"L"))+COUNTIFS(Database!$F:$I,CONCATENATE(T$68,$B71,"L"))+COUNTIFS(Database!$F:$I,CONCATENATE($B71,T$68,"W"))+COUNTIFS(Database!$F:$I,CONCATENATE(T$68,$B71,"W"))),"-")</f>
        <v>1</v>
      </c>
      <c r="U71" s="122" t="str">
        <f>IFERROR((COUNTIFS(Database!$F:$I,CONCATENATE($B71,U$68,"W"))+COUNTIFS(Database!$F:$I,CONCATENATE(U$68,$B71,"W")))/(COUNTIFS(Database!$F:$I,CONCATENATE($B71,U$68,"L"))+COUNTIFS(Database!$F:$I,CONCATENATE(U$68,$B71,"L"))+COUNTIFS(Database!$F:$I,CONCATENATE($B71,U$68,"W"))+COUNTIFS(Database!$F:$I,CONCATENATE(U$68,$B71,"W"))),"-")</f>
        <v>-</v>
      </c>
      <c r="V71" s="122">
        <f>IFERROR((COUNTIFS(Database!$F:$I,CONCATENATE($B71,V$68,"W"))+COUNTIFS(Database!$F:$I,CONCATENATE(V$68,$B71,"W")))/(COUNTIFS(Database!$F:$I,CONCATENATE($B71,V$68,"L"))+COUNTIFS(Database!$F:$I,CONCATENATE(V$68,$B71,"L"))+COUNTIFS(Database!$F:$I,CONCATENATE($B71,V$68,"W"))+COUNTIFS(Database!$F:$I,CONCATENATE(V$68,$B71,"W"))),"-")</f>
        <v>0</v>
      </c>
      <c r="W71" s="122">
        <f>IFERROR((COUNTIFS(Database!$F:$I,CONCATENATE($B71,W$68,"W"))+COUNTIFS(Database!$F:$I,CONCATENATE(W$68,$B71,"W")))/(COUNTIFS(Database!$F:$I,CONCATENATE($B71,W$68,"L"))+COUNTIFS(Database!$F:$I,CONCATENATE(W$68,$B71,"L"))+COUNTIFS(Database!$F:$I,CONCATENATE($B71,W$68,"W"))+COUNTIFS(Database!$F:$I,CONCATENATE(W$68,$B71,"W"))),"-")</f>
        <v>0.5714285714285714</v>
      </c>
      <c r="X71" s="122" t="str">
        <f>IFERROR((COUNTIFS(Database!$F:$I,CONCATENATE($B71,X$68,"W"))+COUNTIFS(Database!$F:$I,CONCATENATE(X$68,$B71,"W")))/(COUNTIFS(Database!$F:$I,CONCATENATE($B71,X$68,"L"))+COUNTIFS(Database!$F:$I,CONCATENATE(X$68,$B71,"L"))+COUNTIFS(Database!$F:$I,CONCATENATE($B71,X$68,"W"))+COUNTIFS(Database!$F:$I,CONCATENATE(X$68,$B71,"W"))),"-")</f>
        <v>-</v>
      </c>
      <c r="Y71" s="122">
        <f>IFERROR((COUNTIFS(Database!$F:$I,CONCATENATE($B71,Y$68,"W"))+COUNTIFS(Database!$F:$I,CONCATENATE(Y$68,$B71,"W")))/(COUNTIFS(Database!$F:$I,CONCATENATE($B71,Y$68,"L"))+COUNTIFS(Database!$F:$I,CONCATENATE(Y$68,$B71,"L"))+COUNTIFS(Database!$F:$I,CONCATENATE($B71,Y$68,"W"))+COUNTIFS(Database!$F:$I,CONCATENATE(Y$68,$B71,"W"))),"-")</f>
        <v>0.5</v>
      </c>
      <c r="Z71" s="122">
        <f>IFERROR((COUNTIFS(Database!$F:$I,CONCATENATE($B71,Z$68,"W"))+COUNTIFS(Database!$F:$I,CONCATENATE(Z$68,$B71,"W")))/(COUNTIFS(Database!$F:$I,CONCATENATE($B71,Z$68,"L"))+COUNTIFS(Database!$F:$I,CONCATENATE(Z$68,$B71,"L"))+COUNTIFS(Database!$F:$I,CONCATENATE($B71,Z$68,"W"))+COUNTIFS(Database!$F:$I,CONCATENATE(Z$68,$B71,"W"))),"-")</f>
        <v>1</v>
      </c>
      <c r="AA71" s="122">
        <f>IFERROR((COUNTIFS(Database!$F:$I,CONCATENATE($B71,AA$68,"W"))+COUNTIFS(Database!$F:$I,CONCATENATE(AA$68,$B71,"W")))/(COUNTIFS(Database!$F:$I,CONCATENATE($B71,AA$68,"L"))+COUNTIFS(Database!$F:$I,CONCATENATE(AA$68,$B71,"L"))+COUNTIFS(Database!$F:$I,CONCATENATE($B71,AA$68,"W"))+COUNTIFS(Database!$F:$I,CONCATENATE(AA$68,$B71,"W"))),"-")</f>
        <v>1</v>
      </c>
      <c r="AB71" s="122">
        <f>IFERROR((COUNTIFS(Database!$F:$I,CONCATENATE($B71,AB$68,"W"))+COUNTIFS(Database!$F:$I,CONCATENATE(AB$68,$B71,"W")))/(COUNTIFS(Database!$F:$I,CONCATENATE($B71,AB$68,"L"))+COUNTIFS(Database!$F:$I,CONCATENATE(AB$68,$B71,"L"))+COUNTIFS(Database!$F:$I,CONCATENATE($B71,AB$68,"W"))+COUNTIFS(Database!$F:$I,CONCATENATE(AB$68,$B71,"W"))),"-")</f>
        <v>0.6</v>
      </c>
      <c r="AC71" s="122">
        <f>IFERROR((COUNTIFS(Database!$F:$I,CONCATENATE($B71,AC$68,"W"))+COUNTIFS(Database!$F:$I,CONCATENATE(AC$68,$B71,"W")))/(COUNTIFS(Database!$F:$I,CONCATENATE($B71,AC$68,"L"))+COUNTIFS(Database!$F:$I,CONCATENATE(AC$68,$B71,"L"))+COUNTIFS(Database!$F:$I,CONCATENATE($B71,AC$68,"W"))+COUNTIFS(Database!$F:$I,CONCATENATE(AC$68,$B71,"W"))),"-")</f>
        <v>0.5</v>
      </c>
      <c r="AD71" s="122" t="str">
        <f>IFERROR((COUNTIFS(Database!$F:$I,CONCATENATE($B71,AD$68,"W"))+COUNTIFS(Database!$F:$I,CONCATENATE(AD$68,$B71,"W")))/(COUNTIFS(Database!$F:$I,CONCATENATE($B71,AD$68,"L"))+COUNTIFS(Database!$F:$I,CONCATENATE(AD$68,$B71,"L"))+COUNTIFS(Database!$F:$I,CONCATENATE($B71,AD$68,"W"))+COUNTIFS(Database!$F:$I,CONCATENATE(AD$68,$B71,"W"))),"-")</f>
        <v>-</v>
      </c>
      <c r="AE71" s="122" t="str">
        <f>IFERROR((COUNTIFS(Database!$F:$I,CONCATENATE($B71,AE$68,"W"))+COUNTIFS(Database!$F:$I,CONCATENATE(AE$68,$B71,"W")))/(COUNTIFS(Database!$F:$I,CONCATENATE($B71,AE$68,"L"))+COUNTIFS(Database!$F:$I,CONCATENATE(AE$68,$B71,"L"))+COUNTIFS(Database!$F:$I,CONCATENATE($B71,AE$68,"W"))+COUNTIFS(Database!$F:$I,CONCATENATE(AE$68,$B71,"W"))),"-")</f>
        <v>-</v>
      </c>
      <c r="AF71" s="122" t="str">
        <f>IFERROR((COUNTIFS(Database!$F:$I,CONCATENATE($B71,AF$68,"W"))+COUNTIFS(Database!$F:$I,CONCATENATE(AF$68,$B71,"W")))/(COUNTIFS(Database!$F:$I,CONCATENATE($B71,AF$68,"L"))+COUNTIFS(Database!$F:$I,CONCATENATE(AF$68,$B71,"L"))+COUNTIFS(Database!$F:$I,CONCATENATE($B71,AF$68,"W"))+COUNTIFS(Database!$F:$I,CONCATENATE(AF$68,$B71,"W"))),"-")</f>
        <v>-</v>
      </c>
      <c r="AG71" s="122">
        <f>IFERROR((COUNTIFS(Database!$F:$I,CONCATENATE($B71,AG$68,"W"))+COUNTIFS(Database!$F:$I,CONCATENATE(AG$68,$B71,"W")))/(COUNTIFS(Database!$F:$I,CONCATENATE($B71,AG$68,"L"))+COUNTIFS(Database!$F:$I,CONCATENATE(AG$68,$B71,"L"))+COUNTIFS(Database!$F:$I,CONCATENATE($B71,AG$68,"W"))+COUNTIFS(Database!$F:$I,CONCATENATE(AG$68,$B71,"W"))),"-")</f>
        <v>1</v>
      </c>
      <c r="AH71" s="122" t="str">
        <f>IFERROR((COUNTIFS(Database!$F:$I,CONCATENATE($B71,AH$68,"W"))+COUNTIFS(Database!$F:$I,CONCATENATE(AH$68,$B71,"W")))/(COUNTIFS(Database!$F:$I,CONCATENATE($B71,AH$68,"L"))+COUNTIFS(Database!$F:$I,CONCATENATE(AH$68,$B71,"L"))+COUNTIFS(Database!$F:$I,CONCATENATE($B71,AH$68,"W"))+COUNTIFS(Database!$F:$I,CONCATENATE(AH$68,$B71,"W"))),"-")</f>
        <v>-</v>
      </c>
      <c r="AI71" s="122">
        <f>IFERROR((COUNTIFS(Database!$F:$I,CONCATENATE($B71,AI$68,"W"))+COUNTIFS(Database!$F:$I,CONCATENATE(AI$68,$B71,"W")))/(COUNTIFS(Database!$F:$I,CONCATENATE($B71,AI$68,"L"))+COUNTIFS(Database!$F:$I,CONCATENATE(AI$68,$B71,"L"))+COUNTIFS(Database!$F:$I,CONCATENATE($B71,AI$68,"W"))+COUNTIFS(Database!$F:$I,CONCATENATE(AI$68,$B71,"W"))),"-")</f>
        <v>1</v>
      </c>
      <c r="AJ71" s="122">
        <f>IFERROR((COUNTIFS(Database!$F:$I,CONCATENATE($B71,AJ$68,"W"))+COUNTIFS(Database!$F:$I,CONCATENATE(AJ$68,$B71,"W")))/(COUNTIFS(Database!$F:$I,CONCATENATE($B71,AJ$68,"L"))+COUNTIFS(Database!$F:$I,CONCATENATE(AJ$68,$B71,"L"))+COUNTIFS(Database!$F:$I,CONCATENATE($B71,AJ$68,"W"))+COUNTIFS(Database!$F:$I,CONCATENATE(AJ$68,$B71,"W"))),"-")</f>
        <v>0.25</v>
      </c>
      <c r="AK71" s="122">
        <f>IFERROR((COUNTIFS(Database!$F:$I,CONCATENATE($B71,AK$68,"W"))+COUNTIFS(Database!$F:$I,CONCATENATE(AK$68,$B71,"W")))/(COUNTIFS(Database!$F:$I,CONCATENATE($B71,AK$68,"L"))+COUNTIFS(Database!$F:$I,CONCATENATE(AK$68,$B71,"L"))+COUNTIFS(Database!$F:$I,CONCATENATE($B71,AK$68,"W"))+COUNTIFS(Database!$F:$I,CONCATENATE(AK$68,$B71,"W"))),"-")</f>
        <v>0.5</v>
      </c>
      <c r="AL71" s="122">
        <f>IFERROR((COUNTIFS(Database!$F:$I,CONCATENATE($B71,AL$68,"W"))+COUNTIFS(Database!$F:$I,CONCATENATE(AL$68,$B71,"W")))/(COUNTIFS(Database!$F:$I,CONCATENATE($B71,AL$68,"L"))+COUNTIFS(Database!$F:$I,CONCATENATE(AL$68,$B71,"L"))+COUNTIFS(Database!$F:$I,CONCATENATE($B71,AL$68,"W"))+COUNTIFS(Database!$F:$I,CONCATENATE(AL$68,$B71,"W"))),"-")</f>
        <v>1</v>
      </c>
      <c r="AM71" s="122" t="str">
        <f>IFERROR((COUNTIFS(Database!$F:$I,CONCATENATE($B71,AM$68,"W"))+COUNTIFS(Database!$F:$I,CONCATENATE(AM$68,$B71,"W")))/(COUNTIFS(Database!$F:$I,CONCATENATE($B71,AM$68,"L"))+COUNTIFS(Database!$F:$I,CONCATENATE(AM$68,$B71,"L"))+COUNTIFS(Database!$F:$I,CONCATENATE($B71,AM$68,"W"))+COUNTIFS(Database!$F:$I,CONCATENATE(AM$68,$B71,"W"))),"-")</f>
        <v>-</v>
      </c>
      <c r="AN71" s="122" t="str">
        <f>IFERROR((COUNTIFS(Database!$F:$I,CONCATENATE($B71,AN$68,"W"))+COUNTIFS(Database!$F:$I,CONCATENATE(AN$68,$B71,"W")))/(COUNTIFS(Database!$F:$I,CONCATENATE($B71,AN$68,"L"))+COUNTIFS(Database!$F:$I,CONCATENATE(AN$68,$B71,"L"))+COUNTIFS(Database!$F:$I,CONCATENATE($B71,AN$68,"W"))+COUNTIFS(Database!$F:$I,CONCATENATE(AN$68,$B71,"W"))),"-")</f>
        <v>-</v>
      </c>
      <c r="AO71" s="122">
        <f>IFERROR((COUNTIFS(Database!$F:$I,CONCATENATE($B71,AO$68,"W"))+COUNTIFS(Database!$F:$I,CONCATENATE(AO$68,$B71,"W")))/(COUNTIFS(Database!$F:$I,CONCATENATE($B71,AO$68,"L"))+COUNTIFS(Database!$F:$I,CONCATENATE(AO$68,$B71,"L"))+COUNTIFS(Database!$F:$I,CONCATENATE($B71,AO$68,"W"))+COUNTIFS(Database!$F:$I,CONCATENATE(AO$68,$B71,"W"))),"-")</f>
        <v>1</v>
      </c>
      <c r="AP71" s="122" t="str">
        <f>IFERROR((COUNTIFS(Database!$F:$I,CONCATENATE($B71,AP$68,"W"))+COUNTIFS(Database!$F:$I,CONCATENATE(AP$68,$B71,"W")))/(COUNTIFS(Database!$F:$I,CONCATENATE($B71,AP$68,"L"))+COUNTIFS(Database!$F:$I,CONCATENATE(AP$68,$B71,"L"))+COUNTIFS(Database!$F:$I,CONCATENATE($B71,AP$68,"W"))+COUNTIFS(Database!$F:$I,CONCATENATE(AP$68,$B71,"W"))),"-")</f>
        <v>-</v>
      </c>
      <c r="AQ71" s="122">
        <f>IFERROR((COUNTIFS(Database!$F:$I,CONCATENATE($B71,AQ$68,"W"))+COUNTIFS(Database!$F:$I,CONCATENATE(AQ$68,$B71,"W")))/(COUNTIFS(Database!$F:$I,CONCATENATE($B71,AQ$68,"L"))+COUNTIFS(Database!$F:$I,CONCATENATE(AQ$68,$B71,"L"))+COUNTIFS(Database!$F:$I,CONCATENATE($B71,AQ$68,"W"))+COUNTIFS(Database!$F:$I,CONCATENATE(AQ$68,$B71,"W"))),"-")</f>
        <v>1</v>
      </c>
      <c r="AR71" s="122">
        <f>IFERROR((COUNTIFS(Database!$F:$I,CONCATENATE($B71,AR$68,"W"))+COUNTIFS(Database!$F:$I,CONCATENATE(AR$68,$B71,"W")))/(COUNTIFS(Database!$F:$I,CONCATENATE($B71,AR$68,"L"))+COUNTIFS(Database!$F:$I,CONCATENATE(AR$68,$B71,"L"))+COUNTIFS(Database!$F:$I,CONCATENATE($B71,AR$68,"W"))+COUNTIFS(Database!$F:$I,CONCATENATE(AR$68,$B71,"W"))),"-")</f>
        <v>0.5714285714285714</v>
      </c>
      <c r="AS71" s="122" t="str">
        <f>IFERROR((COUNTIFS(Database!$F:$I,CONCATENATE($B71,AS$68,"W"))+COUNTIFS(Database!$F:$I,CONCATENATE(AS$68,$B71,"W")))/(COUNTIFS(Database!$F:$I,CONCATENATE($B71,AS$68,"L"))+COUNTIFS(Database!$F:$I,CONCATENATE(AS$68,$B71,"L"))+COUNTIFS(Database!$F:$I,CONCATENATE($B71,AS$68,"W"))+COUNTIFS(Database!$F:$I,CONCATENATE(AS$68,$B71,"W"))),"-")</f>
        <v>-</v>
      </c>
      <c r="AT71" s="122" t="str">
        <f>IFERROR((COUNTIFS(Database!$F:$I,CONCATENATE($B71,AT$68,"W"))+COUNTIFS(Database!$F:$I,CONCATENATE(AT$68,$B71,"W")))/(COUNTIFS(Database!$F:$I,CONCATENATE($B71,AT$68,"L"))+COUNTIFS(Database!$F:$I,CONCATENATE(AT$68,$B71,"L"))+COUNTIFS(Database!$F:$I,CONCATENATE($B71,AT$68,"W"))+COUNTIFS(Database!$F:$I,CONCATENATE(AT$68,$B71,"W"))),"-")</f>
        <v>-</v>
      </c>
      <c r="AU71" s="122">
        <f>IFERROR((COUNTIFS(Database!$F:$I,CONCATENATE($B71,AU$68,"W"))+COUNTIFS(Database!$F:$I,CONCATENATE(AU$68,$B71,"W")))/(COUNTIFS(Database!$F:$I,CONCATENATE($B71,AU$68,"L"))+COUNTIFS(Database!$F:$I,CONCATENATE(AU$68,$B71,"L"))+COUNTIFS(Database!$F:$I,CONCATENATE($B71,AU$68,"W"))+COUNTIFS(Database!$F:$I,CONCATENATE(AU$68,$B71,"W"))),"-")</f>
        <v>0.66666666666666663</v>
      </c>
      <c r="AV71" s="122">
        <f>IFERROR((COUNTIFS(Database!$F:$I,CONCATENATE($B71,AV$68,"W"))+COUNTIFS(Database!$F:$I,CONCATENATE(AV$68,$B71,"W")))/(COUNTIFS(Database!$F:$I,CONCATENATE($B71,AV$68,"L"))+COUNTIFS(Database!$F:$I,CONCATENATE(AV$68,$B71,"L"))+COUNTIFS(Database!$F:$I,CONCATENATE($B71,AV$68,"W"))+COUNTIFS(Database!$F:$I,CONCATENATE(AV$68,$B71,"W"))),"-")</f>
        <v>1</v>
      </c>
      <c r="AW71" s="122">
        <f>IFERROR((COUNTIFS(Database!$F:$I,CONCATENATE($B71,AW$68,"W"))+COUNTIFS(Database!$F:$I,CONCATENATE(AW$68,$B71,"W")))/(COUNTIFS(Database!$F:$I,CONCATENATE($B71,AW$68,"L"))+COUNTIFS(Database!$F:$I,CONCATENATE(AW$68,$B71,"L"))+COUNTIFS(Database!$F:$I,CONCATENATE($B71,AW$68,"W"))+COUNTIFS(Database!$F:$I,CONCATENATE(AW$68,$B71,"W"))),"-")</f>
        <v>0.83333333333333337</v>
      </c>
      <c r="AX71" s="122">
        <f>IFERROR((COUNTIFS(Database!$F:$I,CONCATENATE($B71,AX$68,"W"))+COUNTIFS(Database!$F:$I,CONCATENATE(AX$68,$B71,"W")))/(COUNTIFS(Database!$F:$I,CONCATENATE($B71,AX$68,"L"))+COUNTIFS(Database!$F:$I,CONCATENATE(AX$68,$B71,"L"))+COUNTIFS(Database!$F:$I,CONCATENATE($B71,AX$68,"W"))+COUNTIFS(Database!$F:$I,CONCATENATE(AX$68,$B71,"W"))),"-")</f>
        <v>0.66666666666666663</v>
      </c>
      <c r="AY71" s="122">
        <f>IFERROR((COUNTIFS(Database!$F:$I,CONCATENATE($B71,AY$68,"W"))+COUNTIFS(Database!$F:$I,CONCATENATE(AY$68,$B71,"W")))/(COUNTIFS(Database!$F:$I,CONCATENATE($B71,AY$68,"L"))+COUNTIFS(Database!$F:$I,CONCATENATE(AY$68,$B71,"L"))+COUNTIFS(Database!$F:$I,CONCATENATE($B71,AY$68,"W"))+COUNTIFS(Database!$F:$I,CONCATENATE(AY$68,$B71,"W"))),"-")</f>
        <v>0.83333333333333337</v>
      </c>
    </row>
    <row r="72" spans="2:51" x14ac:dyDescent="0.25">
      <c r="B72" s="120" t="s">
        <v>54</v>
      </c>
      <c r="C72" s="122">
        <f>IFERROR((COUNTIFS(Database!$F:$I,CONCATENATE($B72,C$68,"W"))+COUNTIFS(Database!$F:$I,CONCATENATE(C$68,$B72,"W")))/(COUNTIFS(Database!$F:$I,CONCATENATE($B72,C$68,"L"))+COUNTIFS(Database!$F:$I,CONCATENATE(C$68,$B72,"L"))+COUNTIFS(Database!$F:$I,CONCATENATE($B72,C$68,"W"))+COUNTIFS(Database!$F:$I,CONCATENATE(C$68,$B72,"W"))),"-")</f>
        <v>0.8</v>
      </c>
      <c r="D72" s="122" t="str">
        <f>IFERROR((COUNTIFS(Database!$F:$I,CONCATENATE($B72,D$68,"W"))+COUNTIFS(Database!$F:$I,CONCATENATE(D$68,$B72,"W")))/(COUNTIFS(Database!$F:$I,CONCATENATE($B72,D$68,"L"))+COUNTIFS(Database!$F:$I,CONCATENATE(D$68,$B72,"L"))+COUNTIFS(Database!$F:$I,CONCATENATE($B72,D$68,"W"))+COUNTIFS(Database!$F:$I,CONCATENATE(D$68,$B72,"W"))),"-")</f>
        <v>-</v>
      </c>
      <c r="E72" s="122">
        <f>IFERROR((COUNTIFS(Database!$F:$I,CONCATENATE($B72,E$68,"W"))+COUNTIFS(Database!$F:$I,CONCATENATE(E$68,$B72,"W")))/(COUNTIFS(Database!$F:$I,CONCATENATE($B72,E$68,"L"))+COUNTIFS(Database!$F:$I,CONCATENATE(E$68,$B72,"L"))+COUNTIFS(Database!$F:$I,CONCATENATE($B72,E$68,"W"))+COUNTIFS(Database!$F:$I,CONCATENATE(E$68,$B72,"W"))),"-")</f>
        <v>0.7142857142857143</v>
      </c>
      <c r="F72" s="122" t="str">
        <f>IFERROR((COUNTIFS(Database!$F:$I,CONCATENATE($B72,F$68,"W"))+COUNTIFS(Database!$F:$I,CONCATENATE(F$68,$B72,"W")))/(COUNTIFS(Database!$F:$I,CONCATENATE($B72,F$68,"L"))+COUNTIFS(Database!$F:$I,CONCATENATE(F$68,$B72,"L"))+COUNTIFS(Database!$F:$I,CONCATENATE($B72,F$68,"W"))+COUNTIFS(Database!$F:$I,CONCATENATE(F$68,$B72,"W"))),"-")</f>
        <v>-</v>
      </c>
      <c r="G72" s="122" t="str">
        <f>IFERROR((COUNTIFS(Database!$F:$I,CONCATENATE($B72,G$68,"W"))+COUNTIFS(Database!$F:$I,CONCATENATE(G$68,$B72,"W")))/(COUNTIFS(Database!$F:$I,CONCATENATE($B72,G$68,"L"))+COUNTIFS(Database!$F:$I,CONCATENATE(G$68,$B72,"L"))+COUNTIFS(Database!$F:$I,CONCATENATE($B72,G$68,"W"))+COUNTIFS(Database!$F:$I,CONCATENATE(G$68,$B72,"W"))),"-")</f>
        <v>-</v>
      </c>
      <c r="H72" s="122" t="str">
        <f>IFERROR((COUNTIFS(Database!$F:$I,CONCATENATE($B72,H$68,"W"))+COUNTIFS(Database!$F:$I,CONCATENATE(H$68,$B72,"W")))/(COUNTIFS(Database!$F:$I,CONCATENATE($B72,H$68,"L"))+COUNTIFS(Database!$F:$I,CONCATENATE(H$68,$B72,"L"))+COUNTIFS(Database!$F:$I,CONCATENATE($B72,H$68,"W"))+COUNTIFS(Database!$F:$I,CONCATENATE(H$68,$B72,"W"))),"-")</f>
        <v>-</v>
      </c>
      <c r="I72" s="122">
        <f>IFERROR((COUNTIFS(Database!$F:$I,CONCATENATE($B72,I$68,"W"))+COUNTIFS(Database!$F:$I,CONCATENATE(I$68,$B72,"W")))/(COUNTIFS(Database!$F:$I,CONCATENATE($B72,I$68,"L"))+COUNTIFS(Database!$F:$I,CONCATENATE(I$68,$B72,"L"))+COUNTIFS(Database!$F:$I,CONCATENATE($B72,I$68,"W"))+COUNTIFS(Database!$F:$I,CONCATENATE(I$68,$B72,"W"))),"-")</f>
        <v>0</v>
      </c>
      <c r="J72" s="122">
        <f>IFERROR((COUNTIFS(Database!$F:$I,CONCATENATE($B72,J$68,"W"))+COUNTIFS(Database!$F:$I,CONCATENATE(J$68,$B72,"W")))/(COUNTIFS(Database!$F:$I,CONCATENATE($B72,J$68,"L"))+COUNTIFS(Database!$F:$I,CONCATENATE(J$68,$B72,"L"))+COUNTIFS(Database!$F:$I,CONCATENATE($B72,J$68,"W"))+COUNTIFS(Database!$F:$I,CONCATENATE(J$68,$B72,"W"))),"-")</f>
        <v>0.33333333333333331</v>
      </c>
      <c r="K72" s="122">
        <f>IFERROR((COUNTIFS(Database!$F:$I,CONCATENATE($B72,K$68,"W"))+COUNTIFS(Database!$F:$I,CONCATENATE(K$68,$B72,"W")))/(COUNTIFS(Database!$F:$I,CONCATENATE($B72,K$68,"L"))+COUNTIFS(Database!$F:$I,CONCATENATE(K$68,$B72,"L"))+COUNTIFS(Database!$F:$I,CONCATENATE($B72,K$68,"W"))+COUNTIFS(Database!$F:$I,CONCATENATE(K$68,$B72,"W"))),"-")</f>
        <v>0.33333333333333331</v>
      </c>
      <c r="L72" s="122">
        <f>IFERROR((COUNTIFS(Database!$F:$I,CONCATENATE($B72,L$68,"W"))+COUNTIFS(Database!$F:$I,CONCATENATE(L$68,$B72,"W")))/(COUNTIFS(Database!$F:$I,CONCATENATE($B72,L$68,"L"))+COUNTIFS(Database!$F:$I,CONCATENATE(L$68,$B72,"L"))+COUNTIFS(Database!$F:$I,CONCATENATE($B72,L$68,"W"))+COUNTIFS(Database!$F:$I,CONCATENATE(L$68,$B72,"W"))),"-")</f>
        <v>0</v>
      </c>
      <c r="M72" s="122" t="str">
        <f>IFERROR((COUNTIFS(Database!$F:$I,CONCATENATE($B72,M$68,"W"))+COUNTIFS(Database!$F:$I,CONCATENATE(M$68,$B72,"W")))/(COUNTIFS(Database!$F:$I,CONCATENATE($B72,M$68,"L"))+COUNTIFS(Database!$F:$I,CONCATENATE(M$68,$B72,"L"))+COUNTIFS(Database!$F:$I,CONCATENATE($B72,M$68,"W"))+COUNTIFS(Database!$F:$I,CONCATENATE(M$68,$B72,"W"))),"-")</f>
        <v>-</v>
      </c>
      <c r="N72" s="122">
        <f>IFERROR((COUNTIFS(Database!$F:$I,CONCATENATE($B72,N$68,"W"))+COUNTIFS(Database!$F:$I,CONCATENATE(N$68,$B72,"W")))/(COUNTIFS(Database!$F:$I,CONCATENATE($B72,N$68,"L"))+COUNTIFS(Database!$F:$I,CONCATENATE(N$68,$B72,"L"))+COUNTIFS(Database!$F:$I,CONCATENATE($B72,N$68,"W"))+COUNTIFS(Database!$F:$I,CONCATENATE(N$68,$B72,"W"))),"-")</f>
        <v>0</v>
      </c>
      <c r="O72" s="122">
        <f>IFERROR((COUNTIFS(Database!$F:$I,CONCATENATE($B72,O$68,"W"))+COUNTIFS(Database!$F:$I,CONCATENATE(O$68,$B72,"W")))/(COUNTIFS(Database!$F:$I,CONCATENATE($B72,O$68,"L"))+COUNTIFS(Database!$F:$I,CONCATENATE(O$68,$B72,"L"))+COUNTIFS(Database!$F:$I,CONCATENATE($B72,O$68,"W"))+COUNTIFS(Database!$F:$I,CONCATENATE(O$68,$B72,"W"))),"-")</f>
        <v>0.4</v>
      </c>
      <c r="P72" s="122">
        <f>IFERROR((COUNTIFS(Database!$F:$I,CONCATENATE($B72,P$68,"W"))+COUNTIFS(Database!$F:$I,CONCATENATE(P$68,$B72,"W")))/(COUNTIFS(Database!$F:$I,CONCATENATE($B72,P$68,"L"))+COUNTIFS(Database!$F:$I,CONCATENATE(P$68,$B72,"L"))+COUNTIFS(Database!$F:$I,CONCATENATE($B72,P$68,"W"))+COUNTIFS(Database!$F:$I,CONCATENATE(P$68,$B72,"W"))),"-")</f>
        <v>0</v>
      </c>
      <c r="Q72" s="122">
        <f>IFERROR((COUNTIFS(Database!$F:$I,CONCATENATE($B72,Q$68,"W"))+COUNTIFS(Database!$F:$I,CONCATENATE(Q$68,$B72,"W")))/(COUNTIFS(Database!$F:$I,CONCATENATE($B72,Q$68,"L"))+COUNTIFS(Database!$F:$I,CONCATENATE(Q$68,$B72,"L"))+COUNTIFS(Database!$F:$I,CONCATENATE($B72,Q$68,"W"))+COUNTIFS(Database!$F:$I,CONCATENATE(Q$68,$B72,"W"))),"-")</f>
        <v>1</v>
      </c>
      <c r="R72" s="122">
        <f>IFERROR((COUNTIFS(Database!$F:$I,CONCATENATE($B72,R$68,"W"))+COUNTIFS(Database!$F:$I,CONCATENATE(R$68,$B72,"W")))/(COUNTIFS(Database!$F:$I,CONCATENATE($B72,R$68,"L"))+COUNTIFS(Database!$F:$I,CONCATENATE(R$68,$B72,"L"))+COUNTIFS(Database!$F:$I,CONCATENATE($B72,R$68,"W"))+COUNTIFS(Database!$F:$I,CONCATENATE(R$68,$B72,"W"))),"-")</f>
        <v>0.66666666666666663</v>
      </c>
      <c r="S72" s="122">
        <f>IFERROR((COUNTIFS(Database!$F:$I,CONCATENATE($B72,S$68,"W"))+COUNTIFS(Database!$F:$I,CONCATENATE(S$68,$B72,"W")))/(COUNTIFS(Database!$F:$I,CONCATENATE($B72,S$68,"L"))+COUNTIFS(Database!$F:$I,CONCATENATE(S$68,$B72,"L"))+COUNTIFS(Database!$F:$I,CONCATENATE($B72,S$68,"W"))+COUNTIFS(Database!$F:$I,CONCATENATE(S$68,$B72,"W"))),"-")</f>
        <v>0.5</v>
      </c>
      <c r="T72" s="122">
        <f>IFERROR((COUNTIFS(Database!$F:$I,CONCATENATE($B72,T$68,"W"))+COUNTIFS(Database!$F:$I,CONCATENATE(T$68,$B72,"W")))/(COUNTIFS(Database!$F:$I,CONCATENATE($B72,T$68,"L"))+COUNTIFS(Database!$F:$I,CONCATENATE(T$68,$B72,"L"))+COUNTIFS(Database!$F:$I,CONCATENATE($B72,T$68,"W"))+COUNTIFS(Database!$F:$I,CONCATENATE(T$68,$B72,"W"))),"-")</f>
        <v>0.2857142857142857</v>
      </c>
      <c r="U72" s="122" t="str">
        <f>IFERROR((COUNTIFS(Database!$F:$I,CONCATENATE($B72,U$68,"W"))+COUNTIFS(Database!$F:$I,CONCATENATE(U$68,$B72,"W")))/(COUNTIFS(Database!$F:$I,CONCATENATE($B72,U$68,"L"))+COUNTIFS(Database!$F:$I,CONCATENATE(U$68,$B72,"L"))+COUNTIFS(Database!$F:$I,CONCATENATE($B72,U$68,"W"))+COUNTIFS(Database!$F:$I,CONCATENATE(U$68,$B72,"W"))),"-")</f>
        <v>-</v>
      </c>
      <c r="V72" s="122" t="str">
        <f>IFERROR((COUNTIFS(Database!$F:$I,CONCATENATE($B72,V$68,"W"))+COUNTIFS(Database!$F:$I,CONCATENATE(V$68,$B72,"W")))/(COUNTIFS(Database!$F:$I,CONCATENATE($B72,V$68,"L"))+COUNTIFS(Database!$F:$I,CONCATENATE(V$68,$B72,"L"))+COUNTIFS(Database!$F:$I,CONCATENATE($B72,V$68,"W"))+COUNTIFS(Database!$F:$I,CONCATENATE(V$68,$B72,"W"))),"-")</f>
        <v>-</v>
      </c>
      <c r="W72" s="122">
        <f>IFERROR((COUNTIFS(Database!$F:$I,CONCATENATE($B72,W$68,"W"))+COUNTIFS(Database!$F:$I,CONCATENATE(W$68,$B72,"W")))/(COUNTIFS(Database!$F:$I,CONCATENATE($B72,W$68,"L"))+COUNTIFS(Database!$F:$I,CONCATENATE(W$68,$B72,"L"))+COUNTIFS(Database!$F:$I,CONCATENATE($B72,W$68,"W"))+COUNTIFS(Database!$F:$I,CONCATENATE(W$68,$B72,"W"))),"-")</f>
        <v>0.25</v>
      </c>
      <c r="X72" s="122" t="str">
        <f>IFERROR((COUNTIFS(Database!$F:$I,CONCATENATE($B72,X$68,"W"))+COUNTIFS(Database!$F:$I,CONCATENATE(X$68,$B72,"W")))/(COUNTIFS(Database!$F:$I,CONCATENATE($B72,X$68,"L"))+COUNTIFS(Database!$F:$I,CONCATENATE(X$68,$B72,"L"))+COUNTIFS(Database!$F:$I,CONCATENATE($B72,X$68,"W"))+COUNTIFS(Database!$F:$I,CONCATENATE(X$68,$B72,"W"))),"-")</f>
        <v>-</v>
      </c>
      <c r="Y72" s="122">
        <f>IFERROR((COUNTIFS(Database!$F:$I,CONCATENATE($B72,Y$68,"W"))+COUNTIFS(Database!$F:$I,CONCATENATE(Y$68,$B72,"W")))/(COUNTIFS(Database!$F:$I,CONCATENATE($B72,Y$68,"L"))+COUNTIFS(Database!$F:$I,CONCATENATE(Y$68,$B72,"L"))+COUNTIFS(Database!$F:$I,CONCATENATE($B72,Y$68,"W"))+COUNTIFS(Database!$F:$I,CONCATENATE(Y$68,$B72,"W"))),"-")</f>
        <v>0</v>
      </c>
      <c r="Z72" s="122" t="str">
        <f>IFERROR((COUNTIFS(Database!$F:$I,CONCATENATE($B72,Z$68,"W"))+COUNTIFS(Database!$F:$I,CONCATENATE(Z$68,$B72,"W")))/(COUNTIFS(Database!$F:$I,CONCATENATE($B72,Z$68,"L"))+COUNTIFS(Database!$F:$I,CONCATENATE(Z$68,$B72,"L"))+COUNTIFS(Database!$F:$I,CONCATENATE($B72,Z$68,"W"))+COUNTIFS(Database!$F:$I,CONCATENATE(Z$68,$B72,"W"))),"-")</f>
        <v>-</v>
      </c>
      <c r="AA72" s="122">
        <f>IFERROR((COUNTIFS(Database!$F:$I,CONCATENATE($B72,AA$68,"W"))+COUNTIFS(Database!$F:$I,CONCATENATE(AA$68,$B72,"W")))/(COUNTIFS(Database!$F:$I,CONCATENATE($B72,AA$68,"L"))+COUNTIFS(Database!$F:$I,CONCATENATE(AA$68,$B72,"L"))+COUNTIFS(Database!$F:$I,CONCATENATE($B72,AA$68,"W"))+COUNTIFS(Database!$F:$I,CONCATENATE(AA$68,$B72,"W"))),"-")</f>
        <v>0</v>
      </c>
      <c r="AB72" s="122">
        <f>IFERROR((COUNTIFS(Database!$F:$I,CONCATENATE($B72,AB$68,"W"))+COUNTIFS(Database!$F:$I,CONCATENATE(AB$68,$B72,"W")))/(COUNTIFS(Database!$F:$I,CONCATENATE($B72,AB$68,"L"))+COUNTIFS(Database!$F:$I,CONCATENATE(AB$68,$B72,"L"))+COUNTIFS(Database!$F:$I,CONCATENATE($B72,AB$68,"W"))+COUNTIFS(Database!$F:$I,CONCATENATE(AB$68,$B72,"W"))),"-")</f>
        <v>0.42857142857142855</v>
      </c>
      <c r="AC72" s="122">
        <f>IFERROR((COUNTIFS(Database!$F:$I,CONCATENATE($B72,AC$68,"W"))+COUNTIFS(Database!$F:$I,CONCATENATE(AC$68,$B72,"W")))/(COUNTIFS(Database!$F:$I,CONCATENATE($B72,AC$68,"L"))+COUNTIFS(Database!$F:$I,CONCATENATE(AC$68,$B72,"L"))+COUNTIFS(Database!$F:$I,CONCATENATE($B72,AC$68,"W"))+COUNTIFS(Database!$F:$I,CONCATENATE(AC$68,$B72,"W"))),"-")</f>
        <v>0.4</v>
      </c>
      <c r="AD72" s="122">
        <f>IFERROR((COUNTIFS(Database!$F:$I,CONCATENATE($B72,AD$68,"W"))+COUNTIFS(Database!$F:$I,CONCATENATE(AD$68,$B72,"W")))/(COUNTIFS(Database!$F:$I,CONCATENATE($B72,AD$68,"L"))+COUNTIFS(Database!$F:$I,CONCATENATE(AD$68,$B72,"L"))+COUNTIFS(Database!$F:$I,CONCATENATE($B72,AD$68,"W"))+COUNTIFS(Database!$F:$I,CONCATENATE(AD$68,$B72,"W"))),"-")</f>
        <v>0</v>
      </c>
      <c r="AE72" s="122" t="str">
        <f>IFERROR((COUNTIFS(Database!$F:$I,CONCATENATE($B72,AE$68,"W"))+COUNTIFS(Database!$F:$I,CONCATENATE(AE$68,$B72,"W")))/(COUNTIFS(Database!$F:$I,CONCATENATE($B72,AE$68,"L"))+COUNTIFS(Database!$F:$I,CONCATENATE(AE$68,$B72,"L"))+COUNTIFS(Database!$F:$I,CONCATENATE($B72,AE$68,"W"))+COUNTIFS(Database!$F:$I,CONCATENATE(AE$68,$B72,"W"))),"-")</f>
        <v>-</v>
      </c>
      <c r="AF72" s="122" t="str">
        <f>IFERROR((COUNTIFS(Database!$F:$I,CONCATENATE($B72,AF$68,"W"))+COUNTIFS(Database!$F:$I,CONCATENATE(AF$68,$B72,"W")))/(COUNTIFS(Database!$F:$I,CONCATENATE($B72,AF$68,"L"))+COUNTIFS(Database!$F:$I,CONCATENATE(AF$68,$B72,"L"))+COUNTIFS(Database!$F:$I,CONCATENATE($B72,AF$68,"W"))+COUNTIFS(Database!$F:$I,CONCATENATE(AF$68,$B72,"W"))),"-")</f>
        <v>-</v>
      </c>
      <c r="AG72" s="122" t="str">
        <f>IFERROR((COUNTIFS(Database!$F:$I,CONCATENATE($B72,AG$68,"W"))+COUNTIFS(Database!$F:$I,CONCATENATE(AG$68,$B72,"W")))/(COUNTIFS(Database!$F:$I,CONCATENATE($B72,AG$68,"L"))+COUNTIFS(Database!$F:$I,CONCATENATE(AG$68,$B72,"L"))+COUNTIFS(Database!$F:$I,CONCATENATE($B72,AG$68,"W"))+COUNTIFS(Database!$F:$I,CONCATENATE(AG$68,$B72,"W"))),"-")</f>
        <v>-</v>
      </c>
      <c r="AH72" s="122" t="str">
        <f>IFERROR((COUNTIFS(Database!$F:$I,CONCATENATE($B72,AH$68,"W"))+COUNTIFS(Database!$F:$I,CONCATENATE(AH$68,$B72,"W")))/(COUNTIFS(Database!$F:$I,CONCATENATE($B72,AH$68,"L"))+COUNTIFS(Database!$F:$I,CONCATENATE(AH$68,$B72,"L"))+COUNTIFS(Database!$F:$I,CONCATENATE($B72,AH$68,"W"))+COUNTIFS(Database!$F:$I,CONCATENATE(AH$68,$B72,"W"))),"-")</f>
        <v>-</v>
      </c>
      <c r="AI72" s="122" t="str">
        <f>IFERROR((COUNTIFS(Database!$F:$I,CONCATENATE($B72,AI$68,"W"))+COUNTIFS(Database!$F:$I,CONCATENATE(AI$68,$B72,"W")))/(COUNTIFS(Database!$F:$I,CONCATENATE($B72,AI$68,"L"))+COUNTIFS(Database!$F:$I,CONCATENATE(AI$68,$B72,"L"))+COUNTIFS(Database!$F:$I,CONCATENATE($B72,AI$68,"W"))+COUNTIFS(Database!$F:$I,CONCATENATE(AI$68,$B72,"W"))),"-")</f>
        <v>-</v>
      </c>
      <c r="AJ72" s="122">
        <f>IFERROR((COUNTIFS(Database!$F:$I,CONCATENATE($B72,AJ$68,"W"))+COUNTIFS(Database!$F:$I,CONCATENATE(AJ$68,$B72,"W")))/(COUNTIFS(Database!$F:$I,CONCATENATE($B72,AJ$68,"L"))+COUNTIFS(Database!$F:$I,CONCATENATE(AJ$68,$B72,"L"))+COUNTIFS(Database!$F:$I,CONCATENATE($B72,AJ$68,"W"))+COUNTIFS(Database!$F:$I,CONCATENATE(AJ$68,$B72,"W"))),"-")</f>
        <v>0.25</v>
      </c>
      <c r="AK72" s="122">
        <f>IFERROR((COUNTIFS(Database!$F:$I,CONCATENATE($B72,AK$68,"W"))+COUNTIFS(Database!$F:$I,CONCATENATE(AK$68,$B72,"W")))/(COUNTIFS(Database!$F:$I,CONCATENATE($B72,AK$68,"L"))+COUNTIFS(Database!$F:$I,CONCATENATE(AK$68,$B72,"L"))+COUNTIFS(Database!$F:$I,CONCATENATE($B72,AK$68,"W"))+COUNTIFS(Database!$F:$I,CONCATENATE(AK$68,$B72,"W"))),"-")</f>
        <v>0.5</v>
      </c>
      <c r="AL72" s="122">
        <f>IFERROR((COUNTIFS(Database!$F:$I,CONCATENATE($B72,AL$68,"W"))+COUNTIFS(Database!$F:$I,CONCATENATE(AL$68,$B72,"W")))/(COUNTIFS(Database!$F:$I,CONCATENATE($B72,AL$68,"L"))+COUNTIFS(Database!$F:$I,CONCATENATE(AL$68,$B72,"L"))+COUNTIFS(Database!$F:$I,CONCATENATE($B72,AL$68,"W"))+COUNTIFS(Database!$F:$I,CONCATENATE(AL$68,$B72,"W"))),"-")</f>
        <v>0.5</v>
      </c>
      <c r="AM72" s="122">
        <f>IFERROR((COUNTIFS(Database!$F:$I,CONCATENATE($B72,AM$68,"W"))+COUNTIFS(Database!$F:$I,CONCATENATE(AM$68,$B72,"W")))/(COUNTIFS(Database!$F:$I,CONCATENATE($B72,AM$68,"L"))+COUNTIFS(Database!$F:$I,CONCATENATE(AM$68,$B72,"L"))+COUNTIFS(Database!$F:$I,CONCATENATE($B72,AM$68,"W"))+COUNTIFS(Database!$F:$I,CONCATENATE(AM$68,$B72,"W"))),"-")</f>
        <v>0</v>
      </c>
      <c r="AN72" s="122" t="str">
        <f>IFERROR((COUNTIFS(Database!$F:$I,CONCATENATE($B72,AN$68,"W"))+COUNTIFS(Database!$F:$I,CONCATENATE(AN$68,$B72,"W")))/(COUNTIFS(Database!$F:$I,CONCATENATE($B72,AN$68,"L"))+COUNTIFS(Database!$F:$I,CONCATENATE(AN$68,$B72,"L"))+COUNTIFS(Database!$F:$I,CONCATENATE($B72,AN$68,"W"))+COUNTIFS(Database!$F:$I,CONCATENATE(AN$68,$B72,"W"))),"-")</f>
        <v>-</v>
      </c>
      <c r="AO72" s="122">
        <f>IFERROR((COUNTIFS(Database!$F:$I,CONCATENATE($B72,AO$68,"W"))+COUNTIFS(Database!$F:$I,CONCATENATE(AO$68,$B72,"W")))/(COUNTIFS(Database!$F:$I,CONCATENATE($B72,AO$68,"L"))+COUNTIFS(Database!$F:$I,CONCATENATE(AO$68,$B72,"L"))+COUNTIFS(Database!$F:$I,CONCATENATE($B72,AO$68,"W"))+COUNTIFS(Database!$F:$I,CONCATENATE(AO$68,$B72,"W"))),"-")</f>
        <v>0</v>
      </c>
      <c r="AP72" s="122" t="str">
        <f>IFERROR((COUNTIFS(Database!$F:$I,CONCATENATE($B72,AP$68,"W"))+COUNTIFS(Database!$F:$I,CONCATENATE(AP$68,$B72,"W")))/(COUNTIFS(Database!$F:$I,CONCATENATE($B72,AP$68,"L"))+COUNTIFS(Database!$F:$I,CONCATENATE(AP$68,$B72,"L"))+COUNTIFS(Database!$F:$I,CONCATENATE($B72,AP$68,"W"))+COUNTIFS(Database!$F:$I,CONCATENATE(AP$68,$B72,"W"))),"-")</f>
        <v>-</v>
      </c>
      <c r="AQ72" s="122">
        <f>IFERROR((COUNTIFS(Database!$F:$I,CONCATENATE($B72,AQ$68,"W"))+COUNTIFS(Database!$F:$I,CONCATENATE(AQ$68,$B72,"W")))/(COUNTIFS(Database!$F:$I,CONCATENATE($B72,AQ$68,"L"))+COUNTIFS(Database!$F:$I,CONCATENATE(AQ$68,$B72,"L"))+COUNTIFS(Database!$F:$I,CONCATENATE($B72,AQ$68,"W"))+COUNTIFS(Database!$F:$I,CONCATENATE(AQ$68,$B72,"W"))),"-")</f>
        <v>0</v>
      </c>
      <c r="AR72" s="122">
        <f>IFERROR((COUNTIFS(Database!$F:$I,CONCATENATE($B72,AR$68,"W"))+COUNTIFS(Database!$F:$I,CONCATENATE(AR$68,$B72,"W")))/(COUNTIFS(Database!$F:$I,CONCATENATE($B72,AR$68,"L"))+COUNTIFS(Database!$F:$I,CONCATENATE(AR$68,$B72,"L"))+COUNTIFS(Database!$F:$I,CONCATENATE($B72,AR$68,"W"))+COUNTIFS(Database!$F:$I,CONCATENATE(AR$68,$B72,"W"))),"-")</f>
        <v>0.33333333333333331</v>
      </c>
      <c r="AS72" s="122">
        <f>IFERROR((COUNTIFS(Database!$F:$I,CONCATENATE($B72,AS$68,"W"))+COUNTIFS(Database!$F:$I,CONCATENATE(AS$68,$B72,"W")))/(COUNTIFS(Database!$F:$I,CONCATENATE($B72,AS$68,"L"))+COUNTIFS(Database!$F:$I,CONCATENATE(AS$68,$B72,"L"))+COUNTIFS(Database!$F:$I,CONCATENATE($B72,AS$68,"W"))+COUNTIFS(Database!$F:$I,CONCATENATE(AS$68,$B72,"W"))),"-")</f>
        <v>0</v>
      </c>
      <c r="AT72" s="122" t="str">
        <f>IFERROR((COUNTIFS(Database!$F:$I,CONCATENATE($B72,AT$68,"W"))+COUNTIFS(Database!$F:$I,CONCATENATE(AT$68,$B72,"W")))/(COUNTIFS(Database!$F:$I,CONCATENATE($B72,AT$68,"L"))+COUNTIFS(Database!$F:$I,CONCATENATE(AT$68,$B72,"L"))+COUNTIFS(Database!$F:$I,CONCATENATE($B72,AT$68,"W"))+COUNTIFS(Database!$F:$I,CONCATENATE(AT$68,$B72,"W"))),"-")</f>
        <v>-</v>
      </c>
      <c r="AU72" s="122">
        <f>IFERROR((COUNTIFS(Database!$F:$I,CONCATENATE($B72,AU$68,"W"))+COUNTIFS(Database!$F:$I,CONCATENATE(AU$68,$B72,"W")))/(COUNTIFS(Database!$F:$I,CONCATENATE($B72,AU$68,"L"))+COUNTIFS(Database!$F:$I,CONCATENATE(AU$68,$B72,"L"))+COUNTIFS(Database!$F:$I,CONCATENATE($B72,AU$68,"W"))+COUNTIFS(Database!$F:$I,CONCATENATE(AU$68,$B72,"W"))),"-")</f>
        <v>0.5</v>
      </c>
      <c r="AV72" s="122">
        <f>IFERROR((COUNTIFS(Database!$F:$I,CONCATENATE($B72,AV$68,"W"))+COUNTIFS(Database!$F:$I,CONCATENATE(AV$68,$B72,"W")))/(COUNTIFS(Database!$F:$I,CONCATENATE($B72,AV$68,"L"))+COUNTIFS(Database!$F:$I,CONCATENATE(AV$68,$B72,"L"))+COUNTIFS(Database!$F:$I,CONCATENATE($B72,AV$68,"W"))+COUNTIFS(Database!$F:$I,CONCATENATE(AV$68,$B72,"W"))),"-")</f>
        <v>0.33333333333333331</v>
      </c>
      <c r="AW72" s="122">
        <f>IFERROR((COUNTIFS(Database!$F:$I,CONCATENATE($B72,AW$68,"W"))+COUNTIFS(Database!$F:$I,CONCATENATE(AW$68,$B72,"W")))/(COUNTIFS(Database!$F:$I,CONCATENATE($B72,AW$68,"L"))+COUNTIFS(Database!$F:$I,CONCATENATE(AW$68,$B72,"L"))+COUNTIFS(Database!$F:$I,CONCATENATE($B72,AW$68,"W"))+COUNTIFS(Database!$F:$I,CONCATENATE(AW$68,$B72,"W"))),"-")</f>
        <v>0.83333333333333337</v>
      </c>
      <c r="AX72" s="122" t="str">
        <f>IFERROR((COUNTIFS(Database!$F:$I,CONCATENATE($B72,AX$68,"W"))+COUNTIFS(Database!$F:$I,CONCATENATE(AX$68,$B72,"W")))/(COUNTIFS(Database!$F:$I,CONCATENATE($B72,AX$68,"L"))+COUNTIFS(Database!$F:$I,CONCATENATE(AX$68,$B72,"L"))+COUNTIFS(Database!$F:$I,CONCATENATE($B72,AX$68,"W"))+COUNTIFS(Database!$F:$I,CONCATENATE(AX$68,$B72,"W"))),"-")</f>
        <v>-</v>
      </c>
      <c r="AY72" s="122">
        <f>IFERROR((COUNTIFS(Database!$F:$I,CONCATENATE($B72,AY$68,"W"))+COUNTIFS(Database!$F:$I,CONCATENATE(AY$68,$B72,"W")))/(COUNTIFS(Database!$F:$I,CONCATENATE($B72,AY$68,"L"))+COUNTIFS(Database!$F:$I,CONCATENATE(AY$68,$B72,"L"))+COUNTIFS(Database!$F:$I,CONCATENATE($B72,AY$68,"W"))+COUNTIFS(Database!$F:$I,CONCATENATE(AY$68,$B72,"W"))),"-")</f>
        <v>0.5</v>
      </c>
    </row>
    <row r="73" spans="2:51" x14ac:dyDescent="0.25">
      <c r="B73" s="120" t="s">
        <v>18</v>
      </c>
      <c r="C73" s="122">
        <f>IFERROR((COUNTIFS(Database!$F:$I,CONCATENATE($B73,C$68,"W"))+COUNTIFS(Database!$F:$I,CONCATENATE(C$68,$B73,"W")))/(COUNTIFS(Database!$F:$I,CONCATENATE($B73,C$68,"L"))+COUNTIFS(Database!$F:$I,CONCATENATE(C$68,$B73,"L"))+COUNTIFS(Database!$F:$I,CONCATENATE($B73,C$68,"W"))+COUNTIFS(Database!$F:$I,CONCATENATE(C$68,$B73,"W"))),"-")</f>
        <v>0.33333333333333331</v>
      </c>
      <c r="D73" s="122" t="str">
        <f>IFERROR((COUNTIFS(Database!$F:$I,CONCATENATE($B73,D$68,"W"))+COUNTIFS(Database!$F:$I,CONCATENATE(D$68,$B73,"W")))/(COUNTIFS(Database!$F:$I,CONCATENATE($B73,D$68,"L"))+COUNTIFS(Database!$F:$I,CONCATENATE(D$68,$B73,"L"))+COUNTIFS(Database!$F:$I,CONCATENATE($B73,D$68,"W"))+COUNTIFS(Database!$F:$I,CONCATENATE(D$68,$B73,"W"))),"-")</f>
        <v>-</v>
      </c>
      <c r="E73" s="122" t="str">
        <f>IFERROR((COUNTIFS(Database!$F:$I,CONCATENATE($B73,E$68,"W"))+COUNTIFS(Database!$F:$I,CONCATENATE(E$68,$B73,"W")))/(COUNTIFS(Database!$F:$I,CONCATENATE($B73,E$68,"L"))+COUNTIFS(Database!$F:$I,CONCATENATE(E$68,$B73,"L"))+COUNTIFS(Database!$F:$I,CONCATENATE($B73,E$68,"W"))+COUNTIFS(Database!$F:$I,CONCATENATE(E$68,$B73,"W"))),"-")</f>
        <v>-</v>
      </c>
      <c r="F73" s="122" t="str">
        <f>IFERROR((COUNTIFS(Database!$F:$I,CONCATENATE($B73,F$68,"W"))+COUNTIFS(Database!$F:$I,CONCATENATE(F$68,$B73,"W")))/(COUNTIFS(Database!$F:$I,CONCATENATE($B73,F$68,"L"))+COUNTIFS(Database!$F:$I,CONCATENATE(F$68,$B73,"L"))+COUNTIFS(Database!$F:$I,CONCATENATE($B73,F$68,"W"))+COUNTIFS(Database!$F:$I,CONCATENATE(F$68,$B73,"W"))),"-")</f>
        <v>-</v>
      </c>
      <c r="G73" s="122" t="str">
        <f>IFERROR((COUNTIFS(Database!$F:$I,CONCATENATE($B73,G$68,"W"))+COUNTIFS(Database!$F:$I,CONCATENATE(G$68,$B73,"W")))/(COUNTIFS(Database!$F:$I,CONCATENATE($B73,G$68,"L"))+COUNTIFS(Database!$F:$I,CONCATENATE(G$68,$B73,"L"))+COUNTIFS(Database!$F:$I,CONCATENATE($B73,G$68,"W"))+COUNTIFS(Database!$F:$I,CONCATENATE(G$68,$B73,"W"))),"-")</f>
        <v>-</v>
      </c>
      <c r="H73" s="122" t="str">
        <f>IFERROR((COUNTIFS(Database!$F:$I,CONCATENATE($B73,H$68,"W"))+COUNTIFS(Database!$F:$I,CONCATENATE(H$68,$B73,"W")))/(COUNTIFS(Database!$F:$I,CONCATENATE($B73,H$68,"L"))+COUNTIFS(Database!$F:$I,CONCATENATE(H$68,$B73,"L"))+COUNTIFS(Database!$F:$I,CONCATENATE($B73,H$68,"W"))+COUNTIFS(Database!$F:$I,CONCATENATE(H$68,$B73,"W"))),"-")</f>
        <v>-</v>
      </c>
      <c r="I73" s="122" t="str">
        <f>IFERROR((COUNTIFS(Database!$F:$I,CONCATENATE($B73,I$68,"W"))+COUNTIFS(Database!$F:$I,CONCATENATE(I$68,$B73,"W")))/(COUNTIFS(Database!$F:$I,CONCATENATE($B73,I$68,"L"))+COUNTIFS(Database!$F:$I,CONCATENATE(I$68,$B73,"L"))+COUNTIFS(Database!$F:$I,CONCATENATE($B73,I$68,"W"))+COUNTIFS(Database!$F:$I,CONCATENATE(I$68,$B73,"W"))),"-")</f>
        <v>-</v>
      </c>
      <c r="J73" s="122">
        <f>IFERROR((COUNTIFS(Database!$F:$I,CONCATENATE($B73,J$68,"W"))+COUNTIFS(Database!$F:$I,CONCATENATE(J$68,$B73,"W")))/(COUNTIFS(Database!$F:$I,CONCATENATE($B73,J$68,"L"))+COUNTIFS(Database!$F:$I,CONCATENATE(J$68,$B73,"L"))+COUNTIFS(Database!$F:$I,CONCATENATE($B73,J$68,"W"))+COUNTIFS(Database!$F:$I,CONCATENATE(J$68,$B73,"W"))),"-")</f>
        <v>0</v>
      </c>
      <c r="K73" s="122">
        <f>IFERROR((COUNTIFS(Database!$F:$I,CONCATENATE($B73,K$68,"W"))+COUNTIFS(Database!$F:$I,CONCATENATE(K$68,$B73,"W")))/(COUNTIFS(Database!$F:$I,CONCATENATE($B73,K$68,"L"))+COUNTIFS(Database!$F:$I,CONCATENATE(K$68,$B73,"L"))+COUNTIFS(Database!$F:$I,CONCATENATE($B73,K$68,"W"))+COUNTIFS(Database!$F:$I,CONCATENATE(K$68,$B73,"W"))),"-")</f>
        <v>1</v>
      </c>
      <c r="L73" s="122" t="str">
        <f>IFERROR((COUNTIFS(Database!$F:$I,CONCATENATE($B73,L$68,"W"))+COUNTIFS(Database!$F:$I,CONCATENATE(L$68,$B73,"W")))/(COUNTIFS(Database!$F:$I,CONCATENATE($B73,L$68,"L"))+COUNTIFS(Database!$F:$I,CONCATENATE(L$68,$B73,"L"))+COUNTIFS(Database!$F:$I,CONCATENATE($B73,L$68,"W"))+COUNTIFS(Database!$F:$I,CONCATENATE(L$68,$B73,"W"))),"-")</f>
        <v>-</v>
      </c>
      <c r="M73" s="122" t="str">
        <f>IFERROR((COUNTIFS(Database!$F:$I,CONCATENATE($B73,M$68,"W"))+COUNTIFS(Database!$F:$I,CONCATENATE(M$68,$B73,"W")))/(COUNTIFS(Database!$F:$I,CONCATENATE($B73,M$68,"L"))+COUNTIFS(Database!$F:$I,CONCATENATE(M$68,$B73,"L"))+COUNTIFS(Database!$F:$I,CONCATENATE($B73,M$68,"W"))+COUNTIFS(Database!$F:$I,CONCATENATE(M$68,$B73,"W"))),"-")</f>
        <v>-</v>
      </c>
      <c r="N73" s="122">
        <f>IFERROR((COUNTIFS(Database!$F:$I,CONCATENATE($B73,N$68,"W"))+COUNTIFS(Database!$F:$I,CONCATENATE(N$68,$B73,"W")))/(COUNTIFS(Database!$F:$I,CONCATENATE($B73,N$68,"L"))+COUNTIFS(Database!$F:$I,CONCATENATE(N$68,$B73,"L"))+COUNTIFS(Database!$F:$I,CONCATENATE($B73,N$68,"W"))+COUNTIFS(Database!$F:$I,CONCATENATE(N$68,$B73,"W"))),"-")</f>
        <v>0</v>
      </c>
      <c r="O73" s="122">
        <f>IFERROR((COUNTIFS(Database!$F:$I,CONCATENATE($B73,O$68,"W"))+COUNTIFS(Database!$F:$I,CONCATENATE(O$68,$B73,"W")))/(COUNTIFS(Database!$F:$I,CONCATENATE($B73,O$68,"L"))+COUNTIFS(Database!$F:$I,CONCATENATE(O$68,$B73,"L"))+COUNTIFS(Database!$F:$I,CONCATENATE($B73,O$68,"W"))+COUNTIFS(Database!$F:$I,CONCATENATE(O$68,$B73,"W"))),"-")</f>
        <v>0</v>
      </c>
      <c r="P73" s="122" t="str">
        <f>IFERROR((COUNTIFS(Database!$F:$I,CONCATENATE($B73,P$68,"W"))+COUNTIFS(Database!$F:$I,CONCATENATE(P$68,$B73,"W")))/(COUNTIFS(Database!$F:$I,CONCATENATE($B73,P$68,"L"))+COUNTIFS(Database!$F:$I,CONCATENATE(P$68,$B73,"L"))+COUNTIFS(Database!$F:$I,CONCATENATE($B73,P$68,"W"))+COUNTIFS(Database!$F:$I,CONCATENATE(P$68,$B73,"W"))),"-")</f>
        <v>-</v>
      </c>
      <c r="Q73" s="122" t="str">
        <f>IFERROR((COUNTIFS(Database!$F:$I,CONCATENATE($B73,Q$68,"W"))+COUNTIFS(Database!$F:$I,CONCATENATE(Q$68,$B73,"W")))/(COUNTIFS(Database!$F:$I,CONCATENATE($B73,Q$68,"L"))+COUNTIFS(Database!$F:$I,CONCATENATE(Q$68,$B73,"L"))+COUNTIFS(Database!$F:$I,CONCATENATE($B73,Q$68,"W"))+COUNTIFS(Database!$F:$I,CONCATENATE(Q$68,$B73,"W"))),"-")</f>
        <v>-</v>
      </c>
      <c r="R73" s="122" t="str">
        <f>IFERROR((COUNTIFS(Database!$F:$I,CONCATENATE($B73,R$68,"W"))+COUNTIFS(Database!$F:$I,CONCATENATE(R$68,$B73,"W")))/(COUNTIFS(Database!$F:$I,CONCATENATE($B73,R$68,"L"))+COUNTIFS(Database!$F:$I,CONCATENATE(R$68,$B73,"L"))+COUNTIFS(Database!$F:$I,CONCATENATE($B73,R$68,"W"))+COUNTIFS(Database!$F:$I,CONCATENATE(R$68,$B73,"W"))),"-")</f>
        <v>-</v>
      </c>
      <c r="S73" s="122" t="str">
        <f>IFERROR((COUNTIFS(Database!$F:$I,CONCATENATE($B73,S$68,"W"))+COUNTIFS(Database!$F:$I,CONCATENATE(S$68,$B73,"W")))/(COUNTIFS(Database!$F:$I,CONCATENATE($B73,S$68,"L"))+COUNTIFS(Database!$F:$I,CONCATENATE(S$68,$B73,"L"))+COUNTIFS(Database!$F:$I,CONCATENATE($B73,S$68,"W"))+COUNTIFS(Database!$F:$I,CONCATENATE(S$68,$B73,"W"))),"-")</f>
        <v>-</v>
      </c>
      <c r="T73" s="122" t="str">
        <f>IFERROR((COUNTIFS(Database!$F:$I,CONCATENATE($B73,T$68,"W"))+COUNTIFS(Database!$F:$I,CONCATENATE(T$68,$B73,"W")))/(COUNTIFS(Database!$F:$I,CONCATENATE($B73,T$68,"L"))+COUNTIFS(Database!$F:$I,CONCATENATE(T$68,$B73,"L"))+COUNTIFS(Database!$F:$I,CONCATENATE($B73,T$68,"W"))+COUNTIFS(Database!$F:$I,CONCATENATE(T$68,$B73,"W"))),"-")</f>
        <v>-</v>
      </c>
      <c r="U73" s="122" t="str">
        <f>IFERROR((COUNTIFS(Database!$F:$I,CONCATENATE($B73,U$68,"W"))+COUNTIFS(Database!$F:$I,CONCATENATE(U$68,$B73,"W")))/(COUNTIFS(Database!$F:$I,CONCATENATE($B73,U$68,"L"))+COUNTIFS(Database!$F:$I,CONCATENATE(U$68,$B73,"L"))+COUNTIFS(Database!$F:$I,CONCATENATE($B73,U$68,"W"))+COUNTIFS(Database!$F:$I,CONCATENATE(U$68,$B73,"W"))),"-")</f>
        <v>-</v>
      </c>
      <c r="V73" s="122" t="str">
        <f>IFERROR((COUNTIFS(Database!$F:$I,CONCATENATE($B73,V$68,"W"))+COUNTIFS(Database!$F:$I,CONCATENATE(V$68,$B73,"W")))/(COUNTIFS(Database!$F:$I,CONCATENATE($B73,V$68,"L"))+COUNTIFS(Database!$F:$I,CONCATENATE(V$68,$B73,"L"))+COUNTIFS(Database!$F:$I,CONCATENATE($B73,V$68,"W"))+COUNTIFS(Database!$F:$I,CONCATENATE(V$68,$B73,"W"))),"-")</f>
        <v>-</v>
      </c>
      <c r="W73" s="122">
        <f>IFERROR((COUNTIFS(Database!$F:$I,CONCATENATE($B73,W$68,"W"))+COUNTIFS(Database!$F:$I,CONCATENATE(W$68,$B73,"W")))/(COUNTIFS(Database!$F:$I,CONCATENATE($B73,W$68,"L"))+COUNTIFS(Database!$F:$I,CONCATENATE(W$68,$B73,"L"))+COUNTIFS(Database!$F:$I,CONCATENATE($B73,W$68,"W"))+COUNTIFS(Database!$F:$I,CONCATENATE(W$68,$B73,"W"))),"-")</f>
        <v>0</v>
      </c>
      <c r="X73" s="122" t="str">
        <f>IFERROR((COUNTIFS(Database!$F:$I,CONCATENATE($B73,X$68,"W"))+COUNTIFS(Database!$F:$I,CONCATENATE(X$68,$B73,"W")))/(COUNTIFS(Database!$F:$I,CONCATENATE($B73,X$68,"L"))+COUNTIFS(Database!$F:$I,CONCATENATE(X$68,$B73,"L"))+COUNTIFS(Database!$F:$I,CONCATENATE($B73,X$68,"W"))+COUNTIFS(Database!$F:$I,CONCATENATE(X$68,$B73,"W"))),"-")</f>
        <v>-</v>
      </c>
      <c r="Y73" s="122" t="str">
        <f>IFERROR((COUNTIFS(Database!$F:$I,CONCATENATE($B73,Y$68,"W"))+COUNTIFS(Database!$F:$I,CONCATENATE(Y$68,$B73,"W")))/(COUNTIFS(Database!$F:$I,CONCATENATE($B73,Y$68,"L"))+COUNTIFS(Database!$F:$I,CONCATENATE(Y$68,$B73,"L"))+COUNTIFS(Database!$F:$I,CONCATENATE($B73,Y$68,"W"))+COUNTIFS(Database!$F:$I,CONCATENATE(Y$68,$B73,"W"))),"-")</f>
        <v>-</v>
      </c>
      <c r="Z73" s="122" t="str">
        <f>IFERROR((COUNTIFS(Database!$F:$I,CONCATENATE($B73,Z$68,"W"))+COUNTIFS(Database!$F:$I,CONCATENATE(Z$68,$B73,"W")))/(COUNTIFS(Database!$F:$I,CONCATENATE($B73,Z$68,"L"))+COUNTIFS(Database!$F:$I,CONCATENATE(Z$68,$B73,"L"))+COUNTIFS(Database!$F:$I,CONCATENATE($B73,Z$68,"W"))+COUNTIFS(Database!$F:$I,CONCATENATE(Z$68,$B73,"W"))),"-")</f>
        <v>-</v>
      </c>
      <c r="AA73" s="122" t="str">
        <f>IFERROR((COUNTIFS(Database!$F:$I,CONCATENATE($B73,AA$68,"W"))+COUNTIFS(Database!$F:$I,CONCATENATE(AA$68,$B73,"W")))/(COUNTIFS(Database!$F:$I,CONCATENATE($B73,AA$68,"L"))+COUNTIFS(Database!$F:$I,CONCATENATE(AA$68,$B73,"L"))+COUNTIFS(Database!$F:$I,CONCATENATE($B73,AA$68,"W"))+COUNTIFS(Database!$F:$I,CONCATENATE(AA$68,$B73,"W"))),"-")</f>
        <v>-</v>
      </c>
      <c r="AB73" s="122">
        <f>IFERROR((COUNTIFS(Database!$F:$I,CONCATENATE($B73,AB$68,"W"))+COUNTIFS(Database!$F:$I,CONCATENATE(AB$68,$B73,"W")))/(COUNTIFS(Database!$F:$I,CONCATENATE($B73,AB$68,"L"))+COUNTIFS(Database!$F:$I,CONCATENATE(AB$68,$B73,"L"))+COUNTIFS(Database!$F:$I,CONCATENATE($B73,AB$68,"W"))+COUNTIFS(Database!$F:$I,CONCATENATE(AB$68,$B73,"W"))),"-")</f>
        <v>0</v>
      </c>
      <c r="AC73" s="122" t="str">
        <f>IFERROR((COUNTIFS(Database!$F:$I,CONCATENATE($B73,AC$68,"W"))+COUNTIFS(Database!$F:$I,CONCATENATE(AC$68,$B73,"W")))/(COUNTIFS(Database!$F:$I,CONCATENATE($B73,AC$68,"L"))+COUNTIFS(Database!$F:$I,CONCATENATE(AC$68,$B73,"L"))+COUNTIFS(Database!$F:$I,CONCATENATE($B73,AC$68,"W"))+COUNTIFS(Database!$F:$I,CONCATENATE(AC$68,$B73,"W"))),"-")</f>
        <v>-</v>
      </c>
      <c r="AD73" s="122">
        <f>IFERROR((COUNTIFS(Database!$F:$I,CONCATENATE($B73,AD$68,"W"))+COUNTIFS(Database!$F:$I,CONCATENATE(AD$68,$B73,"W")))/(COUNTIFS(Database!$F:$I,CONCATENATE($B73,AD$68,"L"))+COUNTIFS(Database!$F:$I,CONCATENATE(AD$68,$B73,"L"))+COUNTIFS(Database!$F:$I,CONCATENATE($B73,AD$68,"W"))+COUNTIFS(Database!$F:$I,CONCATENATE(AD$68,$B73,"W"))),"-")</f>
        <v>1</v>
      </c>
      <c r="AE73" s="122" t="str">
        <f>IFERROR((COUNTIFS(Database!$F:$I,CONCATENATE($B73,AE$68,"W"))+COUNTIFS(Database!$F:$I,CONCATENATE(AE$68,$B73,"W")))/(COUNTIFS(Database!$F:$I,CONCATENATE($B73,AE$68,"L"))+COUNTIFS(Database!$F:$I,CONCATENATE(AE$68,$B73,"L"))+COUNTIFS(Database!$F:$I,CONCATENATE($B73,AE$68,"W"))+COUNTIFS(Database!$F:$I,CONCATENATE(AE$68,$B73,"W"))),"-")</f>
        <v>-</v>
      </c>
      <c r="AF73" s="122" t="str">
        <f>IFERROR((COUNTIFS(Database!$F:$I,CONCATENATE($B73,AF$68,"W"))+COUNTIFS(Database!$F:$I,CONCATENATE(AF$68,$B73,"W")))/(COUNTIFS(Database!$F:$I,CONCATENATE($B73,AF$68,"L"))+COUNTIFS(Database!$F:$I,CONCATENATE(AF$68,$B73,"L"))+COUNTIFS(Database!$F:$I,CONCATENATE($B73,AF$68,"W"))+COUNTIFS(Database!$F:$I,CONCATENATE(AF$68,$B73,"W"))),"-")</f>
        <v>-</v>
      </c>
      <c r="AG73" s="122" t="str">
        <f>IFERROR((COUNTIFS(Database!$F:$I,CONCATENATE($B73,AG$68,"W"))+COUNTIFS(Database!$F:$I,CONCATENATE(AG$68,$B73,"W")))/(COUNTIFS(Database!$F:$I,CONCATENATE($B73,AG$68,"L"))+COUNTIFS(Database!$F:$I,CONCATENATE(AG$68,$B73,"L"))+COUNTIFS(Database!$F:$I,CONCATENATE($B73,AG$68,"W"))+COUNTIFS(Database!$F:$I,CONCATENATE(AG$68,$B73,"W"))),"-")</f>
        <v>-</v>
      </c>
      <c r="AH73" s="122" t="str">
        <f>IFERROR((COUNTIFS(Database!$F:$I,CONCATENATE($B73,AH$68,"W"))+COUNTIFS(Database!$F:$I,CONCATENATE(AH$68,$B73,"W")))/(COUNTIFS(Database!$F:$I,CONCATENATE($B73,AH$68,"L"))+COUNTIFS(Database!$F:$I,CONCATENATE(AH$68,$B73,"L"))+COUNTIFS(Database!$F:$I,CONCATENATE($B73,AH$68,"W"))+COUNTIFS(Database!$F:$I,CONCATENATE(AH$68,$B73,"W"))),"-")</f>
        <v>-</v>
      </c>
      <c r="AI73" s="122" t="str">
        <f>IFERROR((COUNTIFS(Database!$F:$I,CONCATENATE($B73,AI$68,"W"))+COUNTIFS(Database!$F:$I,CONCATENATE(AI$68,$B73,"W")))/(COUNTIFS(Database!$F:$I,CONCATENATE($B73,AI$68,"L"))+COUNTIFS(Database!$F:$I,CONCATENATE(AI$68,$B73,"L"))+COUNTIFS(Database!$F:$I,CONCATENATE($B73,AI$68,"W"))+COUNTIFS(Database!$F:$I,CONCATENATE(AI$68,$B73,"W"))),"-")</f>
        <v>-</v>
      </c>
      <c r="AJ73" s="122" t="str">
        <f>IFERROR((COUNTIFS(Database!$F:$I,CONCATENATE($B73,AJ$68,"W"))+COUNTIFS(Database!$F:$I,CONCATENATE(AJ$68,$B73,"W")))/(COUNTIFS(Database!$F:$I,CONCATENATE($B73,AJ$68,"L"))+COUNTIFS(Database!$F:$I,CONCATENATE(AJ$68,$B73,"L"))+COUNTIFS(Database!$F:$I,CONCATENATE($B73,AJ$68,"W"))+COUNTIFS(Database!$F:$I,CONCATENATE(AJ$68,$B73,"W"))),"-")</f>
        <v>-</v>
      </c>
      <c r="AK73" s="122" t="str">
        <f>IFERROR((COUNTIFS(Database!$F:$I,CONCATENATE($B73,AK$68,"W"))+COUNTIFS(Database!$F:$I,CONCATENATE(AK$68,$B73,"W")))/(COUNTIFS(Database!$F:$I,CONCATENATE($B73,AK$68,"L"))+COUNTIFS(Database!$F:$I,CONCATENATE(AK$68,$B73,"L"))+COUNTIFS(Database!$F:$I,CONCATENATE($B73,AK$68,"W"))+COUNTIFS(Database!$F:$I,CONCATENATE(AK$68,$B73,"W"))),"-")</f>
        <v>-</v>
      </c>
      <c r="AL73" s="122">
        <f>IFERROR((COUNTIFS(Database!$F:$I,CONCATENATE($B73,AL$68,"W"))+COUNTIFS(Database!$F:$I,CONCATENATE(AL$68,$B73,"W")))/(COUNTIFS(Database!$F:$I,CONCATENATE($B73,AL$68,"L"))+COUNTIFS(Database!$F:$I,CONCATENATE(AL$68,$B73,"L"))+COUNTIFS(Database!$F:$I,CONCATENATE($B73,AL$68,"W"))+COUNTIFS(Database!$F:$I,CONCATENATE(AL$68,$B73,"W"))),"-")</f>
        <v>1</v>
      </c>
      <c r="AM73" s="122" t="str">
        <f>IFERROR((COUNTIFS(Database!$F:$I,CONCATENATE($B73,AM$68,"W"))+COUNTIFS(Database!$F:$I,CONCATENATE(AM$68,$B73,"W")))/(COUNTIFS(Database!$F:$I,CONCATENATE($B73,AM$68,"L"))+COUNTIFS(Database!$F:$I,CONCATENATE(AM$68,$B73,"L"))+COUNTIFS(Database!$F:$I,CONCATENATE($B73,AM$68,"W"))+COUNTIFS(Database!$F:$I,CONCATENATE(AM$68,$B73,"W"))),"-")</f>
        <v>-</v>
      </c>
      <c r="AN73" s="122" t="str">
        <f>IFERROR((COUNTIFS(Database!$F:$I,CONCATENATE($B73,AN$68,"W"))+COUNTIFS(Database!$F:$I,CONCATENATE(AN$68,$B73,"W")))/(COUNTIFS(Database!$F:$I,CONCATENATE($B73,AN$68,"L"))+COUNTIFS(Database!$F:$I,CONCATENATE(AN$68,$B73,"L"))+COUNTIFS(Database!$F:$I,CONCATENATE($B73,AN$68,"W"))+COUNTIFS(Database!$F:$I,CONCATENATE(AN$68,$B73,"W"))),"-")</f>
        <v>-</v>
      </c>
      <c r="AO73" s="122" t="str">
        <f>IFERROR((COUNTIFS(Database!$F:$I,CONCATENATE($B73,AO$68,"W"))+COUNTIFS(Database!$F:$I,CONCATENATE(AO$68,$B73,"W")))/(COUNTIFS(Database!$F:$I,CONCATENATE($B73,AO$68,"L"))+COUNTIFS(Database!$F:$I,CONCATENATE(AO$68,$B73,"L"))+COUNTIFS(Database!$F:$I,CONCATENATE($B73,AO$68,"W"))+COUNTIFS(Database!$F:$I,CONCATENATE(AO$68,$B73,"W"))),"-")</f>
        <v>-</v>
      </c>
      <c r="AP73" s="122" t="str">
        <f>IFERROR((COUNTIFS(Database!$F:$I,CONCATENATE($B73,AP$68,"W"))+COUNTIFS(Database!$F:$I,CONCATENATE(AP$68,$B73,"W")))/(COUNTIFS(Database!$F:$I,CONCATENATE($B73,AP$68,"L"))+COUNTIFS(Database!$F:$I,CONCATENATE(AP$68,$B73,"L"))+COUNTIFS(Database!$F:$I,CONCATENATE($B73,AP$68,"W"))+COUNTIFS(Database!$F:$I,CONCATENATE(AP$68,$B73,"W"))),"-")</f>
        <v>-</v>
      </c>
      <c r="AQ73" s="122" t="str">
        <f>IFERROR((COUNTIFS(Database!$F:$I,CONCATENATE($B73,AQ$68,"W"))+COUNTIFS(Database!$F:$I,CONCATENATE(AQ$68,$B73,"W")))/(COUNTIFS(Database!$F:$I,CONCATENATE($B73,AQ$68,"L"))+COUNTIFS(Database!$F:$I,CONCATENATE(AQ$68,$B73,"L"))+COUNTIFS(Database!$F:$I,CONCATENATE($B73,AQ$68,"W"))+COUNTIFS(Database!$F:$I,CONCATENATE(AQ$68,$B73,"W"))),"-")</f>
        <v>-</v>
      </c>
      <c r="AR73" s="122" t="str">
        <f>IFERROR((COUNTIFS(Database!$F:$I,CONCATENATE($B73,AR$68,"W"))+COUNTIFS(Database!$F:$I,CONCATENATE(AR$68,$B73,"W")))/(COUNTIFS(Database!$F:$I,CONCATENATE($B73,AR$68,"L"))+COUNTIFS(Database!$F:$I,CONCATENATE(AR$68,$B73,"L"))+COUNTIFS(Database!$F:$I,CONCATENATE($B73,AR$68,"W"))+COUNTIFS(Database!$F:$I,CONCATENATE(AR$68,$B73,"W"))),"-")</f>
        <v>-</v>
      </c>
      <c r="AS73" s="122" t="str">
        <f>IFERROR((COUNTIFS(Database!$F:$I,CONCATENATE($B73,AS$68,"W"))+COUNTIFS(Database!$F:$I,CONCATENATE(AS$68,$B73,"W")))/(COUNTIFS(Database!$F:$I,CONCATENATE($B73,AS$68,"L"))+COUNTIFS(Database!$F:$I,CONCATENATE(AS$68,$B73,"L"))+COUNTIFS(Database!$F:$I,CONCATENATE($B73,AS$68,"W"))+COUNTIFS(Database!$F:$I,CONCATENATE(AS$68,$B73,"W"))),"-")</f>
        <v>-</v>
      </c>
      <c r="AT73" s="122" t="str">
        <f>IFERROR((COUNTIFS(Database!$F:$I,CONCATENATE($B73,AT$68,"W"))+COUNTIFS(Database!$F:$I,CONCATENATE(AT$68,$B73,"W")))/(COUNTIFS(Database!$F:$I,CONCATENATE($B73,AT$68,"L"))+COUNTIFS(Database!$F:$I,CONCATENATE(AT$68,$B73,"L"))+COUNTIFS(Database!$F:$I,CONCATENATE($B73,AT$68,"W"))+COUNTIFS(Database!$F:$I,CONCATENATE(AT$68,$B73,"W"))),"-")</f>
        <v>-</v>
      </c>
      <c r="AU73" s="122" t="str">
        <f>IFERROR((COUNTIFS(Database!$F:$I,CONCATENATE($B73,AU$68,"W"))+COUNTIFS(Database!$F:$I,CONCATENATE(AU$68,$B73,"W")))/(COUNTIFS(Database!$F:$I,CONCATENATE($B73,AU$68,"L"))+COUNTIFS(Database!$F:$I,CONCATENATE(AU$68,$B73,"L"))+COUNTIFS(Database!$F:$I,CONCATENATE($B73,AU$68,"W"))+COUNTIFS(Database!$F:$I,CONCATENATE(AU$68,$B73,"W"))),"-")</f>
        <v>-</v>
      </c>
      <c r="AV73" s="122" t="str">
        <f>IFERROR((COUNTIFS(Database!$F:$I,CONCATENATE($B73,AV$68,"W"))+COUNTIFS(Database!$F:$I,CONCATENATE(AV$68,$B73,"W")))/(COUNTIFS(Database!$F:$I,CONCATENATE($B73,AV$68,"L"))+COUNTIFS(Database!$F:$I,CONCATENATE(AV$68,$B73,"L"))+COUNTIFS(Database!$F:$I,CONCATENATE($B73,AV$68,"W"))+COUNTIFS(Database!$F:$I,CONCATENATE(AV$68,$B73,"W"))),"-")</f>
        <v>-</v>
      </c>
      <c r="AW73" s="122">
        <f>IFERROR((COUNTIFS(Database!$F:$I,CONCATENATE($B73,AW$68,"W"))+COUNTIFS(Database!$F:$I,CONCATENATE(AW$68,$B73,"W")))/(COUNTIFS(Database!$F:$I,CONCATENATE($B73,AW$68,"L"))+COUNTIFS(Database!$F:$I,CONCATENATE(AW$68,$B73,"L"))+COUNTIFS(Database!$F:$I,CONCATENATE($B73,AW$68,"W"))+COUNTIFS(Database!$F:$I,CONCATENATE(AW$68,$B73,"W"))),"-")</f>
        <v>1</v>
      </c>
      <c r="AX73" s="122" t="str">
        <f>IFERROR((COUNTIFS(Database!$F:$I,CONCATENATE($B73,AX$68,"W"))+COUNTIFS(Database!$F:$I,CONCATENATE(AX$68,$B73,"W")))/(COUNTIFS(Database!$F:$I,CONCATENATE($B73,AX$68,"L"))+COUNTIFS(Database!$F:$I,CONCATENATE(AX$68,$B73,"L"))+COUNTIFS(Database!$F:$I,CONCATENATE($B73,AX$68,"W"))+COUNTIFS(Database!$F:$I,CONCATENATE(AX$68,$B73,"W"))),"-")</f>
        <v>-</v>
      </c>
      <c r="AY73" s="122">
        <f>IFERROR((COUNTIFS(Database!$F:$I,CONCATENATE($B73,AY$68,"W"))+COUNTIFS(Database!$F:$I,CONCATENATE(AY$68,$B73,"W")))/(COUNTIFS(Database!$F:$I,CONCATENATE($B73,AY$68,"L"))+COUNTIFS(Database!$F:$I,CONCATENATE(AY$68,$B73,"L"))+COUNTIFS(Database!$F:$I,CONCATENATE($B73,AY$68,"W"))+COUNTIFS(Database!$F:$I,CONCATENATE(AY$68,$B73,"W"))),"-")</f>
        <v>1</v>
      </c>
    </row>
    <row r="74" spans="2:51" x14ac:dyDescent="0.25">
      <c r="B74" s="120" t="s">
        <v>19</v>
      </c>
      <c r="C74" s="122" t="str">
        <f>IFERROR((COUNTIFS(Database!$F:$I,CONCATENATE($B74,C$68,"W"))+COUNTIFS(Database!$F:$I,CONCATENATE(C$68,$B74,"W")))/(COUNTIFS(Database!$F:$I,CONCATENATE($B74,C$68,"L"))+COUNTIFS(Database!$F:$I,CONCATENATE(C$68,$B74,"L"))+COUNTIFS(Database!$F:$I,CONCATENATE($B74,C$68,"W"))+COUNTIFS(Database!$F:$I,CONCATENATE(C$68,$B74,"W"))),"-")</f>
        <v>-</v>
      </c>
      <c r="D74" s="122" t="str">
        <f>IFERROR((COUNTIFS(Database!$F:$I,CONCATENATE($B74,D$68,"W"))+COUNTIFS(Database!$F:$I,CONCATENATE(D$68,$B74,"W")))/(COUNTIFS(Database!$F:$I,CONCATENATE($B74,D$68,"L"))+COUNTIFS(Database!$F:$I,CONCATENATE(D$68,$B74,"L"))+COUNTIFS(Database!$F:$I,CONCATENATE($B74,D$68,"W"))+COUNTIFS(Database!$F:$I,CONCATENATE(D$68,$B74,"W"))),"-")</f>
        <v>-</v>
      </c>
      <c r="E74" s="122" t="str">
        <f>IFERROR((COUNTIFS(Database!$F:$I,CONCATENATE($B74,E$68,"W"))+COUNTIFS(Database!$F:$I,CONCATENATE(E$68,$B74,"W")))/(COUNTIFS(Database!$F:$I,CONCATENATE($B74,E$68,"L"))+COUNTIFS(Database!$F:$I,CONCATENATE(E$68,$B74,"L"))+COUNTIFS(Database!$F:$I,CONCATENATE($B74,E$68,"W"))+COUNTIFS(Database!$F:$I,CONCATENATE(E$68,$B74,"W"))),"-")</f>
        <v>-</v>
      </c>
      <c r="F74" s="122" t="str">
        <f>IFERROR((COUNTIFS(Database!$F:$I,CONCATENATE($B74,F$68,"W"))+COUNTIFS(Database!$F:$I,CONCATENATE(F$68,$B74,"W")))/(COUNTIFS(Database!$F:$I,CONCATENATE($B74,F$68,"L"))+COUNTIFS(Database!$F:$I,CONCATENATE(F$68,$B74,"L"))+COUNTIFS(Database!$F:$I,CONCATENATE($B74,F$68,"W"))+COUNTIFS(Database!$F:$I,CONCATENATE(F$68,$B74,"W"))),"-")</f>
        <v>-</v>
      </c>
      <c r="G74" s="122" t="str">
        <f>IFERROR((COUNTIFS(Database!$F:$I,CONCATENATE($B74,G$68,"W"))+COUNTIFS(Database!$F:$I,CONCATENATE(G$68,$B74,"W")))/(COUNTIFS(Database!$F:$I,CONCATENATE($B74,G$68,"L"))+COUNTIFS(Database!$F:$I,CONCATENATE(G$68,$B74,"L"))+COUNTIFS(Database!$F:$I,CONCATENATE($B74,G$68,"W"))+COUNTIFS(Database!$F:$I,CONCATENATE(G$68,$B74,"W"))),"-")</f>
        <v>-</v>
      </c>
      <c r="H74" s="122" t="str">
        <f>IFERROR((COUNTIFS(Database!$F:$I,CONCATENATE($B74,H$68,"W"))+COUNTIFS(Database!$F:$I,CONCATENATE(H$68,$B74,"W")))/(COUNTIFS(Database!$F:$I,CONCATENATE($B74,H$68,"L"))+COUNTIFS(Database!$F:$I,CONCATENATE(H$68,$B74,"L"))+COUNTIFS(Database!$F:$I,CONCATENATE($B74,H$68,"W"))+COUNTIFS(Database!$F:$I,CONCATENATE(H$68,$B74,"W"))),"-")</f>
        <v>-</v>
      </c>
      <c r="I74" s="122" t="str">
        <f>IFERROR((COUNTIFS(Database!$F:$I,CONCATENATE($B74,I$68,"W"))+COUNTIFS(Database!$F:$I,CONCATENATE(I$68,$B74,"W")))/(COUNTIFS(Database!$F:$I,CONCATENATE($B74,I$68,"L"))+COUNTIFS(Database!$F:$I,CONCATENATE(I$68,$B74,"L"))+COUNTIFS(Database!$F:$I,CONCATENATE($B74,I$68,"W"))+COUNTIFS(Database!$F:$I,CONCATENATE(I$68,$B74,"W"))),"-")</f>
        <v>-</v>
      </c>
      <c r="J74" s="122" t="str">
        <f>IFERROR((COUNTIFS(Database!$F:$I,CONCATENATE($B74,J$68,"W"))+COUNTIFS(Database!$F:$I,CONCATENATE(J$68,$B74,"W")))/(COUNTIFS(Database!$F:$I,CONCATENATE($B74,J$68,"L"))+COUNTIFS(Database!$F:$I,CONCATENATE(J$68,$B74,"L"))+COUNTIFS(Database!$F:$I,CONCATENATE($B74,J$68,"W"))+COUNTIFS(Database!$F:$I,CONCATENATE(J$68,$B74,"W"))),"-")</f>
        <v>-</v>
      </c>
      <c r="K74" s="122" t="str">
        <f>IFERROR((COUNTIFS(Database!$F:$I,CONCATENATE($B74,K$68,"W"))+COUNTIFS(Database!$F:$I,CONCATENATE(K$68,$B74,"W")))/(COUNTIFS(Database!$F:$I,CONCATENATE($B74,K$68,"L"))+COUNTIFS(Database!$F:$I,CONCATENATE(K$68,$B74,"L"))+COUNTIFS(Database!$F:$I,CONCATENATE($B74,K$68,"W"))+COUNTIFS(Database!$F:$I,CONCATENATE(K$68,$B74,"W"))),"-")</f>
        <v>-</v>
      </c>
      <c r="L74" s="122" t="str">
        <f>IFERROR((COUNTIFS(Database!$F:$I,CONCATENATE($B74,L$68,"W"))+COUNTIFS(Database!$F:$I,CONCATENATE(L$68,$B74,"W")))/(COUNTIFS(Database!$F:$I,CONCATENATE($B74,L$68,"L"))+COUNTIFS(Database!$F:$I,CONCATENATE(L$68,$B74,"L"))+COUNTIFS(Database!$F:$I,CONCATENATE($B74,L$68,"W"))+COUNTIFS(Database!$F:$I,CONCATENATE(L$68,$B74,"W"))),"-")</f>
        <v>-</v>
      </c>
      <c r="M74" s="122" t="str">
        <f>IFERROR((COUNTIFS(Database!$F:$I,CONCATENATE($B74,M$68,"W"))+COUNTIFS(Database!$F:$I,CONCATENATE(M$68,$B74,"W")))/(COUNTIFS(Database!$F:$I,CONCATENATE($B74,M$68,"L"))+COUNTIFS(Database!$F:$I,CONCATENATE(M$68,$B74,"L"))+COUNTIFS(Database!$F:$I,CONCATENATE($B74,M$68,"W"))+COUNTIFS(Database!$F:$I,CONCATENATE(M$68,$B74,"W"))),"-")</f>
        <v>-</v>
      </c>
      <c r="N74" s="122" t="str">
        <f>IFERROR((COUNTIFS(Database!$F:$I,CONCATENATE($B74,N$68,"W"))+COUNTIFS(Database!$F:$I,CONCATENATE(N$68,$B74,"W")))/(COUNTIFS(Database!$F:$I,CONCATENATE($B74,N$68,"L"))+COUNTIFS(Database!$F:$I,CONCATENATE(N$68,$B74,"L"))+COUNTIFS(Database!$F:$I,CONCATENATE($B74,N$68,"W"))+COUNTIFS(Database!$F:$I,CONCATENATE(N$68,$B74,"W"))),"-")</f>
        <v>-</v>
      </c>
      <c r="O74" s="122" t="str">
        <f>IFERROR((COUNTIFS(Database!$F:$I,CONCATENATE($B74,O$68,"W"))+COUNTIFS(Database!$F:$I,CONCATENATE(O$68,$B74,"W")))/(COUNTIFS(Database!$F:$I,CONCATENATE($B74,O$68,"L"))+COUNTIFS(Database!$F:$I,CONCATENATE(O$68,$B74,"L"))+COUNTIFS(Database!$F:$I,CONCATENATE($B74,O$68,"W"))+COUNTIFS(Database!$F:$I,CONCATENATE(O$68,$B74,"W"))),"-")</f>
        <v>-</v>
      </c>
      <c r="P74" s="122" t="str">
        <f>IFERROR((COUNTIFS(Database!$F:$I,CONCATENATE($B74,P$68,"W"))+COUNTIFS(Database!$F:$I,CONCATENATE(P$68,$B74,"W")))/(COUNTIFS(Database!$F:$I,CONCATENATE($B74,P$68,"L"))+COUNTIFS(Database!$F:$I,CONCATENATE(P$68,$B74,"L"))+COUNTIFS(Database!$F:$I,CONCATENATE($B74,P$68,"W"))+COUNTIFS(Database!$F:$I,CONCATENATE(P$68,$B74,"W"))),"-")</f>
        <v>-</v>
      </c>
      <c r="Q74" s="122" t="str">
        <f>IFERROR((COUNTIFS(Database!$F:$I,CONCATENATE($B74,Q$68,"W"))+COUNTIFS(Database!$F:$I,CONCATENATE(Q$68,$B74,"W")))/(COUNTIFS(Database!$F:$I,CONCATENATE($B74,Q$68,"L"))+COUNTIFS(Database!$F:$I,CONCATENATE(Q$68,$B74,"L"))+COUNTIFS(Database!$F:$I,CONCATENATE($B74,Q$68,"W"))+COUNTIFS(Database!$F:$I,CONCATENATE(Q$68,$B74,"W"))),"-")</f>
        <v>-</v>
      </c>
      <c r="R74" s="122" t="str">
        <f>IFERROR((COUNTIFS(Database!$F:$I,CONCATENATE($B74,R$68,"W"))+COUNTIFS(Database!$F:$I,CONCATENATE(R$68,$B74,"W")))/(COUNTIFS(Database!$F:$I,CONCATENATE($B74,R$68,"L"))+COUNTIFS(Database!$F:$I,CONCATENATE(R$68,$B74,"L"))+COUNTIFS(Database!$F:$I,CONCATENATE($B74,R$68,"W"))+COUNTIFS(Database!$F:$I,CONCATENATE(R$68,$B74,"W"))),"-")</f>
        <v>-</v>
      </c>
      <c r="S74" s="122" t="str">
        <f>IFERROR((COUNTIFS(Database!$F:$I,CONCATENATE($B74,S$68,"W"))+COUNTIFS(Database!$F:$I,CONCATENATE(S$68,$B74,"W")))/(COUNTIFS(Database!$F:$I,CONCATENATE($B74,S$68,"L"))+COUNTIFS(Database!$F:$I,CONCATENATE(S$68,$B74,"L"))+COUNTIFS(Database!$F:$I,CONCATENATE($B74,S$68,"W"))+COUNTIFS(Database!$F:$I,CONCATENATE(S$68,$B74,"W"))),"-")</f>
        <v>-</v>
      </c>
      <c r="T74" s="122" t="str">
        <f>IFERROR((COUNTIFS(Database!$F:$I,CONCATENATE($B74,T$68,"W"))+COUNTIFS(Database!$F:$I,CONCATENATE(T$68,$B74,"W")))/(COUNTIFS(Database!$F:$I,CONCATENATE($B74,T$68,"L"))+COUNTIFS(Database!$F:$I,CONCATENATE(T$68,$B74,"L"))+COUNTIFS(Database!$F:$I,CONCATENATE($B74,T$68,"W"))+COUNTIFS(Database!$F:$I,CONCATENATE(T$68,$B74,"W"))),"-")</f>
        <v>-</v>
      </c>
      <c r="U74" s="122" t="str">
        <f>IFERROR((COUNTIFS(Database!$F:$I,CONCATENATE($B74,U$68,"W"))+COUNTIFS(Database!$F:$I,CONCATENATE(U$68,$B74,"W")))/(COUNTIFS(Database!$F:$I,CONCATENATE($B74,U$68,"L"))+COUNTIFS(Database!$F:$I,CONCATENATE(U$68,$B74,"L"))+COUNTIFS(Database!$F:$I,CONCATENATE($B74,U$68,"W"))+COUNTIFS(Database!$F:$I,CONCATENATE(U$68,$B74,"W"))),"-")</f>
        <v>-</v>
      </c>
      <c r="V74" s="122" t="str">
        <f>IFERROR((COUNTIFS(Database!$F:$I,CONCATENATE($B74,V$68,"W"))+COUNTIFS(Database!$F:$I,CONCATENATE(V$68,$B74,"W")))/(COUNTIFS(Database!$F:$I,CONCATENATE($B74,V$68,"L"))+COUNTIFS(Database!$F:$I,CONCATENATE(V$68,$B74,"L"))+COUNTIFS(Database!$F:$I,CONCATENATE($B74,V$68,"W"))+COUNTIFS(Database!$F:$I,CONCATENATE(V$68,$B74,"W"))),"-")</f>
        <v>-</v>
      </c>
      <c r="W74" s="122" t="str">
        <f>IFERROR((COUNTIFS(Database!$F:$I,CONCATENATE($B74,W$68,"W"))+COUNTIFS(Database!$F:$I,CONCATENATE(W$68,$B74,"W")))/(COUNTIFS(Database!$F:$I,CONCATENATE($B74,W$68,"L"))+COUNTIFS(Database!$F:$I,CONCATENATE(W$68,$B74,"L"))+COUNTIFS(Database!$F:$I,CONCATENATE($B74,W$68,"W"))+COUNTIFS(Database!$F:$I,CONCATENATE(W$68,$B74,"W"))),"-")</f>
        <v>-</v>
      </c>
      <c r="X74" s="122" t="str">
        <f>IFERROR((COUNTIFS(Database!$F:$I,CONCATENATE($B74,X$68,"W"))+COUNTIFS(Database!$F:$I,CONCATENATE(X$68,$B74,"W")))/(COUNTIFS(Database!$F:$I,CONCATENATE($B74,X$68,"L"))+COUNTIFS(Database!$F:$I,CONCATENATE(X$68,$B74,"L"))+COUNTIFS(Database!$F:$I,CONCATENATE($B74,X$68,"W"))+COUNTIFS(Database!$F:$I,CONCATENATE(X$68,$B74,"W"))),"-")</f>
        <v>-</v>
      </c>
      <c r="Y74" s="122" t="str">
        <f>IFERROR((COUNTIFS(Database!$F:$I,CONCATENATE($B74,Y$68,"W"))+COUNTIFS(Database!$F:$I,CONCATENATE(Y$68,$B74,"W")))/(COUNTIFS(Database!$F:$I,CONCATENATE($B74,Y$68,"L"))+COUNTIFS(Database!$F:$I,CONCATENATE(Y$68,$B74,"L"))+COUNTIFS(Database!$F:$I,CONCATENATE($B74,Y$68,"W"))+COUNTIFS(Database!$F:$I,CONCATENATE(Y$68,$B74,"W"))),"-")</f>
        <v>-</v>
      </c>
      <c r="Z74" s="122" t="str">
        <f>IFERROR((COUNTIFS(Database!$F:$I,CONCATENATE($B74,Z$68,"W"))+COUNTIFS(Database!$F:$I,CONCATENATE(Z$68,$B74,"W")))/(COUNTIFS(Database!$F:$I,CONCATENATE($B74,Z$68,"L"))+COUNTIFS(Database!$F:$I,CONCATENATE(Z$68,$B74,"L"))+COUNTIFS(Database!$F:$I,CONCATENATE($B74,Z$68,"W"))+COUNTIFS(Database!$F:$I,CONCATENATE(Z$68,$B74,"W"))),"-")</f>
        <v>-</v>
      </c>
      <c r="AA74" s="122" t="str">
        <f>IFERROR((COUNTIFS(Database!$F:$I,CONCATENATE($B74,AA$68,"W"))+COUNTIFS(Database!$F:$I,CONCATENATE(AA$68,$B74,"W")))/(COUNTIFS(Database!$F:$I,CONCATENATE($B74,AA$68,"L"))+COUNTIFS(Database!$F:$I,CONCATENATE(AA$68,$B74,"L"))+COUNTIFS(Database!$F:$I,CONCATENATE($B74,AA$68,"W"))+COUNTIFS(Database!$F:$I,CONCATENATE(AA$68,$B74,"W"))),"-")</f>
        <v>-</v>
      </c>
      <c r="AB74" s="122">
        <f>IFERROR((COUNTIFS(Database!$F:$I,CONCATENATE($B74,AB$68,"W"))+COUNTIFS(Database!$F:$I,CONCATENATE(AB$68,$B74,"W")))/(COUNTIFS(Database!$F:$I,CONCATENATE($B74,AB$68,"L"))+COUNTIFS(Database!$F:$I,CONCATENATE(AB$68,$B74,"L"))+COUNTIFS(Database!$F:$I,CONCATENATE($B74,AB$68,"W"))+COUNTIFS(Database!$F:$I,CONCATENATE(AB$68,$B74,"W"))),"-")</f>
        <v>1</v>
      </c>
      <c r="AC74" s="122" t="str">
        <f>IFERROR((COUNTIFS(Database!$F:$I,CONCATENATE($B74,AC$68,"W"))+COUNTIFS(Database!$F:$I,CONCATENATE(AC$68,$B74,"W")))/(COUNTIFS(Database!$F:$I,CONCATENATE($B74,AC$68,"L"))+COUNTIFS(Database!$F:$I,CONCATENATE(AC$68,$B74,"L"))+COUNTIFS(Database!$F:$I,CONCATENATE($B74,AC$68,"W"))+COUNTIFS(Database!$F:$I,CONCATENATE(AC$68,$B74,"W"))),"-")</f>
        <v>-</v>
      </c>
      <c r="AD74" s="122" t="str">
        <f>IFERROR((COUNTIFS(Database!$F:$I,CONCATENATE($B74,AD$68,"W"))+COUNTIFS(Database!$F:$I,CONCATENATE(AD$68,$B74,"W")))/(COUNTIFS(Database!$F:$I,CONCATENATE($B74,AD$68,"L"))+COUNTIFS(Database!$F:$I,CONCATENATE(AD$68,$B74,"L"))+COUNTIFS(Database!$F:$I,CONCATENATE($B74,AD$68,"W"))+COUNTIFS(Database!$F:$I,CONCATENATE(AD$68,$B74,"W"))),"-")</f>
        <v>-</v>
      </c>
      <c r="AE74" s="122">
        <f>IFERROR((COUNTIFS(Database!$F:$I,CONCATENATE($B74,AE$68,"W"))+COUNTIFS(Database!$F:$I,CONCATENATE(AE$68,$B74,"W")))/(COUNTIFS(Database!$F:$I,CONCATENATE($B74,AE$68,"L"))+COUNTIFS(Database!$F:$I,CONCATENATE(AE$68,$B74,"L"))+COUNTIFS(Database!$F:$I,CONCATENATE($B74,AE$68,"W"))+COUNTIFS(Database!$F:$I,CONCATENATE(AE$68,$B74,"W"))),"-")</f>
        <v>1</v>
      </c>
      <c r="AF74" s="122" t="str">
        <f>IFERROR((COUNTIFS(Database!$F:$I,CONCATENATE($B74,AF$68,"W"))+COUNTIFS(Database!$F:$I,CONCATENATE(AF$68,$B74,"W")))/(COUNTIFS(Database!$F:$I,CONCATENATE($B74,AF$68,"L"))+COUNTIFS(Database!$F:$I,CONCATENATE(AF$68,$B74,"L"))+COUNTIFS(Database!$F:$I,CONCATENATE($B74,AF$68,"W"))+COUNTIFS(Database!$F:$I,CONCATENATE(AF$68,$B74,"W"))),"-")</f>
        <v>-</v>
      </c>
      <c r="AG74" s="122" t="str">
        <f>IFERROR((COUNTIFS(Database!$F:$I,CONCATENATE($B74,AG$68,"W"))+COUNTIFS(Database!$F:$I,CONCATENATE(AG$68,$B74,"W")))/(COUNTIFS(Database!$F:$I,CONCATENATE($B74,AG$68,"L"))+COUNTIFS(Database!$F:$I,CONCATENATE(AG$68,$B74,"L"))+COUNTIFS(Database!$F:$I,CONCATENATE($B74,AG$68,"W"))+COUNTIFS(Database!$F:$I,CONCATENATE(AG$68,$B74,"W"))),"-")</f>
        <v>-</v>
      </c>
      <c r="AH74" s="122" t="str">
        <f>IFERROR((COUNTIFS(Database!$F:$I,CONCATENATE($B74,AH$68,"W"))+COUNTIFS(Database!$F:$I,CONCATENATE(AH$68,$B74,"W")))/(COUNTIFS(Database!$F:$I,CONCATENATE($B74,AH$68,"L"))+COUNTIFS(Database!$F:$I,CONCATENATE(AH$68,$B74,"L"))+COUNTIFS(Database!$F:$I,CONCATENATE($B74,AH$68,"W"))+COUNTIFS(Database!$F:$I,CONCATENATE(AH$68,$B74,"W"))),"-")</f>
        <v>-</v>
      </c>
      <c r="AI74" s="122" t="str">
        <f>IFERROR((COUNTIFS(Database!$F:$I,CONCATENATE($B74,AI$68,"W"))+COUNTIFS(Database!$F:$I,CONCATENATE(AI$68,$B74,"W")))/(COUNTIFS(Database!$F:$I,CONCATENATE($B74,AI$68,"L"))+COUNTIFS(Database!$F:$I,CONCATENATE(AI$68,$B74,"L"))+COUNTIFS(Database!$F:$I,CONCATENATE($B74,AI$68,"W"))+COUNTIFS(Database!$F:$I,CONCATENATE(AI$68,$B74,"W"))),"-")</f>
        <v>-</v>
      </c>
      <c r="AJ74" s="122" t="str">
        <f>IFERROR((COUNTIFS(Database!$F:$I,CONCATENATE($B74,AJ$68,"W"))+COUNTIFS(Database!$F:$I,CONCATENATE(AJ$68,$B74,"W")))/(COUNTIFS(Database!$F:$I,CONCATENATE($B74,AJ$68,"L"))+COUNTIFS(Database!$F:$I,CONCATENATE(AJ$68,$B74,"L"))+COUNTIFS(Database!$F:$I,CONCATENATE($B74,AJ$68,"W"))+COUNTIFS(Database!$F:$I,CONCATENATE(AJ$68,$B74,"W"))),"-")</f>
        <v>-</v>
      </c>
      <c r="AK74" s="122">
        <f>IFERROR((COUNTIFS(Database!$F:$I,CONCATENATE($B74,AK$68,"W"))+COUNTIFS(Database!$F:$I,CONCATENATE(AK$68,$B74,"W")))/(COUNTIFS(Database!$F:$I,CONCATENATE($B74,AK$68,"L"))+COUNTIFS(Database!$F:$I,CONCATENATE(AK$68,$B74,"L"))+COUNTIFS(Database!$F:$I,CONCATENATE($B74,AK$68,"W"))+COUNTIFS(Database!$F:$I,CONCATENATE(AK$68,$B74,"W"))),"-")</f>
        <v>1</v>
      </c>
      <c r="AL74" s="122" t="str">
        <f>IFERROR((COUNTIFS(Database!$F:$I,CONCATENATE($B74,AL$68,"W"))+COUNTIFS(Database!$F:$I,CONCATENATE(AL$68,$B74,"W")))/(COUNTIFS(Database!$F:$I,CONCATENATE($B74,AL$68,"L"))+COUNTIFS(Database!$F:$I,CONCATENATE(AL$68,$B74,"L"))+COUNTIFS(Database!$F:$I,CONCATENATE($B74,AL$68,"W"))+COUNTIFS(Database!$F:$I,CONCATENATE(AL$68,$B74,"W"))),"-")</f>
        <v>-</v>
      </c>
      <c r="AM74" s="122" t="str">
        <f>IFERROR((COUNTIFS(Database!$F:$I,CONCATENATE($B74,AM$68,"W"))+COUNTIFS(Database!$F:$I,CONCATENATE(AM$68,$B74,"W")))/(COUNTIFS(Database!$F:$I,CONCATENATE($B74,AM$68,"L"))+COUNTIFS(Database!$F:$I,CONCATENATE(AM$68,$B74,"L"))+COUNTIFS(Database!$F:$I,CONCATENATE($B74,AM$68,"W"))+COUNTIFS(Database!$F:$I,CONCATENATE(AM$68,$B74,"W"))),"-")</f>
        <v>-</v>
      </c>
      <c r="AN74" s="122" t="str">
        <f>IFERROR((COUNTIFS(Database!$F:$I,CONCATENATE($B74,AN$68,"W"))+COUNTIFS(Database!$F:$I,CONCATENATE(AN$68,$B74,"W")))/(COUNTIFS(Database!$F:$I,CONCATENATE($B74,AN$68,"L"))+COUNTIFS(Database!$F:$I,CONCATENATE(AN$68,$B74,"L"))+COUNTIFS(Database!$F:$I,CONCATENATE($B74,AN$68,"W"))+COUNTIFS(Database!$F:$I,CONCATENATE(AN$68,$B74,"W"))),"-")</f>
        <v>-</v>
      </c>
      <c r="AO74" s="122" t="str">
        <f>IFERROR((COUNTIFS(Database!$F:$I,CONCATENATE($B74,AO$68,"W"))+COUNTIFS(Database!$F:$I,CONCATENATE(AO$68,$B74,"W")))/(COUNTIFS(Database!$F:$I,CONCATENATE($B74,AO$68,"L"))+COUNTIFS(Database!$F:$I,CONCATENATE(AO$68,$B74,"L"))+COUNTIFS(Database!$F:$I,CONCATENATE($B74,AO$68,"W"))+COUNTIFS(Database!$F:$I,CONCATENATE(AO$68,$B74,"W"))),"-")</f>
        <v>-</v>
      </c>
      <c r="AP74" s="122" t="str">
        <f>IFERROR((COUNTIFS(Database!$F:$I,CONCATENATE($B74,AP$68,"W"))+COUNTIFS(Database!$F:$I,CONCATENATE(AP$68,$B74,"W")))/(COUNTIFS(Database!$F:$I,CONCATENATE($B74,AP$68,"L"))+COUNTIFS(Database!$F:$I,CONCATENATE(AP$68,$B74,"L"))+COUNTIFS(Database!$F:$I,CONCATENATE($B74,AP$68,"W"))+COUNTIFS(Database!$F:$I,CONCATENATE(AP$68,$B74,"W"))),"-")</f>
        <v>-</v>
      </c>
      <c r="AQ74" s="122" t="str">
        <f>IFERROR((COUNTIFS(Database!$F:$I,CONCATENATE($B74,AQ$68,"W"))+COUNTIFS(Database!$F:$I,CONCATENATE(AQ$68,$B74,"W")))/(COUNTIFS(Database!$F:$I,CONCATENATE($B74,AQ$68,"L"))+COUNTIFS(Database!$F:$I,CONCATENATE(AQ$68,$B74,"L"))+COUNTIFS(Database!$F:$I,CONCATENATE($B74,AQ$68,"W"))+COUNTIFS(Database!$F:$I,CONCATENATE(AQ$68,$B74,"W"))),"-")</f>
        <v>-</v>
      </c>
      <c r="AR74" s="122" t="str">
        <f>IFERROR((COUNTIFS(Database!$F:$I,CONCATENATE($B74,AR$68,"W"))+COUNTIFS(Database!$F:$I,CONCATENATE(AR$68,$B74,"W")))/(COUNTIFS(Database!$F:$I,CONCATENATE($B74,AR$68,"L"))+COUNTIFS(Database!$F:$I,CONCATENATE(AR$68,$B74,"L"))+COUNTIFS(Database!$F:$I,CONCATENATE($B74,AR$68,"W"))+COUNTIFS(Database!$F:$I,CONCATENATE(AR$68,$B74,"W"))),"-")</f>
        <v>-</v>
      </c>
      <c r="AS74" s="122" t="str">
        <f>IFERROR((COUNTIFS(Database!$F:$I,CONCATENATE($B74,AS$68,"W"))+COUNTIFS(Database!$F:$I,CONCATENATE(AS$68,$B74,"W")))/(COUNTIFS(Database!$F:$I,CONCATENATE($B74,AS$68,"L"))+COUNTIFS(Database!$F:$I,CONCATENATE(AS$68,$B74,"L"))+COUNTIFS(Database!$F:$I,CONCATENATE($B74,AS$68,"W"))+COUNTIFS(Database!$F:$I,CONCATENATE(AS$68,$B74,"W"))),"-")</f>
        <v>-</v>
      </c>
      <c r="AT74" s="122" t="str">
        <f>IFERROR((COUNTIFS(Database!$F:$I,CONCATENATE($B74,AT$68,"W"))+COUNTIFS(Database!$F:$I,CONCATENATE(AT$68,$B74,"W")))/(COUNTIFS(Database!$F:$I,CONCATENATE($B74,AT$68,"L"))+COUNTIFS(Database!$F:$I,CONCATENATE(AT$68,$B74,"L"))+COUNTIFS(Database!$F:$I,CONCATENATE($B74,AT$68,"W"))+COUNTIFS(Database!$F:$I,CONCATENATE(AT$68,$B74,"W"))),"-")</f>
        <v>-</v>
      </c>
      <c r="AU74" s="122" t="str">
        <f>IFERROR((COUNTIFS(Database!$F:$I,CONCATENATE($B74,AU$68,"W"))+COUNTIFS(Database!$F:$I,CONCATENATE(AU$68,$B74,"W")))/(COUNTIFS(Database!$F:$I,CONCATENATE($B74,AU$68,"L"))+COUNTIFS(Database!$F:$I,CONCATENATE(AU$68,$B74,"L"))+COUNTIFS(Database!$F:$I,CONCATENATE($B74,AU$68,"W"))+COUNTIFS(Database!$F:$I,CONCATENATE(AU$68,$B74,"W"))),"-")</f>
        <v>-</v>
      </c>
      <c r="AV74" s="122" t="str">
        <f>IFERROR((COUNTIFS(Database!$F:$I,CONCATENATE($B74,AV$68,"W"))+COUNTIFS(Database!$F:$I,CONCATENATE(AV$68,$B74,"W")))/(COUNTIFS(Database!$F:$I,CONCATENATE($B74,AV$68,"L"))+COUNTIFS(Database!$F:$I,CONCATENATE(AV$68,$B74,"L"))+COUNTIFS(Database!$F:$I,CONCATENATE($B74,AV$68,"W"))+COUNTIFS(Database!$F:$I,CONCATENATE(AV$68,$B74,"W"))),"-")</f>
        <v>-</v>
      </c>
      <c r="AW74" s="122">
        <f>IFERROR((COUNTIFS(Database!$F:$I,CONCATENATE($B74,AW$68,"W"))+COUNTIFS(Database!$F:$I,CONCATENATE(AW$68,$B74,"W")))/(COUNTIFS(Database!$F:$I,CONCATENATE($B74,AW$68,"L"))+COUNTIFS(Database!$F:$I,CONCATENATE(AW$68,$B74,"L"))+COUNTIFS(Database!$F:$I,CONCATENATE($B74,AW$68,"W"))+COUNTIFS(Database!$F:$I,CONCATENATE(AW$68,$B74,"W"))),"-")</f>
        <v>1</v>
      </c>
      <c r="AX74" s="122" t="str">
        <f>IFERROR((COUNTIFS(Database!$F:$I,CONCATENATE($B74,AX$68,"W"))+COUNTIFS(Database!$F:$I,CONCATENATE(AX$68,$B74,"W")))/(COUNTIFS(Database!$F:$I,CONCATENATE($B74,AX$68,"L"))+COUNTIFS(Database!$F:$I,CONCATENATE(AX$68,$B74,"L"))+COUNTIFS(Database!$F:$I,CONCATENATE($B74,AX$68,"W"))+COUNTIFS(Database!$F:$I,CONCATENATE(AX$68,$B74,"W"))),"-")</f>
        <v>-</v>
      </c>
      <c r="AY74" s="122" t="str">
        <f>IFERROR((COUNTIFS(Database!$F:$I,CONCATENATE($B74,AY$68,"W"))+COUNTIFS(Database!$F:$I,CONCATENATE(AY$68,$B74,"W")))/(COUNTIFS(Database!$F:$I,CONCATENATE($B74,AY$68,"L"))+COUNTIFS(Database!$F:$I,CONCATENATE(AY$68,$B74,"L"))+COUNTIFS(Database!$F:$I,CONCATENATE($B74,AY$68,"W"))+COUNTIFS(Database!$F:$I,CONCATENATE(AY$68,$B74,"W"))),"-")</f>
        <v>-</v>
      </c>
    </row>
    <row r="75" spans="2:51" x14ac:dyDescent="0.25">
      <c r="B75" s="120" t="s">
        <v>49</v>
      </c>
      <c r="C75" s="122">
        <f>IFERROR((COUNTIFS(Database!$F:$I,CONCATENATE($B75,C$68,"W"))+COUNTIFS(Database!$F:$I,CONCATENATE(C$68,$B75,"W")))/(COUNTIFS(Database!$F:$I,CONCATENATE($B75,C$68,"L"))+COUNTIFS(Database!$F:$I,CONCATENATE(C$68,$B75,"L"))+COUNTIFS(Database!$F:$I,CONCATENATE($B75,C$68,"W"))+COUNTIFS(Database!$F:$I,CONCATENATE(C$68,$B75,"W"))),"-")</f>
        <v>0</v>
      </c>
      <c r="D75" s="122" t="str">
        <f>IFERROR((COUNTIFS(Database!$F:$I,CONCATENATE($B75,D$68,"W"))+COUNTIFS(Database!$F:$I,CONCATENATE(D$68,$B75,"W")))/(COUNTIFS(Database!$F:$I,CONCATENATE($B75,D$68,"L"))+COUNTIFS(Database!$F:$I,CONCATENATE(D$68,$B75,"L"))+COUNTIFS(Database!$F:$I,CONCATENATE($B75,D$68,"W"))+COUNTIFS(Database!$F:$I,CONCATENATE(D$68,$B75,"W"))),"-")</f>
        <v>-</v>
      </c>
      <c r="E75" s="122" t="str">
        <f>IFERROR((COUNTIFS(Database!$F:$I,CONCATENATE($B75,E$68,"W"))+COUNTIFS(Database!$F:$I,CONCATENATE(E$68,$B75,"W")))/(COUNTIFS(Database!$F:$I,CONCATENATE($B75,E$68,"L"))+COUNTIFS(Database!$F:$I,CONCATENATE(E$68,$B75,"L"))+COUNTIFS(Database!$F:$I,CONCATENATE($B75,E$68,"W"))+COUNTIFS(Database!$F:$I,CONCATENATE(E$68,$B75,"W"))),"-")</f>
        <v>-</v>
      </c>
      <c r="F75" s="122">
        <f>IFERROR((COUNTIFS(Database!$F:$I,CONCATENATE($B75,F$68,"W"))+COUNTIFS(Database!$F:$I,CONCATENATE(F$68,$B75,"W")))/(COUNTIFS(Database!$F:$I,CONCATENATE($B75,F$68,"L"))+COUNTIFS(Database!$F:$I,CONCATENATE(F$68,$B75,"L"))+COUNTIFS(Database!$F:$I,CONCATENATE($B75,F$68,"W"))+COUNTIFS(Database!$F:$I,CONCATENATE(F$68,$B75,"W"))),"-")</f>
        <v>0</v>
      </c>
      <c r="G75" s="122" t="str">
        <f>IFERROR((COUNTIFS(Database!$F:$I,CONCATENATE($B75,G$68,"W"))+COUNTIFS(Database!$F:$I,CONCATENATE(G$68,$B75,"W")))/(COUNTIFS(Database!$F:$I,CONCATENATE($B75,G$68,"L"))+COUNTIFS(Database!$F:$I,CONCATENATE(G$68,$B75,"L"))+COUNTIFS(Database!$F:$I,CONCATENATE($B75,G$68,"W"))+COUNTIFS(Database!$F:$I,CONCATENATE(G$68,$B75,"W"))),"-")</f>
        <v>-</v>
      </c>
      <c r="H75" s="122" t="str">
        <f>IFERROR((COUNTIFS(Database!$F:$I,CONCATENATE($B75,H$68,"W"))+COUNTIFS(Database!$F:$I,CONCATENATE(H$68,$B75,"W")))/(COUNTIFS(Database!$F:$I,CONCATENATE($B75,H$68,"L"))+COUNTIFS(Database!$F:$I,CONCATENATE(H$68,$B75,"L"))+COUNTIFS(Database!$F:$I,CONCATENATE($B75,H$68,"W"))+COUNTIFS(Database!$F:$I,CONCATENATE(H$68,$B75,"W"))),"-")</f>
        <v>-</v>
      </c>
      <c r="I75" s="122" t="str">
        <f>IFERROR((COUNTIFS(Database!$F:$I,CONCATENATE($B75,I$68,"W"))+COUNTIFS(Database!$F:$I,CONCATENATE(I$68,$B75,"W")))/(COUNTIFS(Database!$F:$I,CONCATENATE($B75,I$68,"L"))+COUNTIFS(Database!$F:$I,CONCATENATE(I$68,$B75,"L"))+COUNTIFS(Database!$F:$I,CONCATENATE($B75,I$68,"W"))+COUNTIFS(Database!$F:$I,CONCATENATE(I$68,$B75,"W"))),"-")</f>
        <v>-</v>
      </c>
      <c r="J75" s="122">
        <f>IFERROR((COUNTIFS(Database!$F:$I,CONCATENATE($B75,J$68,"W"))+COUNTIFS(Database!$F:$I,CONCATENATE(J$68,$B75,"W")))/(COUNTIFS(Database!$F:$I,CONCATENATE($B75,J$68,"L"))+COUNTIFS(Database!$F:$I,CONCATENATE(J$68,$B75,"L"))+COUNTIFS(Database!$F:$I,CONCATENATE($B75,J$68,"W"))+COUNTIFS(Database!$F:$I,CONCATENATE(J$68,$B75,"W"))),"-")</f>
        <v>0</v>
      </c>
      <c r="K75" s="122">
        <f>IFERROR((COUNTIFS(Database!$F:$I,CONCATENATE($B75,K$68,"W"))+COUNTIFS(Database!$F:$I,CONCATENATE(K$68,$B75,"W")))/(COUNTIFS(Database!$F:$I,CONCATENATE($B75,K$68,"L"))+COUNTIFS(Database!$F:$I,CONCATENATE(K$68,$B75,"L"))+COUNTIFS(Database!$F:$I,CONCATENATE($B75,K$68,"W"))+COUNTIFS(Database!$F:$I,CONCATENATE(K$68,$B75,"W"))),"-")</f>
        <v>0</v>
      </c>
      <c r="L75" s="122" t="str">
        <f>IFERROR((COUNTIFS(Database!$F:$I,CONCATENATE($B75,L$68,"W"))+COUNTIFS(Database!$F:$I,CONCATENATE(L$68,$B75,"W")))/(COUNTIFS(Database!$F:$I,CONCATENATE($B75,L$68,"L"))+COUNTIFS(Database!$F:$I,CONCATENATE(L$68,$B75,"L"))+COUNTIFS(Database!$F:$I,CONCATENATE($B75,L$68,"W"))+COUNTIFS(Database!$F:$I,CONCATENATE(L$68,$B75,"W"))),"-")</f>
        <v>-</v>
      </c>
      <c r="M75" s="122" t="str">
        <f>IFERROR((COUNTIFS(Database!$F:$I,CONCATENATE($B75,M$68,"W"))+COUNTIFS(Database!$F:$I,CONCATENATE(M$68,$B75,"W")))/(COUNTIFS(Database!$F:$I,CONCATENATE($B75,M$68,"L"))+COUNTIFS(Database!$F:$I,CONCATENATE(M$68,$B75,"L"))+COUNTIFS(Database!$F:$I,CONCATENATE($B75,M$68,"W"))+COUNTIFS(Database!$F:$I,CONCATENATE(M$68,$B75,"W"))),"-")</f>
        <v>-</v>
      </c>
      <c r="N75" s="122" t="str">
        <f>IFERROR((COUNTIFS(Database!$F:$I,CONCATENATE($B75,N$68,"W"))+COUNTIFS(Database!$F:$I,CONCATENATE(N$68,$B75,"W")))/(COUNTIFS(Database!$F:$I,CONCATENATE($B75,N$68,"L"))+COUNTIFS(Database!$F:$I,CONCATENATE(N$68,$B75,"L"))+COUNTIFS(Database!$F:$I,CONCATENATE($B75,N$68,"W"))+COUNTIFS(Database!$F:$I,CONCATENATE(N$68,$B75,"W"))),"-")</f>
        <v>-</v>
      </c>
      <c r="O75" s="122" t="str">
        <f>IFERROR((COUNTIFS(Database!$F:$I,CONCATENATE($B75,O$68,"W"))+COUNTIFS(Database!$F:$I,CONCATENATE(O$68,$B75,"W")))/(COUNTIFS(Database!$F:$I,CONCATENATE($B75,O$68,"L"))+COUNTIFS(Database!$F:$I,CONCATENATE(O$68,$B75,"L"))+COUNTIFS(Database!$F:$I,CONCATENATE($B75,O$68,"W"))+COUNTIFS(Database!$F:$I,CONCATENATE(O$68,$B75,"W"))),"-")</f>
        <v>-</v>
      </c>
      <c r="P75" s="122">
        <f>IFERROR((COUNTIFS(Database!$F:$I,CONCATENATE($B75,P$68,"W"))+COUNTIFS(Database!$F:$I,CONCATENATE(P$68,$B75,"W")))/(COUNTIFS(Database!$F:$I,CONCATENATE($B75,P$68,"L"))+COUNTIFS(Database!$F:$I,CONCATENATE(P$68,$B75,"L"))+COUNTIFS(Database!$F:$I,CONCATENATE($B75,P$68,"W"))+COUNTIFS(Database!$F:$I,CONCATENATE(P$68,$B75,"W"))),"-")</f>
        <v>0</v>
      </c>
      <c r="Q75" s="122" t="str">
        <f>IFERROR((COUNTIFS(Database!$F:$I,CONCATENATE($B75,Q$68,"W"))+COUNTIFS(Database!$F:$I,CONCATENATE(Q$68,$B75,"W")))/(COUNTIFS(Database!$F:$I,CONCATENATE($B75,Q$68,"L"))+COUNTIFS(Database!$F:$I,CONCATENATE(Q$68,$B75,"L"))+COUNTIFS(Database!$F:$I,CONCATENATE($B75,Q$68,"W"))+COUNTIFS(Database!$F:$I,CONCATENATE(Q$68,$B75,"W"))),"-")</f>
        <v>-</v>
      </c>
      <c r="R75" s="122" t="str">
        <f>IFERROR((COUNTIFS(Database!$F:$I,CONCATENATE($B75,R$68,"W"))+COUNTIFS(Database!$F:$I,CONCATENATE(R$68,$B75,"W")))/(COUNTIFS(Database!$F:$I,CONCATENATE($B75,R$68,"L"))+COUNTIFS(Database!$F:$I,CONCATENATE(R$68,$B75,"L"))+COUNTIFS(Database!$F:$I,CONCATENATE($B75,R$68,"W"))+COUNTIFS(Database!$F:$I,CONCATENATE(R$68,$B75,"W"))),"-")</f>
        <v>-</v>
      </c>
      <c r="S75" s="122" t="str">
        <f>IFERROR((COUNTIFS(Database!$F:$I,CONCATENATE($B75,S$68,"W"))+COUNTIFS(Database!$F:$I,CONCATENATE(S$68,$B75,"W")))/(COUNTIFS(Database!$F:$I,CONCATENATE($B75,S$68,"L"))+COUNTIFS(Database!$F:$I,CONCATENATE(S$68,$B75,"L"))+COUNTIFS(Database!$F:$I,CONCATENATE($B75,S$68,"W"))+COUNTIFS(Database!$F:$I,CONCATENATE(S$68,$B75,"W"))),"-")</f>
        <v>-</v>
      </c>
      <c r="T75" s="122">
        <f>IFERROR((COUNTIFS(Database!$F:$I,CONCATENATE($B75,T$68,"W"))+COUNTIFS(Database!$F:$I,CONCATENATE(T$68,$B75,"W")))/(COUNTIFS(Database!$F:$I,CONCATENATE($B75,T$68,"L"))+COUNTIFS(Database!$F:$I,CONCATENATE(T$68,$B75,"L"))+COUNTIFS(Database!$F:$I,CONCATENATE($B75,T$68,"W"))+COUNTIFS(Database!$F:$I,CONCATENATE(T$68,$B75,"W"))),"-")</f>
        <v>1</v>
      </c>
      <c r="U75" s="122" t="str">
        <f>IFERROR((COUNTIFS(Database!$F:$I,CONCATENATE($B75,U$68,"W"))+COUNTIFS(Database!$F:$I,CONCATENATE(U$68,$B75,"W")))/(COUNTIFS(Database!$F:$I,CONCATENATE($B75,U$68,"L"))+COUNTIFS(Database!$F:$I,CONCATENATE(U$68,$B75,"L"))+COUNTIFS(Database!$F:$I,CONCATENATE($B75,U$68,"W"))+COUNTIFS(Database!$F:$I,CONCATENATE(U$68,$B75,"W"))),"-")</f>
        <v>-</v>
      </c>
      <c r="V75" s="122" t="str">
        <f>IFERROR((COUNTIFS(Database!$F:$I,CONCATENATE($B75,V$68,"W"))+COUNTIFS(Database!$F:$I,CONCATENATE(V$68,$B75,"W")))/(COUNTIFS(Database!$F:$I,CONCATENATE($B75,V$68,"L"))+COUNTIFS(Database!$F:$I,CONCATENATE(V$68,$B75,"L"))+COUNTIFS(Database!$F:$I,CONCATENATE($B75,V$68,"W"))+COUNTIFS(Database!$F:$I,CONCATENATE(V$68,$B75,"W"))),"-")</f>
        <v>-</v>
      </c>
      <c r="W75" s="122">
        <f>IFERROR((COUNTIFS(Database!$F:$I,CONCATENATE($B75,W$68,"W"))+COUNTIFS(Database!$F:$I,CONCATENATE(W$68,$B75,"W")))/(COUNTIFS(Database!$F:$I,CONCATENATE($B75,W$68,"L"))+COUNTIFS(Database!$F:$I,CONCATENATE(W$68,$B75,"L"))+COUNTIFS(Database!$F:$I,CONCATENATE($B75,W$68,"W"))+COUNTIFS(Database!$F:$I,CONCATENATE(W$68,$B75,"W"))),"-")</f>
        <v>0</v>
      </c>
      <c r="X75" s="122" t="str">
        <f>IFERROR((COUNTIFS(Database!$F:$I,CONCATENATE($B75,X$68,"W"))+COUNTIFS(Database!$F:$I,CONCATENATE(X$68,$B75,"W")))/(COUNTIFS(Database!$F:$I,CONCATENATE($B75,X$68,"L"))+COUNTIFS(Database!$F:$I,CONCATENATE(X$68,$B75,"L"))+COUNTIFS(Database!$F:$I,CONCATENATE($B75,X$68,"W"))+COUNTIFS(Database!$F:$I,CONCATENATE(X$68,$B75,"W"))),"-")</f>
        <v>-</v>
      </c>
      <c r="Y75" s="122" t="str">
        <f>IFERROR((COUNTIFS(Database!$F:$I,CONCATENATE($B75,Y$68,"W"))+COUNTIFS(Database!$F:$I,CONCATENATE(Y$68,$B75,"W")))/(COUNTIFS(Database!$F:$I,CONCATENATE($B75,Y$68,"L"))+COUNTIFS(Database!$F:$I,CONCATENATE(Y$68,$B75,"L"))+COUNTIFS(Database!$F:$I,CONCATENATE($B75,Y$68,"W"))+COUNTIFS(Database!$F:$I,CONCATENATE(Y$68,$B75,"W"))),"-")</f>
        <v>-</v>
      </c>
      <c r="Z75" s="122" t="str">
        <f>IFERROR((COUNTIFS(Database!$F:$I,CONCATENATE($B75,Z$68,"W"))+COUNTIFS(Database!$F:$I,CONCATENATE(Z$68,$B75,"W")))/(COUNTIFS(Database!$F:$I,CONCATENATE($B75,Z$68,"L"))+COUNTIFS(Database!$F:$I,CONCATENATE(Z$68,$B75,"L"))+COUNTIFS(Database!$F:$I,CONCATENATE($B75,Z$68,"W"))+COUNTIFS(Database!$F:$I,CONCATENATE(Z$68,$B75,"W"))),"-")</f>
        <v>-</v>
      </c>
      <c r="AA75" s="122" t="str">
        <f>IFERROR((COUNTIFS(Database!$F:$I,CONCATENATE($B75,AA$68,"W"))+COUNTIFS(Database!$F:$I,CONCATENATE(AA$68,$B75,"W")))/(COUNTIFS(Database!$F:$I,CONCATENATE($B75,AA$68,"L"))+COUNTIFS(Database!$F:$I,CONCATENATE(AA$68,$B75,"L"))+COUNTIFS(Database!$F:$I,CONCATENATE($B75,AA$68,"W"))+COUNTIFS(Database!$F:$I,CONCATENATE(AA$68,$B75,"W"))),"-")</f>
        <v>-</v>
      </c>
      <c r="AB75" s="122">
        <f>IFERROR((COUNTIFS(Database!$F:$I,CONCATENATE($B75,AB$68,"W"))+COUNTIFS(Database!$F:$I,CONCATENATE(AB$68,$B75,"W")))/(COUNTIFS(Database!$F:$I,CONCATENATE($B75,AB$68,"L"))+COUNTIFS(Database!$F:$I,CONCATENATE(AB$68,$B75,"L"))+COUNTIFS(Database!$F:$I,CONCATENATE($B75,AB$68,"W"))+COUNTIFS(Database!$F:$I,CONCATENATE(AB$68,$B75,"W"))),"-")</f>
        <v>0</v>
      </c>
      <c r="AC75" s="122" t="str">
        <f>IFERROR((COUNTIFS(Database!$F:$I,CONCATENATE($B75,AC$68,"W"))+COUNTIFS(Database!$F:$I,CONCATENATE(AC$68,$B75,"W")))/(COUNTIFS(Database!$F:$I,CONCATENATE($B75,AC$68,"L"))+COUNTIFS(Database!$F:$I,CONCATENATE(AC$68,$B75,"L"))+COUNTIFS(Database!$F:$I,CONCATENATE($B75,AC$68,"W"))+COUNTIFS(Database!$F:$I,CONCATENATE(AC$68,$B75,"W"))),"-")</f>
        <v>-</v>
      </c>
      <c r="AD75" s="122">
        <f>IFERROR((COUNTIFS(Database!$F:$I,CONCATENATE($B75,AD$68,"W"))+COUNTIFS(Database!$F:$I,CONCATENATE(AD$68,$B75,"W")))/(COUNTIFS(Database!$F:$I,CONCATENATE($B75,AD$68,"L"))+COUNTIFS(Database!$F:$I,CONCATENATE(AD$68,$B75,"L"))+COUNTIFS(Database!$F:$I,CONCATENATE($B75,AD$68,"W"))+COUNTIFS(Database!$F:$I,CONCATENATE(AD$68,$B75,"W"))),"-")</f>
        <v>0.66666666666666663</v>
      </c>
      <c r="AE75" s="122" t="str">
        <f>IFERROR((COUNTIFS(Database!$F:$I,CONCATENATE($B75,AE$68,"W"))+COUNTIFS(Database!$F:$I,CONCATENATE(AE$68,$B75,"W")))/(COUNTIFS(Database!$F:$I,CONCATENATE($B75,AE$68,"L"))+COUNTIFS(Database!$F:$I,CONCATENATE(AE$68,$B75,"L"))+COUNTIFS(Database!$F:$I,CONCATENATE($B75,AE$68,"W"))+COUNTIFS(Database!$F:$I,CONCATENATE(AE$68,$B75,"W"))),"-")</f>
        <v>-</v>
      </c>
      <c r="AF75" s="122" t="str">
        <f>IFERROR((COUNTIFS(Database!$F:$I,CONCATENATE($B75,AF$68,"W"))+COUNTIFS(Database!$F:$I,CONCATENATE(AF$68,$B75,"W")))/(COUNTIFS(Database!$F:$I,CONCATENATE($B75,AF$68,"L"))+COUNTIFS(Database!$F:$I,CONCATENATE(AF$68,$B75,"L"))+COUNTIFS(Database!$F:$I,CONCATENATE($B75,AF$68,"W"))+COUNTIFS(Database!$F:$I,CONCATENATE(AF$68,$B75,"W"))),"-")</f>
        <v>-</v>
      </c>
      <c r="AG75" s="122" t="str">
        <f>IFERROR((COUNTIFS(Database!$F:$I,CONCATENATE($B75,AG$68,"W"))+COUNTIFS(Database!$F:$I,CONCATENATE(AG$68,$B75,"W")))/(COUNTIFS(Database!$F:$I,CONCATENATE($B75,AG$68,"L"))+COUNTIFS(Database!$F:$I,CONCATENATE(AG$68,$B75,"L"))+COUNTIFS(Database!$F:$I,CONCATENATE($B75,AG$68,"W"))+COUNTIFS(Database!$F:$I,CONCATENATE(AG$68,$B75,"W"))),"-")</f>
        <v>-</v>
      </c>
      <c r="AH75" s="122" t="str">
        <f>IFERROR((COUNTIFS(Database!$F:$I,CONCATENATE($B75,AH$68,"W"))+COUNTIFS(Database!$F:$I,CONCATENATE(AH$68,$B75,"W")))/(COUNTIFS(Database!$F:$I,CONCATENATE($B75,AH$68,"L"))+COUNTIFS(Database!$F:$I,CONCATENATE(AH$68,$B75,"L"))+COUNTIFS(Database!$F:$I,CONCATENATE($B75,AH$68,"W"))+COUNTIFS(Database!$F:$I,CONCATENATE(AH$68,$B75,"W"))),"-")</f>
        <v>-</v>
      </c>
      <c r="AI75" s="122" t="str">
        <f>IFERROR((COUNTIFS(Database!$F:$I,CONCATENATE($B75,AI$68,"W"))+COUNTIFS(Database!$F:$I,CONCATENATE(AI$68,$B75,"W")))/(COUNTIFS(Database!$F:$I,CONCATENATE($B75,AI$68,"L"))+COUNTIFS(Database!$F:$I,CONCATENATE(AI$68,$B75,"L"))+COUNTIFS(Database!$F:$I,CONCATENATE($B75,AI$68,"W"))+COUNTIFS(Database!$F:$I,CONCATENATE(AI$68,$B75,"W"))),"-")</f>
        <v>-</v>
      </c>
      <c r="AJ75" s="122" t="str">
        <f>IFERROR((COUNTIFS(Database!$F:$I,CONCATENATE($B75,AJ$68,"W"))+COUNTIFS(Database!$F:$I,CONCATENATE(AJ$68,$B75,"W")))/(COUNTIFS(Database!$F:$I,CONCATENATE($B75,AJ$68,"L"))+COUNTIFS(Database!$F:$I,CONCATENATE(AJ$68,$B75,"L"))+COUNTIFS(Database!$F:$I,CONCATENATE($B75,AJ$68,"W"))+COUNTIFS(Database!$F:$I,CONCATENATE(AJ$68,$B75,"W"))),"-")</f>
        <v>-</v>
      </c>
      <c r="AK75" s="122">
        <f>IFERROR((COUNTIFS(Database!$F:$I,CONCATENATE($B75,AK$68,"W"))+COUNTIFS(Database!$F:$I,CONCATENATE(AK$68,$B75,"W")))/(COUNTIFS(Database!$F:$I,CONCATENATE($B75,AK$68,"L"))+COUNTIFS(Database!$F:$I,CONCATENATE(AK$68,$B75,"L"))+COUNTIFS(Database!$F:$I,CONCATENATE($B75,AK$68,"W"))+COUNTIFS(Database!$F:$I,CONCATENATE(AK$68,$B75,"W"))),"-")</f>
        <v>0.66666666666666663</v>
      </c>
      <c r="AL75" s="122" t="str">
        <f>IFERROR((COUNTIFS(Database!$F:$I,CONCATENATE($B75,AL$68,"W"))+COUNTIFS(Database!$F:$I,CONCATENATE(AL$68,$B75,"W")))/(COUNTIFS(Database!$F:$I,CONCATENATE($B75,AL$68,"L"))+COUNTIFS(Database!$F:$I,CONCATENATE(AL$68,$B75,"L"))+COUNTIFS(Database!$F:$I,CONCATENATE($B75,AL$68,"W"))+COUNTIFS(Database!$F:$I,CONCATENATE(AL$68,$B75,"W"))),"-")</f>
        <v>-</v>
      </c>
      <c r="AM75" s="122" t="str">
        <f>IFERROR((COUNTIFS(Database!$F:$I,CONCATENATE($B75,AM$68,"W"))+COUNTIFS(Database!$F:$I,CONCATENATE(AM$68,$B75,"W")))/(COUNTIFS(Database!$F:$I,CONCATENATE($B75,AM$68,"L"))+COUNTIFS(Database!$F:$I,CONCATENATE(AM$68,$B75,"L"))+COUNTIFS(Database!$F:$I,CONCATENATE($B75,AM$68,"W"))+COUNTIFS(Database!$F:$I,CONCATENATE(AM$68,$B75,"W"))),"-")</f>
        <v>-</v>
      </c>
      <c r="AN75" s="122" t="str">
        <f>IFERROR((COUNTIFS(Database!$F:$I,CONCATENATE($B75,AN$68,"W"))+COUNTIFS(Database!$F:$I,CONCATENATE(AN$68,$B75,"W")))/(COUNTIFS(Database!$F:$I,CONCATENATE($B75,AN$68,"L"))+COUNTIFS(Database!$F:$I,CONCATENATE(AN$68,$B75,"L"))+COUNTIFS(Database!$F:$I,CONCATENATE($B75,AN$68,"W"))+COUNTIFS(Database!$F:$I,CONCATENATE(AN$68,$B75,"W"))),"-")</f>
        <v>-</v>
      </c>
      <c r="AO75" s="122">
        <f>IFERROR((COUNTIFS(Database!$F:$I,CONCATENATE($B75,AO$68,"W"))+COUNTIFS(Database!$F:$I,CONCATENATE(AO$68,$B75,"W")))/(COUNTIFS(Database!$F:$I,CONCATENATE($B75,AO$68,"L"))+COUNTIFS(Database!$F:$I,CONCATENATE(AO$68,$B75,"L"))+COUNTIFS(Database!$F:$I,CONCATENATE($B75,AO$68,"W"))+COUNTIFS(Database!$F:$I,CONCATENATE(AO$68,$B75,"W"))),"-")</f>
        <v>0.33333333333333331</v>
      </c>
      <c r="AP75" s="122" t="str">
        <f>IFERROR((COUNTIFS(Database!$F:$I,CONCATENATE($B75,AP$68,"W"))+COUNTIFS(Database!$F:$I,CONCATENATE(AP$68,$B75,"W")))/(COUNTIFS(Database!$F:$I,CONCATENATE($B75,AP$68,"L"))+COUNTIFS(Database!$F:$I,CONCATENATE(AP$68,$B75,"L"))+COUNTIFS(Database!$F:$I,CONCATENATE($B75,AP$68,"W"))+COUNTIFS(Database!$F:$I,CONCATENATE(AP$68,$B75,"W"))),"-")</f>
        <v>-</v>
      </c>
      <c r="AQ75" s="122" t="str">
        <f>IFERROR((COUNTIFS(Database!$F:$I,CONCATENATE($B75,AQ$68,"W"))+COUNTIFS(Database!$F:$I,CONCATENATE(AQ$68,$B75,"W")))/(COUNTIFS(Database!$F:$I,CONCATENATE($B75,AQ$68,"L"))+COUNTIFS(Database!$F:$I,CONCATENATE(AQ$68,$B75,"L"))+COUNTIFS(Database!$F:$I,CONCATENATE($B75,AQ$68,"W"))+COUNTIFS(Database!$F:$I,CONCATENATE(AQ$68,$B75,"W"))),"-")</f>
        <v>-</v>
      </c>
      <c r="AR75" s="122">
        <f>IFERROR((COUNTIFS(Database!$F:$I,CONCATENATE($B75,AR$68,"W"))+COUNTIFS(Database!$F:$I,CONCATENATE(AR$68,$B75,"W")))/(COUNTIFS(Database!$F:$I,CONCATENATE($B75,AR$68,"L"))+COUNTIFS(Database!$F:$I,CONCATENATE(AR$68,$B75,"L"))+COUNTIFS(Database!$F:$I,CONCATENATE($B75,AR$68,"W"))+COUNTIFS(Database!$F:$I,CONCATENATE(AR$68,$B75,"W"))),"-")</f>
        <v>0.5</v>
      </c>
      <c r="AS75" s="122" t="str">
        <f>IFERROR((COUNTIFS(Database!$F:$I,CONCATENATE($B75,AS$68,"W"))+COUNTIFS(Database!$F:$I,CONCATENATE(AS$68,$B75,"W")))/(COUNTIFS(Database!$F:$I,CONCATENATE($B75,AS$68,"L"))+COUNTIFS(Database!$F:$I,CONCATENATE(AS$68,$B75,"L"))+COUNTIFS(Database!$F:$I,CONCATENATE($B75,AS$68,"W"))+COUNTIFS(Database!$F:$I,CONCATENATE(AS$68,$B75,"W"))),"-")</f>
        <v>-</v>
      </c>
      <c r="AT75" s="122" t="str">
        <f>IFERROR((COUNTIFS(Database!$F:$I,CONCATENATE($B75,AT$68,"W"))+COUNTIFS(Database!$F:$I,CONCATENATE(AT$68,$B75,"W")))/(COUNTIFS(Database!$F:$I,CONCATENATE($B75,AT$68,"L"))+COUNTIFS(Database!$F:$I,CONCATENATE(AT$68,$B75,"L"))+COUNTIFS(Database!$F:$I,CONCATENATE($B75,AT$68,"W"))+COUNTIFS(Database!$F:$I,CONCATENATE(AT$68,$B75,"W"))),"-")</f>
        <v>-</v>
      </c>
      <c r="AU75" s="122">
        <f>IFERROR((COUNTIFS(Database!$F:$I,CONCATENATE($B75,AU$68,"W"))+COUNTIFS(Database!$F:$I,CONCATENATE(AU$68,$B75,"W")))/(COUNTIFS(Database!$F:$I,CONCATENATE($B75,AU$68,"L"))+COUNTIFS(Database!$F:$I,CONCATENATE(AU$68,$B75,"L"))+COUNTIFS(Database!$F:$I,CONCATENATE($B75,AU$68,"W"))+COUNTIFS(Database!$F:$I,CONCATENATE(AU$68,$B75,"W"))),"-")</f>
        <v>0</v>
      </c>
      <c r="AV75" s="122" t="str">
        <f>IFERROR((COUNTIFS(Database!$F:$I,CONCATENATE($B75,AV$68,"W"))+COUNTIFS(Database!$F:$I,CONCATENATE(AV$68,$B75,"W")))/(COUNTIFS(Database!$F:$I,CONCATENATE($B75,AV$68,"L"))+COUNTIFS(Database!$F:$I,CONCATENATE(AV$68,$B75,"L"))+COUNTIFS(Database!$F:$I,CONCATENATE($B75,AV$68,"W"))+COUNTIFS(Database!$F:$I,CONCATENATE(AV$68,$B75,"W"))),"-")</f>
        <v>-</v>
      </c>
      <c r="AW75" s="122" t="str">
        <f>IFERROR((COUNTIFS(Database!$F:$I,CONCATENATE($B75,AW$68,"W"))+COUNTIFS(Database!$F:$I,CONCATENATE(AW$68,$B75,"W")))/(COUNTIFS(Database!$F:$I,CONCATENATE($B75,AW$68,"L"))+COUNTIFS(Database!$F:$I,CONCATENATE(AW$68,$B75,"L"))+COUNTIFS(Database!$F:$I,CONCATENATE($B75,AW$68,"W"))+COUNTIFS(Database!$F:$I,CONCATENATE(AW$68,$B75,"W"))),"-")</f>
        <v>-</v>
      </c>
      <c r="AX75" s="122">
        <f>IFERROR((COUNTIFS(Database!$F:$I,CONCATENATE($B75,AX$68,"W"))+COUNTIFS(Database!$F:$I,CONCATENATE(AX$68,$B75,"W")))/(COUNTIFS(Database!$F:$I,CONCATENATE($B75,AX$68,"L"))+COUNTIFS(Database!$F:$I,CONCATENATE(AX$68,$B75,"L"))+COUNTIFS(Database!$F:$I,CONCATENATE($B75,AX$68,"W"))+COUNTIFS(Database!$F:$I,CONCATENATE(AX$68,$B75,"W"))),"-")</f>
        <v>0</v>
      </c>
      <c r="AY75" s="122">
        <f>IFERROR((COUNTIFS(Database!$F:$I,CONCATENATE($B75,AY$68,"W"))+COUNTIFS(Database!$F:$I,CONCATENATE(AY$68,$B75,"W")))/(COUNTIFS(Database!$F:$I,CONCATENATE($B75,AY$68,"L"))+COUNTIFS(Database!$F:$I,CONCATENATE(AY$68,$B75,"L"))+COUNTIFS(Database!$F:$I,CONCATENATE($B75,AY$68,"W"))+COUNTIFS(Database!$F:$I,CONCATENATE(AY$68,$B75,"W"))),"-")</f>
        <v>0.5</v>
      </c>
    </row>
    <row r="76" spans="2:51" x14ac:dyDescent="0.25">
      <c r="B76" s="120" t="s">
        <v>55</v>
      </c>
      <c r="C76" s="122">
        <f>IFERROR((COUNTIFS(Database!$F:$I,CONCATENATE($B76,C$68,"W"))+COUNTIFS(Database!$F:$I,CONCATENATE(C$68,$B76,"W")))/(COUNTIFS(Database!$F:$I,CONCATENATE($B76,C$68,"L"))+COUNTIFS(Database!$F:$I,CONCATENATE(C$68,$B76,"L"))+COUNTIFS(Database!$F:$I,CONCATENATE($B76,C$68,"W"))+COUNTIFS(Database!$F:$I,CONCATENATE(C$68,$B76,"W"))),"-")</f>
        <v>0.25</v>
      </c>
      <c r="D76" s="122" t="str">
        <f>IFERROR((COUNTIFS(Database!$F:$I,CONCATENATE($B76,D$68,"W"))+COUNTIFS(Database!$F:$I,CONCATENATE(D$68,$B76,"W")))/(COUNTIFS(Database!$F:$I,CONCATENATE($B76,D$68,"L"))+COUNTIFS(Database!$F:$I,CONCATENATE(D$68,$B76,"L"))+COUNTIFS(Database!$F:$I,CONCATENATE($B76,D$68,"W"))+COUNTIFS(Database!$F:$I,CONCATENATE(D$68,$B76,"W"))),"-")</f>
        <v>-</v>
      </c>
      <c r="E76" s="122" t="str">
        <f>IFERROR((COUNTIFS(Database!$F:$I,CONCATENATE($B76,E$68,"W"))+COUNTIFS(Database!$F:$I,CONCATENATE(E$68,$B76,"W")))/(COUNTIFS(Database!$F:$I,CONCATENATE($B76,E$68,"L"))+COUNTIFS(Database!$F:$I,CONCATENATE(E$68,$B76,"L"))+COUNTIFS(Database!$F:$I,CONCATENATE($B76,E$68,"W"))+COUNTIFS(Database!$F:$I,CONCATENATE(E$68,$B76,"W"))),"-")</f>
        <v>-</v>
      </c>
      <c r="F76" s="122">
        <f>IFERROR((COUNTIFS(Database!$F:$I,CONCATENATE($B76,F$68,"W"))+COUNTIFS(Database!$F:$I,CONCATENATE(F$68,$B76,"W")))/(COUNTIFS(Database!$F:$I,CONCATENATE($B76,F$68,"L"))+COUNTIFS(Database!$F:$I,CONCATENATE(F$68,$B76,"L"))+COUNTIFS(Database!$F:$I,CONCATENATE($B76,F$68,"W"))+COUNTIFS(Database!$F:$I,CONCATENATE(F$68,$B76,"W"))),"-")</f>
        <v>0.33333333333333331</v>
      </c>
      <c r="G76" s="122">
        <f>IFERROR((COUNTIFS(Database!$F:$I,CONCATENATE($B76,G$68,"W"))+COUNTIFS(Database!$F:$I,CONCATENATE(G$68,$B76,"W")))/(COUNTIFS(Database!$F:$I,CONCATENATE($B76,G$68,"L"))+COUNTIFS(Database!$F:$I,CONCATENATE(G$68,$B76,"L"))+COUNTIFS(Database!$F:$I,CONCATENATE($B76,G$68,"W"))+COUNTIFS(Database!$F:$I,CONCATENATE(G$68,$B76,"W"))),"-")</f>
        <v>0</v>
      </c>
      <c r="H76" s="122" t="str">
        <f>IFERROR((COUNTIFS(Database!$F:$I,CONCATENATE($B76,H$68,"W"))+COUNTIFS(Database!$F:$I,CONCATENATE(H$68,$B76,"W")))/(COUNTIFS(Database!$F:$I,CONCATENATE($B76,H$68,"L"))+COUNTIFS(Database!$F:$I,CONCATENATE(H$68,$B76,"L"))+COUNTIFS(Database!$F:$I,CONCATENATE($B76,H$68,"W"))+COUNTIFS(Database!$F:$I,CONCATENATE(H$68,$B76,"W"))),"-")</f>
        <v>-</v>
      </c>
      <c r="I76" s="122">
        <f>IFERROR((COUNTIFS(Database!$F:$I,CONCATENATE($B76,I$68,"W"))+COUNTIFS(Database!$F:$I,CONCATENATE(I$68,$B76,"W")))/(COUNTIFS(Database!$F:$I,CONCATENATE($B76,I$68,"L"))+COUNTIFS(Database!$F:$I,CONCATENATE(I$68,$B76,"L"))+COUNTIFS(Database!$F:$I,CONCATENATE($B76,I$68,"W"))+COUNTIFS(Database!$F:$I,CONCATENATE(I$68,$B76,"W"))),"-")</f>
        <v>0</v>
      </c>
      <c r="J76" s="122" t="str">
        <f>IFERROR((COUNTIFS(Database!$F:$I,CONCATENATE($B76,J$68,"W"))+COUNTIFS(Database!$F:$I,CONCATENATE(J$68,$B76,"W")))/(COUNTIFS(Database!$F:$I,CONCATENATE($B76,J$68,"L"))+COUNTIFS(Database!$F:$I,CONCATENATE(J$68,$B76,"L"))+COUNTIFS(Database!$F:$I,CONCATENATE($B76,J$68,"W"))+COUNTIFS(Database!$F:$I,CONCATENATE(J$68,$B76,"W"))),"-")</f>
        <v>-</v>
      </c>
      <c r="K76" s="122">
        <f>IFERROR((COUNTIFS(Database!$F:$I,CONCATENATE($B76,K$68,"W"))+COUNTIFS(Database!$F:$I,CONCATENATE(K$68,$B76,"W")))/(COUNTIFS(Database!$F:$I,CONCATENATE($B76,K$68,"L"))+COUNTIFS(Database!$F:$I,CONCATENATE(K$68,$B76,"L"))+COUNTIFS(Database!$F:$I,CONCATENATE($B76,K$68,"W"))+COUNTIFS(Database!$F:$I,CONCATENATE(K$68,$B76,"W"))),"-")</f>
        <v>0.4</v>
      </c>
      <c r="L76" s="122">
        <f>IFERROR((COUNTIFS(Database!$F:$I,CONCATENATE($B76,L$68,"W"))+COUNTIFS(Database!$F:$I,CONCATENATE(L$68,$B76,"W")))/(COUNTIFS(Database!$F:$I,CONCATENATE($B76,L$68,"L"))+COUNTIFS(Database!$F:$I,CONCATENATE(L$68,$B76,"L"))+COUNTIFS(Database!$F:$I,CONCATENATE($B76,L$68,"W"))+COUNTIFS(Database!$F:$I,CONCATENATE(L$68,$B76,"W"))),"-")</f>
        <v>1</v>
      </c>
      <c r="M76" s="122" t="str">
        <f>IFERROR((COUNTIFS(Database!$F:$I,CONCATENATE($B76,M$68,"W"))+COUNTIFS(Database!$F:$I,CONCATENATE(M$68,$B76,"W")))/(COUNTIFS(Database!$F:$I,CONCATENATE($B76,M$68,"L"))+COUNTIFS(Database!$F:$I,CONCATENATE(M$68,$B76,"L"))+COUNTIFS(Database!$F:$I,CONCATENATE($B76,M$68,"W"))+COUNTIFS(Database!$F:$I,CONCATENATE(M$68,$B76,"W"))),"-")</f>
        <v>-</v>
      </c>
      <c r="N76" s="122">
        <f>IFERROR((COUNTIFS(Database!$F:$I,CONCATENATE($B76,N$68,"W"))+COUNTIFS(Database!$F:$I,CONCATENATE(N$68,$B76,"W")))/(COUNTIFS(Database!$F:$I,CONCATENATE($B76,N$68,"L"))+COUNTIFS(Database!$F:$I,CONCATENATE(N$68,$B76,"L"))+COUNTIFS(Database!$F:$I,CONCATENATE($B76,N$68,"W"))+COUNTIFS(Database!$F:$I,CONCATENATE(N$68,$B76,"W"))),"-")</f>
        <v>0.33333333333333331</v>
      </c>
      <c r="O76" s="122">
        <f>IFERROR((COUNTIFS(Database!$F:$I,CONCATENATE($B76,O$68,"W"))+COUNTIFS(Database!$F:$I,CONCATENATE(O$68,$B76,"W")))/(COUNTIFS(Database!$F:$I,CONCATENATE($B76,O$68,"L"))+COUNTIFS(Database!$F:$I,CONCATENATE(O$68,$B76,"L"))+COUNTIFS(Database!$F:$I,CONCATENATE($B76,O$68,"W"))+COUNTIFS(Database!$F:$I,CONCATENATE(O$68,$B76,"W"))),"-")</f>
        <v>0.2</v>
      </c>
      <c r="P76" s="122" t="str">
        <f>IFERROR((COUNTIFS(Database!$F:$I,CONCATENATE($B76,P$68,"W"))+COUNTIFS(Database!$F:$I,CONCATENATE(P$68,$B76,"W")))/(COUNTIFS(Database!$F:$I,CONCATENATE($B76,P$68,"L"))+COUNTIFS(Database!$F:$I,CONCATENATE(P$68,$B76,"L"))+COUNTIFS(Database!$F:$I,CONCATENATE($B76,P$68,"W"))+COUNTIFS(Database!$F:$I,CONCATENATE(P$68,$B76,"W"))),"-")</f>
        <v>-</v>
      </c>
      <c r="Q76" s="122">
        <f>IFERROR((COUNTIFS(Database!$F:$I,CONCATENATE($B76,Q$68,"W"))+COUNTIFS(Database!$F:$I,CONCATENATE(Q$68,$B76,"W")))/(COUNTIFS(Database!$F:$I,CONCATENATE($B76,Q$68,"L"))+COUNTIFS(Database!$F:$I,CONCATENATE(Q$68,$B76,"L"))+COUNTIFS(Database!$F:$I,CONCATENATE($B76,Q$68,"W"))+COUNTIFS(Database!$F:$I,CONCATENATE(Q$68,$B76,"W"))),"-")</f>
        <v>0</v>
      </c>
      <c r="R76" s="122" t="str">
        <f>IFERROR((COUNTIFS(Database!$F:$I,CONCATENATE($B76,R$68,"W"))+COUNTIFS(Database!$F:$I,CONCATENATE(R$68,$B76,"W")))/(COUNTIFS(Database!$F:$I,CONCATENATE($B76,R$68,"L"))+COUNTIFS(Database!$F:$I,CONCATENATE(R$68,$B76,"L"))+COUNTIFS(Database!$F:$I,CONCATENATE($B76,R$68,"W"))+COUNTIFS(Database!$F:$I,CONCATENATE(R$68,$B76,"W"))),"-")</f>
        <v>-</v>
      </c>
      <c r="S76" s="122">
        <f>IFERROR((COUNTIFS(Database!$F:$I,CONCATENATE($B76,S$68,"W"))+COUNTIFS(Database!$F:$I,CONCATENATE(S$68,$B76,"W")))/(COUNTIFS(Database!$F:$I,CONCATENATE($B76,S$68,"L"))+COUNTIFS(Database!$F:$I,CONCATENATE(S$68,$B76,"L"))+COUNTIFS(Database!$F:$I,CONCATENATE($B76,S$68,"W"))+COUNTIFS(Database!$F:$I,CONCATENATE(S$68,$B76,"W"))),"-")</f>
        <v>0.5</v>
      </c>
      <c r="T76" s="122">
        <f>IFERROR((COUNTIFS(Database!$F:$I,CONCATENATE($B76,T$68,"W"))+COUNTIFS(Database!$F:$I,CONCATENATE(T$68,$B76,"W")))/(COUNTIFS(Database!$F:$I,CONCATENATE($B76,T$68,"L"))+COUNTIFS(Database!$F:$I,CONCATENATE(T$68,$B76,"L"))+COUNTIFS(Database!$F:$I,CONCATENATE($B76,T$68,"W"))+COUNTIFS(Database!$F:$I,CONCATENATE(T$68,$B76,"W"))),"-")</f>
        <v>0.33333333333333331</v>
      </c>
      <c r="U76" s="122" t="str">
        <f>IFERROR((COUNTIFS(Database!$F:$I,CONCATENATE($B76,U$68,"W"))+COUNTIFS(Database!$F:$I,CONCATENATE(U$68,$B76,"W")))/(COUNTIFS(Database!$F:$I,CONCATENATE($B76,U$68,"L"))+COUNTIFS(Database!$F:$I,CONCATENATE(U$68,$B76,"L"))+COUNTIFS(Database!$F:$I,CONCATENATE($B76,U$68,"W"))+COUNTIFS(Database!$F:$I,CONCATENATE(U$68,$B76,"W"))),"-")</f>
        <v>-</v>
      </c>
      <c r="V76" s="122">
        <f>IFERROR((COUNTIFS(Database!$F:$I,CONCATENATE($B76,V$68,"W"))+COUNTIFS(Database!$F:$I,CONCATENATE(V$68,$B76,"W")))/(COUNTIFS(Database!$F:$I,CONCATENATE($B76,V$68,"L"))+COUNTIFS(Database!$F:$I,CONCATENATE(V$68,$B76,"L"))+COUNTIFS(Database!$F:$I,CONCATENATE($B76,V$68,"W"))+COUNTIFS(Database!$F:$I,CONCATENATE(V$68,$B76,"W"))),"-")</f>
        <v>1</v>
      </c>
      <c r="W76" s="122">
        <f>IFERROR((COUNTIFS(Database!$F:$I,CONCATENATE($B76,W$68,"W"))+COUNTIFS(Database!$F:$I,CONCATENATE(W$68,$B76,"W")))/(COUNTIFS(Database!$F:$I,CONCATENATE($B76,W$68,"L"))+COUNTIFS(Database!$F:$I,CONCATENATE(W$68,$B76,"L"))+COUNTIFS(Database!$F:$I,CONCATENATE($B76,W$68,"W"))+COUNTIFS(Database!$F:$I,CONCATENATE(W$68,$B76,"W"))),"-")</f>
        <v>0</v>
      </c>
      <c r="X76" s="122" t="str">
        <f>IFERROR((COUNTIFS(Database!$F:$I,CONCATENATE($B76,X$68,"W"))+COUNTIFS(Database!$F:$I,CONCATENATE(X$68,$B76,"W")))/(COUNTIFS(Database!$F:$I,CONCATENATE($B76,X$68,"L"))+COUNTIFS(Database!$F:$I,CONCATENATE(X$68,$B76,"L"))+COUNTIFS(Database!$F:$I,CONCATENATE($B76,X$68,"W"))+COUNTIFS(Database!$F:$I,CONCATENATE(X$68,$B76,"W"))),"-")</f>
        <v>-</v>
      </c>
      <c r="Y76" s="122" t="str">
        <f>IFERROR((COUNTIFS(Database!$F:$I,CONCATENATE($B76,Y$68,"W"))+COUNTIFS(Database!$F:$I,CONCATENATE(Y$68,$B76,"W")))/(COUNTIFS(Database!$F:$I,CONCATENATE($B76,Y$68,"L"))+COUNTIFS(Database!$F:$I,CONCATENATE(Y$68,$B76,"L"))+COUNTIFS(Database!$F:$I,CONCATENATE($B76,Y$68,"W"))+COUNTIFS(Database!$F:$I,CONCATENATE(Y$68,$B76,"W"))),"-")</f>
        <v>-</v>
      </c>
      <c r="Z76" s="122" t="str">
        <f>IFERROR((COUNTIFS(Database!$F:$I,CONCATENATE($B76,Z$68,"W"))+COUNTIFS(Database!$F:$I,CONCATENATE(Z$68,$B76,"W")))/(COUNTIFS(Database!$F:$I,CONCATENATE($B76,Z$68,"L"))+COUNTIFS(Database!$F:$I,CONCATENATE(Z$68,$B76,"L"))+COUNTIFS(Database!$F:$I,CONCATENATE($B76,Z$68,"W"))+COUNTIFS(Database!$F:$I,CONCATENATE(Z$68,$B76,"W"))),"-")</f>
        <v>-</v>
      </c>
      <c r="AA76" s="122" t="str">
        <f>IFERROR((COUNTIFS(Database!$F:$I,CONCATENATE($B76,AA$68,"W"))+COUNTIFS(Database!$F:$I,CONCATENATE(AA$68,$B76,"W")))/(COUNTIFS(Database!$F:$I,CONCATENATE($B76,AA$68,"L"))+COUNTIFS(Database!$F:$I,CONCATENATE(AA$68,$B76,"L"))+COUNTIFS(Database!$F:$I,CONCATENATE($B76,AA$68,"W"))+COUNTIFS(Database!$F:$I,CONCATENATE(AA$68,$B76,"W"))),"-")</f>
        <v>-</v>
      </c>
      <c r="AB76" s="122">
        <f>IFERROR((COUNTIFS(Database!$F:$I,CONCATENATE($B76,AB$68,"W"))+COUNTIFS(Database!$F:$I,CONCATENATE(AB$68,$B76,"W")))/(COUNTIFS(Database!$F:$I,CONCATENATE($B76,AB$68,"L"))+COUNTIFS(Database!$F:$I,CONCATENATE(AB$68,$B76,"L"))+COUNTIFS(Database!$F:$I,CONCATENATE($B76,AB$68,"W"))+COUNTIFS(Database!$F:$I,CONCATENATE(AB$68,$B76,"W"))),"-")</f>
        <v>0.25</v>
      </c>
      <c r="AC76" s="122">
        <f>IFERROR((COUNTIFS(Database!$F:$I,CONCATENATE($B76,AC$68,"W"))+COUNTIFS(Database!$F:$I,CONCATENATE(AC$68,$B76,"W")))/(COUNTIFS(Database!$F:$I,CONCATENATE($B76,AC$68,"L"))+COUNTIFS(Database!$F:$I,CONCATENATE(AC$68,$B76,"L"))+COUNTIFS(Database!$F:$I,CONCATENATE($B76,AC$68,"W"))+COUNTIFS(Database!$F:$I,CONCATENATE(AC$68,$B76,"W"))),"-")</f>
        <v>0.5</v>
      </c>
      <c r="AD76" s="122">
        <f>IFERROR((COUNTIFS(Database!$F:$I,CONCATENATE($B76,AD$68,"W"))+COUNTIFS(Database!$F:$I,CONCATENATE(AD$68,$B76,"W")))/(COUNTIFS(Database!$F:$I,CONCATENATE($B76,AD$68,"L"))+COUNTIFS(Database!$F:$I,CONCATENATE(AD$68,$B76,"L"))+COUNTIFS(Database!$F:$I,CONCATENATE($B76,AD$68,"W"))+COUNTIFS(Database!$F:$I,CONCATENATE(AD$68,$B76,"W"))),"-")</f>
        <v>1</v>
      </c>
      <c r="AE76" s="122" t="str">
        <f>IFERROR((COUNTIFS(Database!$F:$I,CONCATENATE($B76,AE$68,"W"))+COUNTIFS(Database!$F:$I,CONCATENATE(AE$68,$B76,"W")))/(COUNTIFS(Database!$F:$I,CONCATENATE($B76,AE$68,"L"))+COUNTIFS(Database!$F:$I,CONCATENATE(AE$68,$B76,"L"))+COUNTIFS(Database!$F:$I,CONCATENATE($B76,AE$68,"W"))+COUNTIFS(Database!$F:$I,CONCATENATE(AE$68,$B76,"W"))),"-")</f>
        <v>-</v>
      </c>
      <c r="AF76" s="122" t="str">
        <f>IFERROR((COUNTIFS(Database!$F:$I,CONCATENATE($B76,AF$68,"W"))+COUNTIFS(Database!$F:$I,CONCATENATE(AF$68,$B76,"W")))/(COUNTIFS(Database!$F:$I,CONCATENATE($B76,AF$68,"L"))+COUNTIFS(Database!$F:$I,CONCATENATE(AF$68,$B76,"L"))+COUNTIFS(Database!$F:$I,CONCATENATE($B76,AF$68,"W"))+COUNTIFS(Database!$F:$I,CONCATENATE(AF$68,$B76,"W"))),"-")</f>
        <v>-</v>
      </c>
      <c r="AG76" s="122" t="str">
        <f>IFERROR((COUNTIFS(Database!$F:$I,CONCATENATE($B76,AG$68,"W"))+COUNTIFS(Database!$F:$I,CONCATENATE(AG$68,$B76,"W")))/(COUNTIFS(Database!$F:$I,CONCATENATE($B76,AG$68,"L"))+COUNTIFS(Database!$F:$I,CONCATENATE(AG$68,$B76,"L"))+COUNTIFS(Database!$F:$I,CONCATENATE($B76,AG$68,"W"))+COUNTIFS(Database!$F:$I,CONCATENATE(AG$68,$B76,"W"))),"-")</f>
        <v>-</v>
      </c>
      <c r="AH76" s="122" t="str">
        <f>IFERROR((COUNTIFS(Database!$F:$I,CONCATENATE($B76,AH$68,"W"))+COUNTIFS(Database!$F:$I,CONCATENATE(AH$68,$B76,"W")))/(COUNTIFS(Database!$F:$I,CONCATENATE($B76,AH$68,"L"))+COUNTIFS(Database!$F:$I,CONCATENATE(AH$68,$B76,"L"))+COUNTIFS(Database!$F:$I,CONCATENATE($B76,AH$68,"W"))+COUNTIFS(Database!$F:$I,CONCATENATE(AH$68,$B76,"W"))),"-")</f>
        <v>-</v>
      </c>
      <c r="AI76" s="122" t="str">
        <f>IFERROR((COUNTIFS(Database!$F:$I,CONCATENATE($B76,AI$68,"W"))+COUNTIFS(Database!$F:$I,CONCATENATE(AI$68,$B76,"W")))/(COUNTIFS(Database!$F:$I,CONCATENATE($B76,AI$68,"L"))+COUNTIFS(Database!$F:$I,CONCATENATE(AI$68,$B76,"L"))+COUNTIFS(Database!$F:$I,CONCATENATE($B76,AI$68,"W"))+COUNTIFS(Database!$F:$I,CONCATENATE(AI$68,$B76,"W"))),"-")</f>
        <v>-</v>
      </c>
      <c r="AJ76" s="122" t="str">
        <f>IFERROR((COUNTIFS(Database!$F:$I,CONCATENATE($B76,AJ$68,"W"))+COUNTIFS(Database!$F:$I,CONCATENATE(AJ$68,$B76,"W")))/(COUNTIFS(Database!$F:$I,CONCATENATE($B76,AJ$68,"L"))+COUNTIFS(Database!$F:$I,CONCATENATE(AJ$68,$B76,"L"))+COUNTIFS(Database!$F:$I,CONCATENATE($B76,AJ$68,"W"))+COUNTIFS(Database!$F:$I,CONCATENATE(AJ$68,$B76,"W"))),"-")</f>
        <v>-</v>
      </c>
      <c r="AK76" s="122">
        <f>IFERROR((COUNTIFS(Database!$F:$I,CONCATENATE($B76,AK$68,"W"))+COUNTIFS(Database!$F:$I,CONCATENATE(AK$68,$B76,"W")))/(COUNTIFS(Database!$F:$I,CONCATENATE($B76,AK$68,"L"))+COUNTIFS(Database!$F:$I,CONCATENATE(AK$68,$B76,"L"))+COUNTIFS(Database!$F:$I,CONCATENATE($B76,AK$68,"W"))+COUNTIFS(Database!$F:$I,CONCATENATE(AK$68,$B76,"W"))),"-")</f>
        <v>0.625</v>
      </c>
      <c r="AL76" s="122">
        <f>IFERROR((COUNTIFS(Database!$F:$I,CONCATENATE($B76,AL$68,"W"))+COUNTIFS(Database!$F:$I,CONCATENATE(AL$68,$B76,"W")))/(COUNTIFS(Database!$F:$I,CONCATENATE($B76,AL$68,"L"))+COUNTIFS(Database!$F:$I,CONCATENATE(AL$68,$B76,"L"))+COUNTIFS(Database!$F:$I,CONCATENATE($B76,AL$68,"W"))+COUNTIFS(Database!$F:$I,CONCATENATE(AL$68,$B76,"W"))),"-")</f>
        <v>0</v>
      </c>
      <c r="AM76" s="122">
        <f>IFERROR((COUNTIFS(Database!$F:$I,CONCATENATE($B76,AM$68,"W"))+COUNTIFS(Database!$F:$I,CONCATENATE(AM$68,$B76,"W")))/(COUNTIFS(Database!$F:$I,CONCATENATE($B76,AM$68,"L"))+COUNTIFS(Database!$F:$I,CONCATENATE(AM$68,$B76,"L"))+COUNTIFS(Database!$F:$I,CONCATENATE($B76,AM$68,"W"))+COUNTIFS(Database!$F:$I,CONCATENATE(AM$68,$B76,"W"))),"-")</f>
        <v>0</v>
      </c>
      <c r="AN76" s="122" t="str">
        <f>IFERROR((COUNTIFS(Database!$F:$I,CONCATENATE($B76,AN$68,"W"))+COUNTIFS(Database!$F:$I,CONCATENATE(AN$68,$B76,"W")))/(COUNTIFS(Database!$F:$I,CONCATENATE($B76,AN$68,"L"))+COUNTIFS(Database!$F:$I,CONCATENATE(AN$68,$B76,"L"))+COUNTIFS(Database!$F:$I,CONCATENATE($B76,AN$68,"W"))+COUNTIFS(Database!$F:$I,CONCATENATE(AN$68,$B76,"W"))),"-")</f>
        <v>-</v>
      </c>
      <c r="AO76" s="122">
        <f>IFERROR((COUNTIFS(Database!$F:$I,CONCATENATE($B76,AO$68,"W"))+COUNTIFS(Database!$F:$I,CONCATENATE(AO$68,$B76,"W")))/(COUNTIFS(Database!$F:$I,CONCATENATE($B76,AO$68,"L"))+COUNTIFS(Database!$F:$I,CONCATENATE(AO$68,$B76,"L"))+COUNTIFS(Database!$F:$I,CONCATENATE($B76,AO$68,"W"))+COUNTIFS(Database!$F:$I,CONCATENATE(AO$68,$B76,"W"))),"-")</f>
        <v>0.16666666666666666</v>
      </c>
      <c r="AP76" s="122" t="str">
        <f>IFERROR((COUNTIFS(Database!$F:$I,CONCATENATE($B76,AP$68,"W"))+COUNTIFS(Database!$F:$I,CONCATENATE(AP$68,$B76,"W")))/(COUNTIFS(Database!$F:$I,CONCATENATE($B76,AP$68,"L"))+COUNTIFS(Database!$F:$I,CONCATENATE(AP$68,$B76,"L"))+COUNTIFS(Database!$F:$I,CONCATENATE($B76,AP$68,"W"))+COUNTIFS(Database!$F:$I,CONCATENATE(AP$68,$B76,"W"))),"-")</f>
        <v>-</v>
      </c>
      <c r="AQ76" s="122">
        <f>IFERROR((COUNTIFS(Database!$F:$I,CONCATENATE($B76,AQ$68,"W"))+COUNTIFS(Database!$F:$I,CONCATENATE(AQ$68,$B76,"W")))/(COUNTIFS(Database!$F:$I,CONCATENATE($B76,AQ$68,"L"))+COUNTIFS(Database!$F:$I,CONCATENATE(AQ$68,$B76,"L"))+COUNTIFS(Database!$F:$I,CONCATENATE($B76,AQ$68,"W"))+COUNTIFS(Database!$F:$I,CONCATENATE(AQ$68,$B76,"W"))),"-")</f>
        <v>0</v>
      </c>
      <c r="AR76" s="122">
        <f>IFERROR((COUNTIFS(Database!$F:$I,CONCATENATE($B76,AR$68,"W"))+COUNTIFS(Database!$F:$I,CONCATENATE(AR$68,$B76,"W")))/(COUNTIFS(Database!$F:$I,CONCATENATE($B76,AR$68,"L"))+COUNTIFS(Database!$F:$I,CONCATENATE(AR$68,$B76,"L"))+COUNTIFS(Database!$F:$I,CONCATENATE($B76,AR$68,"W"))+COUNTIFS(Database!$F:$I,CONCATENATE(AR$68,$B76,"W"))),"-")</f>
        <v>0.75</v>
      </c>
      <c r="AS76" s="122" t="str">
        <f>IFERROR((COUNTIFS(Database!$F:$I,CONCATENATE($B76,AS$68,"W"))+COUNTIFS(Database!$F:$I,CONCATENATE(AS$68,$B76,"W")))/(COUNTIFS(Database!$F:$I,CONCATENATE($B76,AS$68,"L"))+COUNTIFS(Database!$F:$I,CONCATENATE(AS$68,$B76,"L"))+COUNTIFS(Database!$F:$I,CONCATENATE($B76,AS$68,"W"))+COUNTIFS(Database!$F:$I,CONCATENATE(AS$68,$B76,"W"))),"-")</f>
        <v>-</v>
      </c>
      <c r="AT76" s="122" t="str">
        <f>IFERROR((COUNTIFS(Database!$F:$I,CONCATENATE($B76,AT$68,"W"))+COUNTIFS(Database!$F:$I,CONCATENATE(AT$68,$B76,"W")))/(COUNTIFS(Database!$F:$I,CONCATENATE($B76,AT$68,"L"))+COUNTIFS(Database!$F:$I,CONCATENATE(AT$68,$B76,"L"))+COUNTIFS(Database!$F:$I,CONCATENATE($B76,AT$68,"W"))+COUNTIFS(Database!$F:$I,CONCATENATE(AT$68,$B76,"W"))),"-")</f>
        <v>-</v>
      </c>
      <c r="AU76" s="122">
        <f>IFERROR((COUNTIFS(Database!$F:$I,CONCATENATE($B76,AU$68,"W"))+COUNTIFS(Database!$F:$I,CONCATENATE(AU$68,$B76,"W")))/(COUNTIFS(Database!$F:$I,CONCATENATE($B76,AU$68,"L"))+COUNTIFS(Database!$F:$I,CONCATENATE(AU$68,$B76,"L"))+COUNTIFS(Database!$F:$I,CONCATENATE($B76,AU$68,"W"))+COUNTIFS(Database!$F:$I,CONCATENATE(AU$68,$B76,"W"))),"-")</f>
        <v>0.33333333333333331</v>
      </c>
      <c r="AV76" s="122" t="str">
        <f>IFERROR((COUNTIFS(Database!$F:$I,CONCATENATE($B76,AV$68,"W"))+COUNTIFS(Database!$F:$I,CONCATENATE(AV$68,$B76,"W")))/(COUNTIFS(Database!$F:$I,CONCATENATE($B76,AV$68,"L"))+COUNTIFS(Database!$F:$I,CONCATENATE(AV$68,$B76,"L"))+COUNTIFS(Database!$F:$I,CONCATENATE($B76,AV$68,"W"))+COUNTIFS(Database!$F:$I,CONCATENATE(AV$68,$B76,"W"))),"-")</f>
        <v>-</v>
      </c>
      <c r="AW76" s="122">
        <f>IFERROR((COUNTIFS(Database!$F:$I,CONCATENATE($B76,AW$68,"W"))+COUNTIFS(Database!$F:$I,CONCATENATE(AW$68,$B76,"W")))/(COUNTIFS(Database!$F:$I,CONCATENATE($B76,AW$68,"L"))+COUNTIFS(Database!$F:$I,CONCATENATE(AW$68,$B76,"L"))+COUNTIFS(Database!$F:$I,CONCATENATE($B76,AW$68,"W"))+COUNTIFS(Database!$F:$I,CONCATENATE(AW$68,$B76,"W"))),"-")</f>
        <v>1</v>
      </c>
      <c r="AX76" s="122" t="str">
        <f>IFERROR((COUNTIFS(Database!$F:$I,CONCATENATE($B76,AX$68,"W"))+COUNTIFS(Database!$F:$I,CONCATENATE(AX$68,$B76,"W")))/(COUNTIFS(Database!$F:$I,CONCATENATE($B76,AX$68,"L"))+COUNTIFS(Database!$F:$I,CONCATENATE(AX$68,$B76,"L"))+COUNTIFS(Database!$F:$I,CONCATENATE($B76,AX$68,"W"))+COUNTIFS(Database!$F:$I,CONCATENATE(AX$68,$B76,"W"))),"-")</f>
        <v>-</v>
      </c>
      <c r="AY76" s="122">
        <f>IFERROR((COUNTIFS(Database!$F:$I,CONCATENATE($B76,AY$68,"W"))+COUNTIFS(Database!$F:$I,CONCATENATE(AY$68,$B76,"W")))/(COUNTIFS(Database!$F:$I,CONCATENATE($B76,AY$68,"L"))+COUNTIFS(Database!$F:$I,CONCATENATE(AY$68,$B76,"L"))+COUNTIFS(Database!$F:$I,CONCATENATE($B76,AY$68,"W"))+COUNTIFS(Database!$F:$I,CONCATENATE(AY$68,$B76,"W"))),"-")</f>
        <v>0</v>
      </c>
    </row>
    <row r="77" spans="2:51" x14ac:dyDescent="0.25">
      <c r="B77" s="120" t="s">
        <v>61</v>
      </c>
      <c r="C77" s="122">
        <f>IFERROR((COUNTIFS(Database!$F:$I,CONCATENATE($B77,C$68,"W"))+COUNTIFS(Database!$F:$I,CONCATENATE(C$68,$B77,"W")))/(COUNTIFS(Database!$F:$I,CONCATENATE($B77,C$68,"L"))+COUNTIFS(Database!$F:$I,CONCATENATE(C$68,$B77,"L"))+COUNTIFS(Database!$F:$I,CONCATENATE($B77,C$68,"W"))+COUNTIFS(Database!$F:$I,CONCATENATE(C$68,$B77,"W"))),"-")</f>
        <v>0.33333333333333331</v>
      </c>
      <c r="D77" s="122">
        <f>IFERROR((COUNTIFS(Database!$F:$I,CONCATENATE($B77,D$68,"W"))+COUNTIFS(Database!$F:$I,CONCATENATE(D$68,$B77,"W")))/(COUNTIFS(Database!$F:$I,CONCATENATE($B77,D$68,"L"))+COUNTIFS(Database!$F:$I,CONCATENATE(D$68,$B77,"L"))+COUNTIFS(Database!$F:$I,CONCATENATE($B77,D$68,"W"))+COUNTIFS(Database!$F:$I,CONCATENATE(D$68,$B77,"W"))),"-")</f>
        <v>1</v>
      </c>
      <c r="E77" s="122">
        <f>IFERROR((COUNTIFS(Database!$F:$I,CONCATENATE($B77,E$68,"W"))+COUNTIFS(Database!$F:$I,CONCATENATE(E$68,$B77,"W")))/(COUNTIFS(Database!$F:$I,CONCATENATE($B77,E$68,"L"))+COUNTIFS(Database!$F:$I,CONCATENATE(E$68,$B77,"L"))+COUNTIFS(Database!$F:$I,CONCATENATE($B77,E$68,"W"))+COUNTIFS(Database!$F:$I,CONCATENATE(E$68,$B77,"W"))),"-")</f>
        <v>0.75</v>
      </c>
      <c r="F77" s="122">
        <f>IFERROR((COUNTIFS(Database!$F:$I,CONCATENATE($B77,F$68,"W"))+COUNTIFS(Database!$F:$I,CONCATENATE(F$68,$B77,"W")))/(COUNTIFS(Database!$F:$I,CONCATENATE($B77,F$68,"L"))+COUNTIFS(Database!$F:$I,CONCATENATE(F$68,$B77,"L"))+COUNTIFS(Database!$F:$I,CONCATENATE($B77,F$68,"W"))+COUNTIFS(Database!$F:$I,CONCATENATE(F$68,$B77,"W"))),"-")</f>
        <v>0.33333333333333331</v>
      </c>
      <c r="G77" s="122">
        <f>IFERROR((COUNTIFS(Database!$F:$I,CONCATENATE($B77,G$68,"W"))+COUNTIFS(Database!$F:$I,CONCATENATE(G$68,$B77,"W")))/(COUNTIFS(Database!$F:$I,CONCATENATE($B77,G$68,"L"))+COUNTIFS(Database!$F:$I,CONCATENATE(G$68,$B77,"L"))+COUNTIFS(Database!$F:$I,CONCATENATE($B77,G$68,"W"))+COUNTIFS(Database!$F:$I,CONCATENATE(G$68,$B77,"W"))),"-")</f>
        <v>1</v>
      </c>
      <c r="H77" s="122" t="str">
        <f>IFERROR((COUNTIFS(Database!$F:$I,CONCATENATE($B77,H$68,"W"))+COUNTIFS(Database!$F:$I,CONCATENATE(H$68,$B77,"W")))/(COUNTIFS(Database!$F:$I,CONCATENATE($B77,H$68,"L"))+COUNTIFS(Database!$F:$I,CONCATENATE(H$68,$B77,"L"))+COUNTIFS(Database!$F:$I,CONCATENATE($B77,H$68,"W"))+COUNTIFS(Database!$F:$I,CONCATENATE(H$68,$B77,"W"))),"-")</f>
        <v>-</v>
      </c>
      <c r="I77" s="122">
        <f>IFERROR((COUNTIFS(Database!$F:$I,CONCATENATE($B77,I$68,"W"))+COUNTIFS(Database!$F:$I,CONCATENATE(I$68,$B77,"W")))/(COUNTIFS(Database!$F:$I,CONCATENATE($B77,I$68,"L"))+COUNTIFS(Database!$F:$I,CONCATENATE(I$68,$B77,"L"))+COUNTIFS(Database!$F:$I,CONCATENATE($B77,I$68,"W"))+COUNTIFS(Database!$F:$I,CONCATENATE(I$68,$B77,"W"))),"-")</f>
        <v>0</v>
      </c>
      <c r="J77" s="122">
        <f>IFERROR((COUNTIFS(Database!$F:$I,CONCATENATE($B77,J$68,"W"))+COUNTIFS(Database!$F:$I,CONCATENATE(J$68,$B77,"W")))/(COUNTIFS(Database!$F:$I,CONCATENATE($B77,J$68,"L"))+COUNTIFS(Database!$F:$I,CONCATENATE(J$68,$B77,"L"))+COUNTIFS(Database!$F:$I,CONCATENATE($B77,J$68,"W"))+COUNTIFS(Database!$F:$I,CONCATENATE(J$68,$B77,"W"))),"-")</f>
        <v>0.4</v>
      </c>
      <c r="K77" s="122" t="str">
        <f>IFERROR((COUNTIFS(Database!$F:$I,CONCATENATE($B77,K$68,"W"))+COUNTIFS(Database!$F:$I,CONCATENATE(K$68,$B77,"W")))/(COUNTIFS(Database!$F:$I,CONCATENATE($B77,K$68,"L"))+COUNTIFS(Database!$F:$I,CONCATENATE(K$68,$B77,"L"))+COUNTIFS(Database!$F:$I,CONCATENATE($B77,K$68,"W"))+COUNTIFS(Database!$F:$I,CONCATENATE(K$68,$B77,"W"))),"-")</f>
        <v>-</v>
      </c>
      <c r="L77" s="122">
        <f>IFERROR((COUNTIFS(Database!$F:$I,CONCATENATE($B77,L$68,"W"))+COUNTIFS(Database!$F:$I,CONCATENATE(L$68,$B77,"W")))/(COUNTIFS(Database!$F:$I,CONCATENATE($B77,L$68,"L"))+COUNTIFS(Database!$F:$I,CONCATENATE(L$68,$B77,"L"))+COUNTIFS(Database!$F:$I,CONCATENATE($B77,L$68,"W"))+COUNTIFS(Database!$F:$I,CONCATENATE(L$68,$B77,"W"))),"-")</f>
        <v>1</v>
      </c>
      <c r="M77" s="122" t="str">
        <f>IFERROR((COUNTIFS(Database!$F:$I,CONCATENATE($B77,M$68,"W"))+COUNTIFS(Database!$F:$I,CONCATENATE(M$68,$B77,"W")))/(COUNTIFS(Database!$F:$I,CONCATENATE($B77,M$68,"L"))+COUNTIFS(Database!$F:$I,CONCATENATE(M$68,$B77,"L"))+COUNTIFS(Database!$F:$I,CONCATENATE($B77,M$68,"W"))+COUNTIFS(Database!$F:$I,CONCATENATE(M$68,$B77,"W"))),"-")</f>
        <v>-</v>
      </c>
      <c r="N77" s="122" t="str">
        <f>IFERROR((COUNTIFS(Database!$F:$I,CONCATENATE($B77,N$68,"W"))+COUNTIFS(Database!$F:$I,CONCATENATE(N$68,$B77,"W")))/(COUNTIFS(Database!$F:$I,CONCATENATE($B77,N$68,"L"))+COUNTIFS(Database!$F:$I,CONCATENATE(N$68,$B77,"L"))+COUNTIFS(Database!$F:$I,CONCATENATE($B77,N$68,"W"))+COUNTIFS(Database!$F:$I,CONCATENATE(N$68,$B77,"W"))),"-")</f>
        <v>-</v>
      </c>
      <c r="O77" s="122">
        <f>IFERROR((COUNTIFS(Database!$F:$I,CONCATENATE($B77,O$68,"W"))+COUNTIFS(Database!$F:$I,CONCATENATE(O$68,$B77,"W")))/(COUNTIFS(Database!$F:$I,CONCATENATE($B77,O$68,"L"))+COUNTIFS(Database!$F:$I,CONCATENATE(O$68,$B77,"L"))+COUNTIFS(Database!$F:$I,CONCATENATE($B77,O$68,"W"))+COUNTIFS(Database!$F:$I,CONCATENATE(O$68,$B77,"W"))),"-")</f>
        <v>0.42857142857142855</v>
      </c>
      <c r="P77" s="122">
        <f>IFERROR((COUNTIFS(Database!$F:$I,CONCATENATE($B77,P$68,"W"))+COUNTIFS(Database!$F:$I,CONCATENATE(P$68,$B77,"W")))/(COUNTIFS(Database!$F:$I,CONCATENATE($B77,P$68,"L"))+COUNTIFS(Database!$F:$I,CONCATENATE(P$68,$B77,"L"))+COUNTIFS(Database!$F:$I,CONCATENATE($B77,P$68,"W"))+COUNTIFS(Database!$F:$I,CONCATENATE(P$68,$B77,"W"))),"-")</f>
        <v>0.5</v>
      </c>
      <c r="Q77" s="122">
        <f>IFERROR((COUNTIFS(Database!$F:$I,CONCATENATE($B77,Q$68,"W"))+COUNTIFS(Database!$F:$I,CONCATENATE(Q$68,$B77,"W")))/(COUNTIFS(Database!$F:$I,CONCATENATE($B77,Q$68,"L"))+COUNTIFS(Database!$F:$I,CONCATENATE(Q$68,$B77,"L"))+COUNTIFS(Database!$F:$I,CONCATENATE($B77,Q$68,"W"))+COUNTIFS(Database!$F:$I,CONCATENATE(Q$68,$B77,"W"))),"-")</f>
        <v>1</v>
      </c>
      <c r="R77" s="122" t="str">
        <f>IFERROR((COUNTIFS(Database!$F:$I,CONCATENATE($B77,R$68,"W"))+COUNTIFS(Database!$F:$I,CONCATENATE(R$68,$B77,"W")))/(COUNTIFS(Database!$F:$I,CONCATENATE($B77,R$68,"L"))+COUNTIFS(Database!$F:$I,CONCATENATE(R$68,$B77,"L"))+COUNTIFS(Database!$F:$I,CONCATENATE($B77,R$68,"W"))+COUNTIFS(Database!$F:$I,CONCATENATE(R$68,$B77,"W"))),"-")</f>
        <v>-</v>
      </c>
      <c r="S77" s="122">
        <f>IFERROR((COUNTIFS(Database!$F:$I,CONCATENATE($B77,S$68,"W"))+COUNTIFS(Database!$F:$I,CONCATENATE(S$68,$B77,"W")))/(COUNTIFS(Database!$F:$I,CONCATENATE($B77,S$68,"L"))+COUNTIFS(Database!$F:$I,CONCATENATE(S$68,$B77,"L"))+COUNTIFS(Database!$F:$I,CONCATENATE($B77,S$68,"W"))+COUNTIFS(Database!$F:$I,CONCATENATE(S$68,$B77,"W"))),"-")</f>
        <v>0</v>
      </c>
      <c r="T77" s="122">
        <f>IFERROR((COUNTIFS(Database!$F:$I,CONCATENATE($B77,T$68,"W"))+COUNTIFS(Database!$F:$I,CONCATENATE(T$68,$B77,"W")))/(COUNTIFS(Database!$F:$I,CONCATENATE($B77,T$68,"L"))+COUNTIFS(Database!$F:$I,CONCATENATE(T$68,$B77,"L"))+COUNTIFS(Database!$F:$I,CONCATENATE($B77,T$68,"W"))+COUNTIFS(Database!$F:$I,CONCATENATE(T$68,$B77,"W"))),"-")</f>
        <v>1</v>
      </c>
      <c r="U77" s="122" t="str">
        <f>IFERROR((COUNTIFS(Database!$F:$I,CONCATENATE($B77,U$68,"W"))+COUNTIFS(Database!$F:$I,CONCATENATE(U$68,$B77,"W")))/(COUNTIFS(Database!$F:$I,CONCATENATE($B77,U$68,"L"))+COUNTIFS(Database!$F:$I,CONCATENATE(U$68,$B77,"L"))+COUNTIFS(Database!$F:$I,CONCATENATE($B77,U$68,"W"))+COUNTIFS(Database!$F:$I,CONCATENATE(U$68,$B77,"W"))),"-")</f>
        <v>-</v>
      </c>
      <c r="V77" s="122" t="str">
        <f>IFERROR((COUNTIFS(Database!$F:$I,CONCATENATE($B77,V$68,"W"))+COUNTIFS(Database!$F:$I,CONCATENATE(V$68,$B77,"W")))/(COUNTIFS(Database!$F:$I,CONCATENATE($B77,V$68,"L"))+COUNTIFS(Database!$F:$I,CONCATENATE(V$68,$B77,"L"))+COUNTIFS(Database!$F:$I,CONCATENATE($B77,V$68,"W"))+COUNTIFS(Database!$F:$I,CONCATENATE(V$68,$B77,"W"))),"-")</f>
        <v>-</v>
      </c>
      <c r="W77" s="122">
        <f>IFERROR((COUNTIFS(Database!$F:$I,CONCATENATE($B77,W$68,"W"))+COUNTIFS(Database!$F:$I,CONCATENATE(W$68,$B77,"W")))/(COUNTIFS(Database!$F:$I,CONCATENATE($B77,W$68,"L"))+COUNTIFS(Database!$F:$I,CONCATENATE(W$68,$B77,"L"))+COUNTIFS(Database!$F:$I,CONCATENATE($B77,W$68,"W"))+COUNTIFS(Database!$F:$I,CONCATENATE(W$68,$B77,"W"))),"-")</f>
        <v>0.5</v>
      </c>
      <c r="X77" s="122" t="str">
        <f>IFERROR((COUNTIFS(Database!$F:$I,CONCATENATE($B77,X$68,"W"))+COUNTIFS(Database!$F:$I,CONCATENATE(X$68,$B77,"W")))/(COUNTIFS(Database!$F:$I,CONCATENATE($B77,X$68,"L"))+COUNTIFS(Database!$F:$I,CONCATENATE(X$68,$B77,"L"))+COUNTIFS(Database!$F:$I,CONCATENATE($B77,X$68,"W"))+COUNTIFS(Database!$F:$I,CONCATENATE(X$68,$B77,"W"))),"-")</f>
        <v>-</v>
      </c>
      <c r="Y77" s="122">
        <f>IFERROR((COUNTIFS(Database!$F:$I,CONCATENATE($B77,Y$68,"W"))+COUNTIFS(Database!$F:$I,CONCATENATE(Y$68,$B77,"W")))/(COUNTIFS(Database!$F:$I,CONCATENATE($B77,Y$68,"L"))+COUNTIFS(Database!$F:$I,CONCATENATE(Y$68,$B77,"L"))+COUNTIFS(Database!$F:$I,CONCATENATE($B77,Y$68,"W"))+COUNTIFS(Database!$F:$I,CONCATENATE(Y$68,$B77,"W"))),"-")</f>
        <v>0</v>
      </c>
      <c r="Z77" s="122" t="str">
        <f>IFERROR((COUNTIFS(Database!$F:$I,CONCATENATE($B77,Z$68,"W"))+COUNTIFS(Database!$F:$I,CONCATENATE(Z$68,$B77,"W")))/(COUNTIFS(Database!$F:$I,CONCATENATE($B77,Z$68,"L"))+COUNTIFS(Database!$F:$I,CONCATENATE(Z$68,$B77,"L"))+COUNTIFS(Database!$F:$I,CONCATENATE($B77,Z$68,"W"))+COUNTIFS(Database!$F:$I,CONCATENATE(Z$68,$B77,"W"))),"-")</f>
        <v>-</v>
      </c>
      <c r="AA77" s="122" t="str">
        <f>IFERROR((COUNTIFS(Database!$F:$I,CONCATENATE($B77,AA$68,"W"))+COUNTIFS(Database!$F:$I,CONCATENATE(AA$68,$B77,"W")))/(COUNTIFS(Database!$F:$I,CONCATENATE($B77,AA$68,"L"))+COUNTIFS(Database!$F:$I,CONCATENATE(AA$68,$B77,"L"))+COUNTIFS(Database!$F:$I,CONCATENATE($B77,AA$68,"W"))+COUNTIFS(Database!$F:$I,CONCATENATE(AA$68,$B77,"W"))),"-")</f>
        <v>-</v>
      </c>
      <c r="AB77" s="122">
        <f>IFERROR((COUNTIFS(Database!$F:$I,CONCATENATE($B77,AB$68,"W"))+COUNTIFS(Database!$F:$I,CONCATENATE(AB$68,$B77,"W")))/(COUNTIFS(Database!$F:$I,CONCATENATE($B77,AB$68,"L"))+COUNTIFS(Database!$F:$I,CONCATENATE(AB$68,$B77,"L"))+COUNTIFS(Database!$F:$I,CONCATENATE($B77,AB$68,"W"))+COUNTIFS(Database!$F:$I,CONCATENATE(AB$68,$B77,"W"))),"-")</f>
        <v>0.25</v>
      </c>
      <c r="AC77" s="122">
        <f>IFERROR((COUNTIFS(Database!$F:$I,CONCATENATE($B77,AC$68,"W"))+COUNTIFS(Database!$F:$I,CONCATENATE(AC$68,$B77,"W")))/(COUNTIFS(Database!$F:$I,CONCATENATE($B77,AC$68,"L"))+COUNTIFS(Database!$F:$I,CONCATENATE(AC$68,$B77,"L"))+COUNTIFS(Database!$F:$I,CONCATENATE($B77,AC$68,"W"))+COUNTIFS(Database!$F:$I,CONCATENATE(AC$68,$B77,"W"))),"-")</f>
        <v>0.42857142857142855</v>
      </c>
      <c r="AD77" s="122" t="str">
        <f>IFERROR((COUNTIFS(Database!$F:$I,CONCATENATE($B77,AD$68,"W"))+COUNTIFS(Database!$F:$I,CONCATENATE(AD$68,$B77,"W")))/(COUNTIFS(Database!$F:$I,CONCATENATE($B77,AD$68,"L"))+COUNTIFS(Database!$F:$I,CONCATENATE(AD$68,$B77,"L"))+COUNTIFS(Database!$F:$I,CONCATENATE($B77,AD$68,"W"))+COUNTIFS(Database!$F:$I,CONCATENATE(AD$68,$B77,"W"))),"-")</f>
        <v>-</v>
      </c>
      <c r="AE77" s="122" t="str">
        <f>IFERROR((COUNTIFS(Database!$F:$I,CONCATENATE($B77,AE$68,"W"))+COUNTIFS(Database!$F:$I,CONCATENATE(AE$68,$B77,"W")))/(COUNTIFS(Database!$F:$I,CONCATENATE($B77,AE$68,"L"))+COUNTIFS(Database!$F:$I,CONCATENATE(AE$68,$B77,"L"))+COUNTIFS(Database!$F:$I,CONCATENATE($B77,AE$68,"W"))+COUNTIFS(Database!$F:$I,CONCATENATE(AE$68,$B77,"W"))),"-")</f>
        <v>-</v>
      </c>
      <c r="AF77" s="122">
        <f>IFERROR((COUNTIFS(Database!$F:$I,CONCATENATE($B77,AF$68,"W"))+COUNTIFS(Database!$F:$I,CONCATENATE(AF$68,$B77,"W")))/(COUNTIFS(Database!$F:$I,CONCATENATE($B77,AF$68,"L"))+COUNTIFS(Database!$F:$I,CONCATENATE(AF$68,$B77,"L"))+COUNTIFS(Database!$F:$I,CONCATENATE($B77,AF$68,"W"))+COUNTIFS(Database!$F:$I,CONCATENATE(AF$68,$B77,"W"))),"-")</f>
        <v>0</v>
      </c>
      <c r="AG77" s="122">
        <f>IFERROR((COUNTIFS(Database!$F:$I,CONCATENATE($B77,AG$68,"W"))+COUNTIFS(Database!$F:$I,CONCATENATE(AG$68,$B77,"W")))/(COUNTIFS(Database!$F:$I,CONCATENATE($B77,AG$68,"L"))+COUNTIFS(Database!$F:$I,CONCATENATE(AG$68,$B77,"L"))+COUNTIFS(Database!$F:$I,CONCATENATE($B77,AG$68,"W"))+COUNTIFS(Database!$F:$I,CONCATENATE(AG$68,$B77,"W"))),"-")</f>
        <v>1</v>
      </c>
      <c r="AH77" s="122" t="str">
        <f>IFERROR((COUNTIFS(Database!$F:$I,CONCATENATE($B77,AH$68,"W"))+COUNTIFS(Database!$F:$I,CONCATENATE(AH$68,$B77,"W")))/(COUNTIFS(Database!$F:$I,CONCATENATE($B77,AH$68,"L"))+COUNTIFS(Database!$F:$I,CONCATENATE(AH$68,$B77,"L"))+COUNTIFS(Database!$F:$I,CONCATENATE($B77,AH$68,"W"))+COUNTIFS(Database!$F:$I,CONCATENATE(AH$68,$B77,"W"))),"-")</f>
        <v>-</v>
      </c>
      <c r="AI77" s="122">
        <f>IFERROR((COUNTIFS(Database!$F:$I,CONCATENATE($B77,AI$68,"W"))+COUNTIFS(Database!$F:$I,CONCATENATE(AI$68,$B77,"W")))/(COUNTIFS(Database!$F:$I,CONCATENATE($B77,AI$68,"L"))+COUNTIFS(Database!$F:$I,CONCATENATE(AI$68,$B77,"L"))+COUNTIFS(Database!$F:$I,CONCATENATE($B77,AI$68,"W"))+COUNTIFS(Database!$F:$I,CONCATENATE(AI$68,$B77,"W"))),"-")</f>
        <v>1</v>
      </c>
      <c r="AJ77" s="122">
        <f>IFERROR((COUNTIFS(Database!$F:$I,CONCATENATE($B77,AJ$68,"W"))+COUNTIFS(Database!$F:$I,CONCATENATE(AJ$68,$B77,"W")))/(COUNTIFS(Database!$F:$I,CONCATENATE($B77,AJ$68,"L"))+COUNTIFS(Database!$F:$I,CONCATENATE(AJ$68,$B77,"L"))+COUNTIFS(Database!$F:$I,CONCATENATE($B77,AJ$68,"W"))+COUNTIFS(Database!$F:$I,CONCATENATE(AJ$68,$B77,"W"))),"-")</f>
        <v>0.33333333333333331</v>
      </c>
      <c r="AK77" s="122">
        <f>IFERROR((COUNTIFS(Database!$F:$I,CONCATENATE($B77,AK$68,"W"))+COUNTIFS(Database!$F:$I,CONCATENATE(AK$68,$B77,"W")))/(COUNTIFS(Database!$F:$I,CONCATENATE($B77,AK$68,"L"))+COUNTIFS(Database!$F:$I,CONCATENATE(AK$68,$B77,"L"))+COUNTIFS(Database!$F:$I,CONCATENATE($B77,AK$68,"W"))+COUNTIFS(Database!$F:$I,CONCATENATE(AK$68,$B77,"W"))),"-")</f>
        <v>0.8</v>
      </c>
      <c r="AL77" s="122">
        <f>IFERROR((COUNTIFS(Database!$F:$I,CONCATENATE($B77,AL$68,"W"))+COUNTIFS(Database!$F:$I,CONCATENATE(AL$68,$B77,"W")))/(COUNTIFS(Database!$F:$I,CONCATENATE($B77,AL$68,"L"))+COUNTIFS(Database!$F:$I,CONCATENATE(AL$68,$B77,"L"))+COUNTIFS(Database!$F:$I,CONCATENATE($B77,AL$68,"W"))+COUNTIFS(Database!$F:$I,CONCATENATE(AL$68,$B77,"W"))),"-")</f>
        <v>0.33333333333333331</v>
      </c>
      <c r="AM77" s="122">
        <f>IFERROR((COUNTIFS(Database!$F:$I,CONCATENATE($B77,AM$68,"W"))+COUNTIFS(Database!$F:$I,CONCATENATE(AM$68,$B77,"W")))/(COUNTIFS(Database!$F:$I,CONCATENATE($B77,AM$68,"L"))+COUNTIFS(Database!$F:$I,CONCATENATE(AM$68,$B77,"L"))+COUNTIFS(Database!$F:$I,CONCATENATE($B77,AM$68,"W"))+COUNTIFS(Database!$F:$I,CONCATENATE(AM$68,$B77,"W"))),"-")</f>
        <v>0</v>
      </c>
      <c r="AN77" s="122" t="str">
        <f>IFERROR((COUNTIFS(Database!$F:$I,CONCATENATE($B77,AN$68,"W"))+COUNTIFS(Database!$F:$I,CONCATENATE(AN$68,$B77,"W")))/(COUNTIFS(Database!$F:$I,CONCATENATE($B77,AN$68,"L"))+COUNTIFS(Database!$F:$I,CONCATENATE(AN$68,$B77,"L"))+COUNTIFS(Database!$F:$I,CONCATENATE($B77,AN$68,"W"))+COUNTIFS(Database!$F:$I,CONCATENATE(AN$68,$B77,"W"))),"-")</f>
        <v>-</v>
      </c>
      <c r="AO77" s="122">
        <f>IFERROR((COUNTIFS(Database!$F:$I,CONCATENATE($B77,AO$68,"W"))+COUNTIFS(Database!$F:$I,CONCATENATE(AO$68,$B77,"W")))/(COUNTIFS(Database!$F:$I,CONCATENATE($B77,AO$68,"L"))+COUNTIFS(Database!$F:$I,CONCATENATE(AO$68,$B77,"L"))+COUNTIFS(Database!$F:$I,CONCATENATE($B77,AO$68,"W"))+COUNTIFS(Database!$F:$I,CONCATENATE(AO$68,$B77,"W"))),"-")</f>
        <v>0.4</v>
      </c>
      <c r="AP77" s="122" t="str">
        <f>IFERROR((COUNTIFS(Database!$F:$I,CONCATENATE($B77,AP$68,"W"))+COUNTIFS(Database!$F:$I,CONCATENATE(AP$68,$B77,"W")))/(COUNTIFS(Database!$F:$I,CONCATENATE($B77,AP$68,"L"))+COUNTIFS(Database!$F:$I,CONCATENATE(AP$68,$B77,"L"))+COUNTIFS(Database!$F:$I,CONCATENATE($B77,AP$68,"W"))+COUNTIFS(Database!$F:$I,CONCATENATE(AP$68,$B77,"W"))),"-")</f>
        <v>-</v>
      </c>
      <c r="AQ77" s="122">
        <f>IFERROR((COUNTIFS(Database!$F:$I,CONCATENATE($B77,AQ$68,"W"))+COUNTIFS(Database!$F:$I,CONCATENATE(AQ$68,$B77,"W")))/(COUNTIFS(Database!$F:$I,CONCATENATE($B77,AQ$68,"L"))+COUNTIFS(Database!$F:$I,CONCATENATE(AQ$68,$B77,"L"))+COUNTIFS(Database!$F:$I,CONCATENATE($B77,AQ$68,"W"))+COUNTIFS(Database!$F:$I,CONCATENATE(AQ$68,$B77,"W"))),"-")</f>
        <v>0.5</v>
      </c>
      <c r="AR77" s="122">
        <f>IFERROR((COUNTIFS(Database!$F:$I,CONCATENATE($B77,AR$68,"W"))+COUNTIFS(Database!$F:$I,CONCATENATE(AR$68,$B77,"W")))/(COUNTIFS(Database!$F:$I,CONCATENATE($B77,AR$68,"L"))+COUNTIFS(Database!$F:$I,CONCATENATE(AR$68,$B77,"L"))+COUNTIFS(Database!$F:$I,CONCATENATE($B77,AR$68,"W"))+COUNTIFS(Database!$F:$I,CONCATENATE(AR$68,$B77,"W"))),"-")</f>
        <v>0.33333333333333331</v>
      </c>
      <c r="AS77" s="122" t="str">
        <f>IFERROR((COUNTIFS(Database!$F:$I,CONCATENATE($B77,AS$68,"W"))+COUNTIFS(Database!$F:$I,CONCATENATE(AS$68,$B77,"W")))/(COUNTIFS(Database!$F:$I,CONCATENATE($B77,AS$68,"L"))+COUNTIFS(Database!$F:$I,CONCATENATE(AS$68,$B77,"L"))+COUNTIFS(Database!$F:$I,CONCATENATE($B77,AS$68,"W"))+COUNTIFS(Database!$F:$I,CONCATENATE(AS$68,$B77,"W"))),"-")</f>
        <v>-</v>
      </c>
      <c r="AT77" s="122" t="str">
        <f>IFERROR((COUNTIFS(Database!$F:$I,CONCATENATE($B77,AT$68,"W"))+COUNTIFS(Database!$F:$I,CONCATENATE(AT$68,$B77,"W")))/(COUNTIFS(Database!$F:$I,CONCATENATE($B77,AT$68,"L"))+COUNTIFS(Database!$F:$I,CONCATENATE(AT$68,$B77,"L"))+COUNTIFS(Database!$F:$I,CONCATENATE($B77,AT$68,"W"))+COUNTIFS(Database!$F:$I,CONCATENATE(AT$68,$B77,"W"))),"-")</f>
        <v>-</v>
      </c>
      <c r="AU77" s="122">
        <f>IFERROR((COUNTIFS(Database!$F:$I,CONCATENATE($B77,AU$68,"W"))+COUNTIFS(Database!$F:$I,CONCATENATE(AU$68,$B77,"W")))/(COUNTIFS(Database!$F:$I,CONCATENATE($B77,AU$68,"L"))+COUNTIFS(Database!$F:$I,CONCATENATE(AU$68,$B77,"L"))+COUNTIFS(Database!$F:$I,CONCATENATE($B77,AU$68,"W"))+COUNTIFS(Database!$F:$I,CONCATENATE(AU$68,$B77,"W"))),"-")</f>
        <v>0.5714285714285714</v>
      </c>
      <c r="AV77" s="122">
        <f>IFERROR((COUNTIFS(Database!$F:$I,CONCATENATE($B77,AV$68,"W"))+COUNTIFS(Database!$F:$I,CONCATENATE(AV$68,$B77,"W")))/(COUNTIFS(Database!$F:$I,CONCATENATE($B77,AV$68,"L"))+COUNTIFS(Database!$F:$I,CONCATENATE(AV$68,$B77,"L"))+COUNTIFS(Database!$F:$I,CONCATENATE($B77,AV$68,"W"))+COUNTIFS(Database!$F:$I,CONCATENATE(AV$68,$B77,"W"))),"-")</f>
        <v>0</v>
      </c>
      <c r="AW77" s="122">
        <f>IFERROR((COUNTIFS(Database!$F:$I,CONCATENATE($B77,AW$68,"W"))+COUNTIFS(Database!$F:$I,CONCATENATE(AW$68,$B77,"W")))/(COUNTIFS(Database!$F:$I,CONCATENATE($B77,AW$68,"L"))+COUNTIFS(Database!$F:$I,CONCATENATE(AW$68,$B77,"L"))+COUNTIFS(Database!$F:$I,CONCATENATE($B77,AW$68,"W"))+COUNTIFS(Database!$F:$I,CONCATENATE(AW$68,$B77,"W"))),"-")</f>
        <v>0.66666666666666663</v>
      </c>
      <c r="AX77" s="122">
        <f>IFERROR((COUNTIFS(Database!$F:$I,CONCATENATE($B77,AX$68,"W"))+COUNTIFS(Database!$F:$I,CONCATENATE(AX$68,$B77,"W")))/(COUNTIFS(Database!$F:$I,CONCATENATE($B77,AX$68,"L"))+COUNTIFS(Database!$F:$I,CONCATENATE(AX$68,$B77,"L"))+COUNTIFS(Database!$F:$I,CONCATENATE($B77,AX$68,"W"))+COUNTIFS(Database!$F:$I,CONCATENATE(AX$68,$B77,"W"))),"-")</f>
        <v>1</v>
      </c>
      <c r="AY77" s="122">
        <f>IFERROR((COUNTIFS(Database!$F:$I,CONCATENATE($B77,AY$68,"W"))+COUNTIFS(Database!$F:$I,CONCATENATE(AY$68,$B77,"W")))/(COUNTIFS(Database!$F:$I,CONCATENATE($B77,AY$68,"L"))+COUNTIFS(Database!$F:$I,CONCATENATE(AY$68,$B77,"L"))+COUNTIFS(Database!$F:$I,CONCATENATE($B77,AY$68,"W"))+COUNTIFS(Database!$F:$I,CONCATENATE(AY$68,$B77,"W"))),"-")</f>
        <v>0.6</v>
      </c>
    </row>
    <row r="78" spans="2:51" x14ac:dyDescent="0.25">
      <c r="B78" s="120" t="s">
        <v>52</v>
      </c>
      <c r="C78" s="122">
        <f>IFERROR((COUNTIFS(Database!$F:$I,CONCATENATE($B78,C$68,"W"))+COUNTIFS(Database!$F:$I,CONCATENATE(C$68,$B78,"W")))/(COUNTIFS(Database!$F:$I,CONCATENATE($B78,C$68,"L"))+COUNTIFS(Database!$F:$I,CONCATENATE(C$68,$B78,"L"))+COUNTIFS(Database!$F:$I,CONCATENATE($B78,C$68,"W"))+COUNTIFS(Database!$F:$I,CONCATENATE(C$68,$B78,"W"))),"-")</f>
        <v>0.66666666666666663</v>
      </c>
      <c r="D78" s="122" t="str">
        <f>IFERROR((COUNTIFS(Database!$F:$I,CONCATENATE($B78,D$68,"W"))+COUNTIFS(Database!$F:$I,CONCATENATE(D$68,$B78,"W")))/(COUNTIFS(Database!$F:$I,CONCATENATE($B78,D$68,"L"))+COUNTIFS(Database!$F:$I,CONCATENATE(D$68,$B78,"L"))+COUNTIFS(Database!$F:$I,CONCATENATE($B78,D$68,"W"))+COUNTIFS(Database!$F:$I,CONCATENATE(D$68,$B78,"W"))),"-")</f>
        <v>-</v>
      </c>
      <c r="E78" s="122">
        <f>IFERROR((COUNTIFS(Database!$F:$I,CONCATENATE($B78,E$68,"W"))+COUNTIFS(Database!$F:$I,CONCATENATE(E$68,$B78,"W")))/(COUNTIFS(Database!$F:$I,CONCATENATE($B78,E$68,"L"))+COUNTIFS(Database!$F:$I,CONCATENATE(E$68,$B78,"L"))+COUNTIFS(Database!$F:$I,CONCATENATE($B78,E$68,"W"))+COUNTIFS(Database!$F:$I,CONCATENATE(E$68,$B78,"W"))),"-")</f>
        <v>0</v>
      </c>
      <c r="F78" s="122">
        <f>IFERROR((COUNTIFS(Database!$F:$I,CONCATENATE($B78,F$68,"W"))+COUNTIFS(Database!$F:$I,CONCATENATE(F$68,$B78,"W")))/(COUNTIFS(Database!$F:$I,CONCATENATE($B78,F$68,"L"))+COUNTIFS(Database!$F:$I,CONCATENATE(F$68,$B78,"L"))+COUNTIFS(Database!$F:$I,CONCATENATE($B78,F$68,"W"))+COUNTIFS(Database!$F:$I,CONCATENATE(F$68,$B78,"W"))),"-")</f>
        <v>0</v>
      </c>
      <c r="G78" s="122" t="str">
        <f>IFERROR((COUNTIFS(Database!$F:$I,CONCATENATE($B78,G$68,"W"))+COUNTIFS(Database!$F:$I,CONCATENATE(G$68,$B78,"W")))/(COUNTIFS(Database!$F:$I,CONCATENATE($B78,G$68,"L"))+COUNTIFS(Database!$F:$I,CONCATENATE(G$68,$B78,"L"))+COUNTIFS(Database!$F:$I,CONCATENATE($B78,G$68,"W"))+COUNTIFS(Database!$F:$I,CONCATENATE(G$68,$B78,"W"))),"-")</f>
        <v>-</v>
      </c>
      <c r="H78" s="122" t="str">
        <f>IFERROR((COUNTIFS(Database!$F:$I,CONCATENATE($B78,H$68,"W"))+COUNTIFS(Database!$F:$I,CONCATENATE(H$68,$B78,"W")))/(COUNTIFS(Database!$F:$I,CONCATENATE($B78,H$68,"L"))+COUNTIFS(Database!$F:$I,CONCATENATE(H$68,$B78,"L"))+COUNTIFS(Database!$F:$I,CONCATENATE($B78,H$68,"W"))+COUNTIFS(Database!$F:$I,CONCATENATE(H$68,$B78,"W"))),"-")</f>
        <v>-</v>
      </c>
      <c r="I78" s="122" t="str">
        <f>IFERROR((COUNTIFS(Database!$F:$I,CONCATENATE($B78,I$68,"W"))+COUNTIFS(Database!$F:$I,CONCATENATE(I$68,$B78,"W")))/(COUNTIFS(Database!$F:$I,CONCATENATE($B78,I$68,"L"))+COUNTIFS(Database!$F:$I,CONCATENATE(I$68,$B78,"L"))+COUNTIFS(Database!$F:$I,CONCATENATE($B78,I$68,"W"))+COUNTIFS(Database!$F:$I,CONCATENATE(I$68,$B78,"W"))),"-")</f>
        <v>-</v>
      </c>
      <c r="J78" s="122">
        <f>IFERROR((COUNTIFS(Database!$F:$I,CONCATENATE($B78,J$68,"W"))+COUNTIFS(Database!$F:$I,CONCATENATE(J$68,$B78,"W")))/(COUNTIFS(Database!$F:$I,CONCATENATE($B78,J$68,"L"))+COUNTIFS(Database!$F:$I,CONCATENATE(J$68,$B78,"L"))+COUNTIFS(Database!$F:$I,CONCATENATE($B78,J$68,"W"))+COUNTIFS(Database!$F:$I,CONCATENATE(J$68,$B78,"W"))),"-")</f>
        <v>1</v>
      </c>
      <c r="K78" s="122">
        <f>IFERROR((COUNTIFS(Database!$F:$I,CONCATENATE($B78,K$68,"W"))+COUNTIFS(Database!$F:$I,CONCATENATE(K$68,$B78,"W")))/(COUNTIFS(Database!$F:$I,CONCATENATE($B78,K$68,"L"))+COUNTIFS(Database!$F:$I,CONCATENATE(K$68,$B78,"L"))+COUNTIFS(Database!$F:$I,CONCATENATE($B78,K$68,"W"))+COUNTIFS(Database!$F:$I,CONCATENATE(K$68,$B78,"W"))),"-")</f>
        <v>1</v>
      </c>
      <c r="L78" s="122" t="str">
        <f>IFERROR((COUNTIFS(Database!$F:$I,CONCATENATE($B78,L$68,"W"))+COUNTIFS(Database!$F:$I,CONCATENATE(L$68,$B78,"W")))/(COUNTIFS(Database!$F:$I,CONCATENATE($B78,L$68,"L"))+COUNTIFS(Database!$F:$I,CONCATENATE(L$68,$B78,"L"))+COUNTIFS(Database!$F:$I,CONCATENATE($B78,L$68,"W"))+COUNTIFS(Database!$F:$I,CONCATENATE(L$68,$B78,"W"))),"-")</f>
        <v>-</v>
      </c>
      <c r="M78" s="122" t="str">
        <f>IFERROR((COUNTIFS(Database!$F:$I,CONCATENATE($B78,M$68,"W"))+COUNTIFS(Database!$F:$I,CONCATENATE(M$68,$B78,"W")))/(COUNTIFS(Database!$F:$I,CONCATENATE($B78,M$68,"L"))+COUNTIFS(Database!$F:$I,CONCATENATE(M$68,$B78,"L"))+COUNTIFS(Database!$F:$I,CONCATENATE($B78,M$68,"W"))+COUNTIFS(Database!$F:$I,CONCATENATE(M$68,$B78,"W"))),"-")</f>
        <v>-</v>
      </c>
      <c r="N78" s="122">
        <f>IFERROR((COUNTIFS(Database!$F:$I,CONCATENATE($B78,N$68,"W"))+COUNTIFS(Database!$F:$I,CONCATENATE(N$68,$B78,"W")))/(COUNTIFS(Database!$F:$I,CONCATENATE($B78,N$68,"L"))+COUNTIFS(Database!$F:$I,CONCATENATE(N$68,$B78,"L"))+COUNTIFS(Database!$F:$I,CONCATENATE($B78,N$68,"W"))+COUNTIFS(Database!$F:$I,CONCATENATE(N$68,$B78,"W"))),"-")</f>
        <v>0.5</v>
      </c>
      <c r="O78" s="122">
        <f>IFERROR((COUNTIFS(Database!$F:$I,CONCATENATE($B78,O$68,"W"))+COUNTIFS(Database!$F:$I,CONCATENATE(O$68,$B78,"W")))/(COUNTIFS(Database!$F:$I,CONCATENATE($B78,O$68,"L"))+COUNTIFS(Database!$F:$I,CONCATENATE(O$68,$B78,"L"))+COUNTIFS(Database!$F:$I,CONCATENATE($B78,O$68,"W"))+COUNTIFS(Database!$F:$I,CONCATENATE(O$68,$B78,"W"))),"-")</f>
        <v>0.33333333333333331</v>
      </c>
      <c r="P78" s="122">
        <f>IFERROR((COUNTIFS(Database!$F:$I,CONCATENATE($B78,P$68,"W"))+COUNTIFS(Database!$F:$I,CONCATENATE(P$68,$B78,"W")))/(COUNTIFS(Database!$F:$I,CONCATENATE($B78,P$68,"L"))+COUNTIFS(Database!$F:$I,CONCATENATE(P$68,$B78,"L"))+COUNTIFS(Database!$F:$I,CONCATENATE($B78,P$68,"W"))+COUNTIFS(Database!$F:$I,CONCATENATE(P$68,$B78,"W"))),"-")</f>
        <v>1</v>
      </c>
      <c r="Q78" s="122" t="str">
        <f>IFERROR((COUNTIFS(Database!$F:$I,CONCATENATE($B78,Q$68,"W"))+COUNTIFS(Database!$F:$I,CONCATENATE(Q$68,$B78,"W")))/(COUNTIFS(Database!$F:$I,CONCATENATE($B78,Q$68,"L"))+COUNTIFS(Database!$F:$I,CONCATENATE(Q$68,$B78,"L"))+COUNTIFS(Database!$F:$I,CONCATENATE($B78,Q$68,"W"))+COUNTIFS(Database!$F:$I,CONCATENATE(Q$68,$B78,"W"))),"-")</f>
        <v>-</v>
      </c>
      <c r="R78" s="122" t="str">
        <f>IFERROR((COUNTIFS(Database!$F:$I,CONCATENATE($B78,R$68,"W"))+COUNTIFS(Database!$F:$I,CONCATENATE(R$68,$B78,"W")))/(COUNTIFS(Database!$F:$I,CONCATENATE($B78,R$68,"L"))+COUNTIFS(Database!$F:$I,CONCATENATE(R$68,$B78,"L"))+COUNTIFS(Database!$F:$I,CONCATENATE($B78,R$68,"W"))+COUNTIFS(Database!$F:$I,CONCATENATE(R$68,$B78,"W"))),"-")</f>
        <v>-</v>
      </c>
      <c r="S78" s="122">
        <f>IFERROR((COUNTIFS(Database!$F:$I,CONCATENATE($B78,S$68,"W"))+COUNTIFS(Database!$F:$I,CONCATENATE(S$68,$B78,"W")))/(COUNTIFS(Database!$F:$I,CONCATENATE($B78,S$68,"L"))+COUNTIFS(Database!$F:$I,CONCATENATE(S$68,$B78,"L"))+COUNTIFS(Database!$F:$I,CONCATENATE($B78,S$68,"W"))+COUNTIFS(Database!$F:$I,CONCATENATE(S$68,$B78,"W"))),"-")</f>
        <v>0</v>
      </c>
      <c r="T78" s="122" t="str">
        <f>IFERROR((COUNTIFS(Database!$F:$I,CONCATENATE($B78,T$68,"W"))+COUNTIFS(Database!$F:$I,CONCATENATE(T$68,$B78,"W")))/(COUNTIFS(Database!$F:$I,CONCATENATE($B78,T$68,"L"))+COUNTIFS(Database!$F:$I,CONCATENATE(T$68,$B78,"L"))+COUNTIFS(Database!$F:$I,CONCATENATE($B78,T$68,"W"))+COUNTIFS(Database!$F:$I,CONCATENATE(T$68,$B78,"W"))),"-")</f>
        <v>-</v>
      </c>
      <c r="U78" s="122" t="str">
        <f>IFERROR((COUNTIFS(Database!$F:$I,CONCATENATE($B78,U$68,"W"))+COUNTIFS(Database!$F:$I,CONCATENATE(U$68,$B78,"W")))/(COUNTIFS(Database!$F:$I,CONCATENATE($B78,U$68,"L"))+COUNTIFS(Database!$F:$I,CONCATENATE(U$68,$B78,"L"))+COUNTIFS(Database!$F:$I,CONCATENATE($B78,U$68,"W"))+COUNTIFS(Database!$F:$I,CONCATENATE(U$68,$B78,"W"))),"-")</f>
        <v>-</v>
      </c>
      <c r="V78" s="122" t="str">
        <f>IFERROR((COUNTIFS(Database!$F:$I,CONCATENATE($B78,V$68,"W"))+COUNTIFS(Database!$F:$I,CONCATENATE(V$68,$B78,"W")))/(COUNTIFS(Database!$F:$I,CONCATENATE($B78,V$68,"L"))+COUNTIFS(Database!$F:$I,CONCATENATE(V$68,$B78,"L"))+COUNTIFS(Database!$F:$I,CONCATENATE($B78,V$68,"W"))+COUNTIFS(Database!$F:$I,CONCATENATE(V$68,$B78,"W"))),"-")</f>
        <v>-</v>
      </c>
      <c r="W78" s="122">
        <f>IFERROR((COUNTIFS(Database!$F:$I,CONCATENATE($B78,W$68,"W"))+COUNTIFS(Database!$F:$I,CONCATENATE(W$68,$B78,"W")))/(COUNTIFS(Database!$F:$I,CONCATENATE($B78,W$68,"L"))+COUNTIFS(Database!$F:$I,CONCATENATE(W$68,$B78,"L"))+COUNTIFS(Database!$F:$I,CONCATENATE($B78,W$68,"W"))+COUNTIFS(Database!$F:$I,CONCATENATE(W$68,$B78,"W"))),"-")</f>
        <v>1</v>
      </c>
      <c r="X78" s="122" t="str">
        <f>IFERROR((COUNTIFS(Database!$F:$I,CONCATENATE($B78,X$68,"W"))+COUNTIFS(Database!$F:$I,CONCATENATE(X$68,$B78,"W")))/(COUNTIFS(Database!$F:$I,CONCATENATE($B78,X$68,"L"))+COUNTIFS(Database!$F:$I,CONCATENATE(X$68,$B78,"L"))+COUNTIFS(Database!$F:$I,CONCATENATE($B78,X$68,"W"))+COUNTIFS(Database!$F:$I,CONCATENATE(X$68,$B78,"W"))),"-")</f>
        <v>-</v>
      </c>
      <c r="Y78" s="122">
        <f>IFERROR((COUNTIFS(Database!$F:$I,CONCATENATE($B78,Y$68,"W"))+COUNTIFS(Database!$F:$I,CONCATENATE(Y$68,$B78,"W")))/(COUNTIFS(Database!$F:$I,CONCATENATE($B78,Y$68,"L"))+COUNTIFS(Database!$F:$I,CONCATENATE(Y$68,$B78,"L"))+COUNTIFS(Database!$F:$I,CONCATENATE($B78,Y$68,"W"))+COUNTIFS(Database!$F:$I,CONCATENATE(Y$68,$B78,"W"))),"-")</f>
        <v>0</v>
      </c>
      <c r="Z78" s="122" t="str">
        <f>IFERROR((COUNTIFS(Database!$F:$I,CONCATENATE($B78,Z$68,"W"))+COUNTIFS(Database!$F:$I,CONCATENATE(Z$68,$B78,"W")))/(COUNTIFS(Database!$F:$I,CONCATENATE($B78,Z$68,"L"))+COUNTIFS(Database!$F:$I,CONCATENATE(Z$68,$B78,"L"))+COUNTIFS(Database!$F:$I,CONCATENATE($B78,Z$68,"W"))+COUNTIFS(Database!$F:$I,CONCATENATE(Z$68,$B78,"W"))),"-")</f>
        <v>-</v>
      </c>
      <c r="AA78" s="122">
        <f>IFERROR((COUNTIFS(Database!$F:$I,CONCATENATE($B78,AA$68,"W"))+COUNTIFS(Database!$F:$I,CONCATENATE(AA$68,$B78,"W")))/(COUNTIFS(Database!$F:$I,CONCATENATE($B78,AA$68,"L"))+COUNTIFS(Database!$F:$I,CONCATENATE(AA$68,$B78,"L"))+COUNTIFS(Database!$F:$I,CONCATENATE($B78,AA$68,"W"))+COUNTIFS(Database!$F:$I,CONCATENATE(AA$68,$B78,"W"))),"-")</f>
        <v>1</v>
      </c>
      <c r="AB78" s="122">
        <f>IFERROR((COUNTIFS(Database!$F:$I,CONCATENATE($B78,AB$68,"W"))+COUNTIFS(Database!$F:$I,CONCATENATE(AB$68,$B78,"W")))/(COUNTIFS(Database!$F:$I,CONCATENATE($B78,AB$68,"L"))+COUNTIFS(Database!$F:$I,CONCATENATE(AB$68,$B78,"L"))+COUNTIFS(Database!$F:$I,CONCATENATE($B78,AB$68,"W"))+COUNTIFS(Database!$F:$I,CONCATENATE(AB$68,$B78,"W"))),"-")</f>
        <v>0.66666666666666663</v>
      </c>
      <c r="AC78" s="122">
        <f>IFERROR((COUNTIFS(Database!$F:$I,CONCATENATE($B78,AC$68,"W"))+COUNTIFS(Database!$F:$I,CONCATENATE(AC$68,$B78,"W")))/(COUNTIFS(Database!$F:$I,CONCATENATE($B78,AC$68,"L"))+COUNTIFS(Database!$F:$I,CONCATENATE(AC$68,$B78,"L"))+COUNTIFS(Database!$F:$I,CONCATENATE($B78,AC$68,"W"))+COUNTIFS(Database!$F:$I,CONCATENATE(AC$68,$B78,"W"))),"-")</f>
        <v>0</v>
      </c>
      <c r="AD78" s="122" t="str">
        <f>IFERROR((COUNTIFS(Database!$F:$I,CONCATENATE($B78,AD$68,"W"))+COUNTIFS(Database!$F:$I,CONCATENATE(AD$68,$B78,"W")))/(COUNTIFS(Database!$F:$I,CONCATENATE($B78,AD$68,"L"))+COUNTIFS(Database!$F:$I,CONCATENATE(AD$68,$B78,"L"))+COUNTIFS(Database!$F:$I,CONCATENATE($B78,AD$68,"W"))+COUNTIFS(Database!$F:$I,CONCATENATE(AD$68,$B78,"W"))),"-")</f>
        <v>-</v>
      </c>
      <c r="AE78" s="122" t="str">
        <f>IFERROR((COUNTIFS(Database!$F:$I,CONCATENATE($B78,AE$68,"W"))+COUNTIFS(Database!$F:$I,CONCATENATE(AE$68,$B78,"W")))/(COUNTIFS(Database!$F:$I,CONCATENATE($B78,AE$68,"L"))+COUNTIFS(Database!$F:$I,CONCATENATE(AE$68,$B78,"L"))+COUNTIFS(Database!$F:$I,CONCATENATE($B78,AE$68,"W"))+COUNTIFS(Database!$F:$I,CONCATENATE(AE$68,$B78,"W"))),"-")</f>
        <v>-</v>
      </c>
      <c r="AF78" s="122" t="str">
        <f>IFERROR((COUNTIFS(Database!$F:$I,CONCATENATE($B78,AF$68,"W"))+COUNTIFS(Database!$F:$I,CONCATENATE(AF$68,$B78,"W")))/(COUNTIFS(Database!$F:$I,CONCATENATE($B78,AF$68,"L"))+COUNTIFS(Database!$F:$I,CONCATENATE(AF$68,$B78,"L"))+COUNTIFS(Database!$F:$I,CONCATENATE($B78,AF$68,"W"))+COUNTIFS(Database!$F:$I,CONCATENATE(AF$68,$B78,"W"))),"-")</f>
        <v>-</v>
      </c>
      <c r="AG78" s="122" t="str">
        <f>IFERROR((COUNTIFS(Database!$F:$I,CONCATENATE($B78,AG$68,"W"))+COUNTIFS(Database!$F:$I,CONCATENATE(AG$68,$B78,"W")))/(COUNTIFS(Database!$F:$I,CONCATENATE($B78,AG$68,"L"))+COUNTIFS(Database!$F:$I,CONCATENATE(AG$68,$B78,"L"))+COUNTIFS(Database!$F:$I,CONCATENATE($B78,AG$68,"W"))+COUNTIFS(Database!$F:$I,CONCATENATE(AG$68,$B78,"W"))),"-")</f>
        <v>-</v>
      </c>
      <c r="AH78" s="122" t="str">
        <f>IFERROR((COUNTIFS(Database!$F:$I,CONCATENATE($B78,AH$68,"W"))+COUNTIFS(Database!$F:$I,CONCATENATE(AH$68,$B78,"W")))/(COUNTIFS(Database!$F:$I,CONCATENATE($B78,AH$68,"L"))+COUNTIFS(Database!$F:$I,CONCATENATE(AH$68,$B78,"L"))+COUNTIFS(Database!$F:$I,CONCATENATE($B78,AH$68,"W"))+COUNTIFS(Database!$F:$I,CONCATENATE(AH$68,$B78,"W"))),"-")</f>
        <v>-</v>
      </c>
      <c r="AI78" s="122" t="str">
        <f>IFERROR((COUNTIFS(Database!$F:$I,CONCATENATE($B78,AI$68,"W"))+COUNTIFS(Database!$F:$I,CONCATENATE(AI$68,$B78,"W")))/(COUNTIFS(Database!$F:$I,CONCATENATE($B78,AI$68,"L"))+COUNTIFS(Database!$F:$I,CONCATENATE(AI$68,$B78,"L"))+COUNTIFS(Database!$F:$I,CONCATENATE($B78,AI$68,"W"))+COUNTIFS(Database!$F:$I,CONCATENATE(AI$68,$B78,"W"))),"-")</f>
        <v>-</v>
      </c>
      <c r="AJ78" s="122">
        <f>IFERROR((COUNTIFS(Database!$F:$I,CONCATENATE($B78,AJ$68,"W"))+COUNTIFS(Database!$F:$I,CONCATENATE(AJ$68,$B78,"W")))/(COUNTIFS(Database!$F:$I,CONCATENATE($B78,AJ$68,"L"))+COUNTIFS(Database!$F:$I,CONCATENATE(AJ$68,$B78,"L"))+COUNTIFS(Database!$F:$I,CONCATENATE($B78,AJ$68,"W"))+COUNTIFS(Database!$F:$I,CONCATENATE(AJ$68,$B78,"W"))),"-")</f>
        <v>0</v>
      </c>
      <c r="AK78" s="122">
        <f>IFERROR((COUNTIFS(Database!$F:$I,CONCATENATE($B78,AK$68,"W"))+COUNTIFS(Database!$F:$I,CONCATENATE(AK$68,$B78,"W")))/(COUNTIFS(Database!$F:$I,CONCATENATE($B78,AK$68,"L"))+COUNTIFS(Database!$F:$I,CONCATENATE(AK$68,$B78,"L"))+COUNTIFS(Database!$F:$I,CONCATENATE($B78,AK$68,"W"))+COUNTIFS(Database!$F:$I,CONCATENATE(AK$68,$B78,"W"))),"-")</f>
        <v>1</v>
      </c>
      <c r="AL78" s="122" t="str">
        <f>IFERROR((COUNTIFS(Database!$F:$I,CONCATENATE($B78,AL$68,"W"))+COUNTIFS(Database!$F:$I,CONCATENATE(AL$68,$B78,"W")))/(COUNTIFS(Database!$F:$I,CONCATENATE($B78,AL$68,"L"))+COUNTIFS(Database!$F:$I,CONCATENATE(AL$68,$B78,"L"))+COUNTIFS(Database!$F:$I,CONCATENATE($B78,AL$68,"W"))+COUNTIFS(Database!$F:$I,CONCATENATE(AL$68,$B78,"W"))),"-")</f>
        <v>-</v>
      </c>
      <c r="AM78" s="122" t="str">
        <f>IFERROR((COUNTIFS(Database!$F:$I,CONCATENATE($B78,AM$68,"W"))+COUNTIFS(Database!$F:$I,CONCATENATE(AM$68,$B78,"W")))/(COUNTIFS(Database!$F:$I,CONCATENATE($B78,AM$68,"L"))+COUNTIFS(Database!$F:$I,CONCATENATE(AM$68,$B78,"L"))+COUNTIFS(Database!$F:$I,CONCATENATE($B78,AM$68,"W"))+COUNTIFS(Database!$F:$I,CONCATENATE(AM$68,$B78,"W"))),"-")</f>
        <v>-</v>
      </c>
      <c r="AN78" s="122" t="str">
        <f>IFERROR((COUNTIFS(Database!$F:$I,CONCATENATE($B78,AN$68,"W"))+COUNTIFS(Database!$F:$I,CONCATENATE(AN$68,$B78,"W")))/(COUNTIFS(Database!$F:$I,CONCATENATE($B78,AN$68,"L"))+COUNTIFS(Database!$F:$I,CONCATENATE(AN$68,$B78,"L"))+COUNTIFS(Database!$F:$I,CONCATENATE($B78,AN$68,"W"))+COUNTIFS(Database!$F:$I,CONCATENATE(AN$68,$B78,"W"))),"-")</f>
        <v>-</v>
      </c>
      <c r="AO78" s="122" t="str">
        <f>IFERROR((COUNTIFS(Database!$F:$I,CONCATENATE($B78,AO$68,"W"))+COUNTIFS(Database!$F:$I,CONCATENATE(AO$68,$B78,"W")))/(COUNTIFS(Database!$F:$I,CONCATENATE($B78,AO$68,"L"))+COUNTIFS(Database!$F:$I,CONCATENATE(AO$68,$B78,"L"))+COUNTIFS(Database!$F:$I,CONCATENATE($B78,AO$68,"W"))+COUNTIFS(Database!$F:$I,CONCATENATE(AO$68,$B78,"W"))),"-")</f>
        <v>-</v>
      </c>
      <c r="AP78" s="122" t="str">
        <f>IFERROR((COUNTIFS(Database!$F:$I,CONCATENATE($B78,AP$68,"W"))+COUNTIFS(Database!$F:$I,CONCATENATE(AP$68,$B78,"W")))/(COUNTIFS(Database!$F:$I,CONCATENATE($B78,AP$68,"L"))+COUNTIFS(Database!$F:$I,CONCATENATE(AP$68,$B78,"L"))+COUNTIFS(Database!$F:$I,CONCATENATE($B78,AP$68,"W"))+COUNTIFS(Database!$F:$I,CONCATENATE(AP$68,$B78,"W"))),"-")</f>
        <v>-</v>
      </c>
      <c r="AQ78" s="122" t="str">
        <f>IFERROR((COUNTIFS(Database!$F:$I,CONCATENATE($B78,AQ$68,"W"))+COUNTIFS(Database!$F:$I,CONCATENATE(AQ$68,$B78,"W")))/(COUNTIFS(Database!$F:$I,CONCATENATE($B78,AQ$68,"L"))+COUNTIFS(Database!$F:$I,CONCATENATE(AQ$68,$B78,"L"))+COUNTIFS(Database!$F:$I,CONCATENATE($B78,AQ$68,"W"))+COUNTIFS(Database!$F:$I,CONCATENATE(AQ$68,$B78,"W"))),"-")</f>
        <v>-</v>
      </c>
      <c r="AR78" s="122">
        <f>IFERROR((COUNTIFS(Database!$F:$I,CONCATENATE($B78,AR$68,"W"))+COUNTIFS(Database!$F:$I,CONCATENATE(AR$68,$B78,"W")))/(COUNTIFS(Database!$F:$I,CONCATENATE($B78,AR$68,"L"))+COUNTIFS(Database!$F:$I,CONCATENATE(AR$68,$B78,"L"))+COUNTIFS(Database!$F:$I,CONCATENATE($B78,AR$68,"W"))+COUNTIFS(Database!$F:$I,CONCATENATE(AR$68,$B78,"W"))),"-")</f>
        <v>0.75</v>
      </c>
      <c r="AS78" s="122" t="str">
        <f>IFERROR((COUNTIFS(Database!$F:$I,CONCATENATE($B78,AS$68,"W"))+COUNTIFS(Database!$F:$I,CONCATENATE(AS$68,$B78,"W")))/(COUNTIFS(Database!$F:$I,CONCATENATE($B78,AS$68,"L"))+COUNTIFS(Database!$F:$I,CONCATENATE(AS$68,$B78,"L"))+COUNTIFS(Database!$F:$I,CONCATENATE($B78,AS$68,"W"))+COUNTIFS(Database!$F:$I,CONCATENATE(AS$68,$B78,"W"))),"-")</f>
        <v>-</v>
      </c>
      <c r="AT78" s="122" t="str">
        <f>IFERROR((COUNTIFS(Database!$F:$I,CONCATENATE($B78,AT$68,"W"))+COUNTIFS(Database!$F:$I,CONCATENATE(AT$68,$B78,"W")))/(COUNTIFS(Database!$F:$I,CONCATENATE($B78,AT$68,"L"))+COUNTIFS(Database!$F:$I,CONCATENATE(AT$68,$B78,"L"))+COUNTIFS(Database!$F:$I,CONCATENATE($B78,AT$68,"W"))+COUNTIFS(Database!$F:$I,CONCATENATE(AT$68,$B78,"W"))),"-")</f>
        <v>-</v>
      </c>
      <c r="AU78" s="122" t="str">
        <f>IFERROR((COUNTIFS(Database!$F:$I,CONCATENATE($B78,AU$68,"W"))+COUNTIFS(Database!$F:$I,CONCATENATE(AU$68,$B78,"W")))/(COUNTIFS(Database!$F:$I,CONCATENATE($B78,AU$68,"L"))+COUNTIFS(Database!$F:$I,CONCATENATE(AU$68,$B78,"L"))+COUNTIFS(Database!$F:$I,CONCATENATE($B78,AU$68,"W"))+COUNTIFS(Database!$F:$I,CONCATENATE(AU$68,$B78,"W"))),"-")</f>
        <v>-</v>
      </c>
      <c r="AV78" s="122" t="str">
        <f>IFERROR((COUNTIFS(Database!$F:$I,CONCATENATE($B78,AV$68,"W"))+COUNTIFS(Database!$F:$I,CONCATENATE(AV$68,$B78,"W")))/(COUNTIFS(Database!$F:$I,CONCATENATE($B78,AV$68,"L"))+COUNTIFS(Database!$F:$I,CONCATENATE(AV$68,$B78,"L"))+COUNTIFS(Database!$F:$I,CONCATENATE($B78,AV$68,"W"))+COUNTIFS(Database!$F:$I,CONCATENATE(AV$68,$B78,"W"))),"-")</f>
        <v>-</v>
      </c>
      <c r="AW78" s="122">
        <f>IFERROR((COUNTIFS(Database!$F:$I,CONCATENATE($B78,AW$68,"W"))+COUNTIFS(Database!$F:$I,CONCATENATE(AW$68,$B78,"W")))/(COUNTIFS(Database!$F:$I,CONCATENATE($B78,AW$68,"L"))+COUNTIFS(Database!$F:$I,CONCATENATE(AW$68,$B78,"L"))+COUNTIFS(Database!$F:$I,CONCATENATE($B78,AW$68,"W"))+COUNTIFS(Database!$F:$I,CONCATENATE(AW$68,$B78,"W"))),"-")</f>
        <v>0</v>
      </c>
      <c r="AX78" s="122" t="str">
        <f>IFERROR((COUNTIFS(Database!$F:$I,CONCATENATE($B78,AX$68,"W"))+COUNTIFS(Database!$F:$I,CONCATENATE(AX$68,$B78,"W")))/(COUNTIFS(Database!$F:$I,CONCATENATE($B78,AX$68,"L"))+COUNTIFS(Database!$F:$I,CONCATENATE(AX$68,$B78,"L"))+COUNTIFS(Database!$F:$I,CONCATENATE($B78,AX$68,"W"))+COUNTIFS(Database!$F:$I,CONCATENATE(AX$68,$B78,"W"))),"-")</f>
        <v>-</v>
      </c>
      <c r="AY78" s="122">
        <f>IFERROR((COUNTIFS(Database!$F:$I,CONCATENATE($B78,AY$68,"W"))+COUNTIFS(Database!$F:$I,CONCATENATE(AY$68,$B78,"W")))/(COUNTIFS(Database!$F:$I,CONCATENATE($B78,AY$68,"L"))+COUNTIFS(Database!$F:$I,CONCATENATE(AY$68,$B78,"L"))+COUNTIFS(Database!$F:$I,CONCATENATE($B78,AY$68,"W"))+COUNTIFS(Database!$F:$I,CONCATENATE(AY$68,$B78,"W"))),"-")</f>
        <v>1</v>
      </c>
    </row>
    <row r="79" spans="2:51" x14ac:dyDescent="0.25">
      <c r="B79" s="120" t="s">
        <v>15</v>
      </c>
      <c r="C79" s="122">
        <f>IFERROR((COUNTIFS(Database!$F:$I,CONCATENATE($B79,C$68,"W"))+COUNTIFS(Database!$F:$I,CONCATENATE(C$68,$B79,"W")))/(COUNTIFS(Database!$F:$I,CONCATENATE($B79,C$68,"L"))+COUNTIFS(Database!$F:$I,CONCATENATE(C$68,$B79,"L"))+COUNTIFS(Database!$F:$I,CONCATENATE($B79,C$68,"W"))+COUNTIFS(Database!$F:$I,CONCATENATE(C$68,$B79,"W"))),"-")</f>
        <v>1</v>
      </c>
      <c r="D79" s="122" t="str">
        <f>IFERROR((COUNTIFS(Database!$F:$I,CONCATENATE($B79,D$68,"W"))+COUNTIFS(Database!$F:$I,CONCATENATE(D$68,$B79,"W")))/(COUNTIFS(Database!$F:$I,CONCATENATE($B79,D$68,"L"))+COUNTIFS(Database!$F:$I,CONCATENATE(D$68,$B79,"L"))+COUNTIFS(Database!$F:$I,CONCATENATE($B79,D$68,"W"))+COUNTIFS(Database!$F:$I,CONCATENATE(D$68,$B79,"W"))),"-")</f>
        <v>-</v>
      </c>
      <c r="E79" s="122">
        <f>IFERROR((COUNTIFS(Database!$F:$I,CONCATENATE($B79,E$68,"W"))+COUNTIFS(Database!$F:$I,CONCATENATE(E$68,$B79,"W")))/(COUNTIFS(Database!$F:$I,CONCATENATE($B79,E$68,"L"))+COUNTIFS(Database!$F:$I,CONCATENATE(E$68,$B79,"L"))+COUNTIFS(Database!$F:$I,CONCATENATE($B79,E$68,"W"))+COUNTIFS(Database!$F:$I,CONCATENATE(E$68,$B79,"W"))),"-")</f>
        <v>1</v>
      </c>
      <c r="F79" s="122" t="str">
        <f>IFERROR((COUNTIFS(Database!$F:$I,CONCATENATE($B79,F$68,"W"))+COUNTIFS(Database!$F:$I,CONCATENATE(F$68,$B79,"W")))/(COUNTIFS(Database!$F:$I,CONCATENATE($B79,F$68,"L"))+COUNTIFS(Database!$F:$I,CONCATENATE(F$68,$B79,"L"))+COUNTIFS(Database!$F:$I,CONCATENATE($B79,F$68,"W"))+COUNTIFS(Database!$F:$I,CONCATENATE(F$68,$B79,"W"))),"-")</f>
        <v>-</v>
      </c>
      <c r="G79" s="122" t="str">
        <f>IFERROR((COUNTIFS(Database!$F:$I,CONCATENATE($B79,G$68,"W"))+COUNTIFS(Database!$F:$I,CONCATENATE(G$68,$B79,"W")))/(COUNTIFS(Database!$F:$I,CONCATENATE($B79,G$68,"L"))+COUNTIFS(Database!$F:$I,CONCATENATE(G$68,$B79,"L"))+COUNTIFS(Database!$F:$I,CONCATENATE($B79,G$68,"W"))+COUNTIFS(Database!$F:$I,CONCATENATE(G$68,$B79,"W"))),"-")</f>
        <v>-</v>
      </c>
      <c r="H79" s="122" t="str">
        <f>IFERROR((COUNTIFS(Database!$F:$I,CONCATENATE($B79,H$68,"W"))+COUNTIFS(Database!$F:$I,CONCATENATE(H$68,$B79,"W")))/(COUNTIFS(Database!$F:$I,CONCATENATE($B79,H$68,"L"))+COUNTIFS(Database!$F:$I,CONCATENATE(H$68,$B79,"L"))+COUNTIFS(Database!$F:$I,CONCATENATE($B79,H$68,"W"))+COUNTIFS(Database!$F:$I,CONCATENATE(H$68,$B79,"W"))),"-")</f>
        <v>-</v>
      </c>
      <c r="I79" s="122" t="str">
        <f>IFERROR((COUNTIFS(Database!$F:$I,CONCATENATE($B79,I$68,"W"))+COUNTIFS(Database!$F:$I,CONCATENATE(I$68,$B79,"W")))/(COUNTIFS(Database!$F:$I,CONCATENATE($B79,I$68,"L"))+COUNTIFS(Database!$F:$I,CONCATENATE(I$68,$B79,"L"))+COUNTIFS(Database!$F:$I,CONCATENATE($B79,I$68,"W"))+COUNTIFS(Database!$F:$I,CONCATENATE(I$68,$B79,"W"))),"-")</f>
        <v>-</v>
      </c>
      <c r="J79" s="122" t="str">
        <f>IFERROR((COUNTIFS(Database!$F:$I,CONCATENATE($B79,J$68,"W"))+COUNTIFS(Database!$F:$I,CONCATENATE(J$68,$B79,"W")))/(COUNTIFS(Database!$F:$I,CONCATENATE($B79,J$68,"L"))+COUNTIFS(Database!$F:$I,CONCATENATE(J$68,$B79,"L"))+COUNTIFS(Database!$F:$I,CONCATENATE($B79,J$68,"W"))+COUNTIFS(Database!$F:$I,CONCATENATE(J$68,$B79,"W"))),"-")</f>
        <v>-</v>
      </c>
      <c r="K79" s="122" t="str">
        <f>IFERROR((COUNTIFS(Database!$F:$I,CONCATENATE($B79,K$68,"W"))+COUNTIFS(Database!$F:$I,CONCATENATE(K$68,$B79,"W")))/(COUNTIFS(Database!$F:$I,CONCATENATE($B79,K$68,"L"))+COUNTIFS(Database!$F:$I,CONCATENATE(K$68,$B79,"L"))+COUNTIFS(Database!$F:$I,CONCATENATE($B79,K$68,"W"))+COUNTIFS(Database!$F:$I,CONCATENATE(K$68,$B79,"W"))),"-")</f>
        <v>-</v>
      </c>
      <c r="L79" s="122" t="str">
        <f>IFERROR((COUNTIFS(Database!$F:$I,CONCATENATE($B79,L$68,"W"))+COUNTIFS(Database!$F:$I,CONCATENATE(L$68,$B79,"W")))/(COUNTIFS(Database!$F:$I,CONCATENATE($B79,L$68,"L"))+COUNTIFS(Database!$F:$I,CONCATENATE(L$68,$B79,"L"))+COUNTIFS(Database!$F:$I,CONCATENATE($B79,L$68,"W"))+COUNTIFS(Database!$F:$I,CONCATENATE(L$68,$B79,"W"))),"-")</f>
        <v>-</v>
      </c>
      <c r="M79" s="122" t="str">
        <f>IFERROR((COUNTIFS(Database!$F:$I,CONCATENATE($B79,M$68,"W"))+COUNTIFS(Database!$F:$I,CONCATENATE(M$68,$B79,"W")))/(COUNTIFS(Database!$F:$I,CONCATENATE($B79,M$68,"L"))+COUNTIFS(Database!$F:$I,CONCATENATE(M$68,$B79,"L"))+COUNTIFS(Database!$F:$I,CONCATENATE($B79,M$68,"W"))+COUNTIFS(Database!$F:$I,CONCATENATE(M$68,$B79,"W"))),"-")</f>
        <v>-</v>
      </c>
      <c r="N79" s="122" t="str">
        <f>IFERROR((COUNTIFS(Database!$F:$I,CONCATENATE($B79,N$68,"W"))+COUNTIFS(Database!$F:$I,CONCATENATE(N$68,$B79,"W")))/(COUNTIFS(Database!$F:$I,CONCATENATE($B79,N$68,"L"))+COUNTIFS(Database!$F:$I,CONCATENATE(N$68,$B79,"L"))+COUNTIFS(Database!$F:$I,CONCATENATE($B79,N$68,"W"))+COUNTIFS(Database!$F:$I,CONCATENATE(N$68,$B79,"W"))),"-")</f>
        <v>-</v>
      </c>
      <c r="O79" s="122">
        <f>IFERROR((COUNTIFS(Database!$F:$I,CONCATENATE($B79,O$68,"W"))+COUNTIFS(Database!$F:$I,CONCATENATE(O$68,$B79,"W")))/(COUNTIFS(Database!$F:$I,CONCATENATE($B79,O$68,"L"))+COUNTIFS(Database!$F:$I,CONCATENATE(O$68,$B79,"L"))+COUNTIFS(Database!$F:$I,CONCATENATE($B79,O$68,"W"))+COUNTIFS(Database!$F:$I,CONCATENATE(O$68,$B79,"W"))),"-")</f>
        <v>1</v>
      </c>
      <c r="P79" s="122" t="str">
        <f>IFERROR((COUNTIFS(Database!$F:$I,CONCATENATE($B79,P$68,"W"))+COUNTIFS(Database!$F:$I,CONCATENATE(P$68,$B79,"W")))/(COUNTIFS(Database!$F:$I,CONCATENATE($B79,P$68,"L"))+COUNTIFS(Database!$F:$I,CONCATENATE(P$68,$B79,"L"))+COUNTIFS(Database!$F:$I,CONCATENATE($B79,P$68,"W"))+COUNTIFS(Database!$F:$I,CONCATENATE(P$68,$B79,"W"))),"-")</f>
        <v>-</v>
      </c>
      <c r="Q79" s="122" t="str">
        <f>IFERROR((COUNTIFS(Database!$F:$I,CONCATENATE($B79,Q$68,"W"))+COUNTIFS(Database!$F:$I,CONCATENATE(Q$68,$B79,"W")))/(COUNTIFS(Database!$F:$I,CONCATENATE($B79,Q$68,"L"))+COUNTIFS(Database!$F:$I,CONCATENATE(Q$68,$B79,"L"))+COUNTIFS(Database!$F:$I,CONCATENATE($B79,Q$68,"W"))+COUNTIFS(Database!$F:$I,CONCATENATE(Q$68,$B79,"W"))),"-")</f>
        <v>-</v>
      </c>
      <c r="R79" s="122" t="str">
        <f>IFERROR((COUNTIFS(Database!$F:$I,CONCATENATE($B79,R$68,"W"))+COUNTIFS(Database!$F:$I,CONCATENATE(R$68,$B79,"W")))/(COUNTIFS(Database!$F:$I,CONCATENATE($B79,R$68,"L"))+COUNTIFS(Database!$F:$I,CONCATENATE(R$68,$B79,"L"))+COUNTIFS(Database!$F:$I,CONCATENATE($B79,R$68,"W"))+COUNTIFS(Database!$F:$I,CONCATENATE(R$68,$B79,"W"))),"-")</f>
        <v>-</v>
      </c>
      <c r="S79" s="122" t="str">
        <f>IFERROR((COUNTIFS(Database!$F:$I,CONCATENATE($B79,S$68,"W"))+COUNTIFS(Database!$F:$I,CONCATENATE(S$68,$B79,"W")))/(COUNTIFS(Database!$F:$I,CONCATENATE($B79,S$68,"L"))+COUNTIFS(Database!$F:$I,CONCATENATE(S$68,$B79,"L"))+COUNTIFS(Database!$F:$I,CONCATENATE($B79,S$68,"W"))+COUNTIFS(Database!$F:$I,CONCATENATE(S$68,$B79,"W"))),"-")</f>
        <v>-</v>
      </c>
      <c r="T79" s="122" t="str">
        <f>IFERROR((COUNTIFS(Database!$F:$I,CONCATENATE($B79,T$68,"W"))+COUNTIFS(Database!$F:$I,CONCATENATE(T$68,$B79,"W")))/(COUNTIFS(Database!$F:$I,CONCATENATE($B79,T$68,"L"))+COUNTIFS(Database!$F:$I,CONCATENATE(T$68,$B79,"L"))+COUNTIFS(Database!$F:$I,CONCATENATE($B79,T$68,"W"))+COUNTIFS(Database!$F:$I,CONCATENATE(T$68,$B79,"W"))),"-")</f>
        <v>-</v>
      </c>
      <c r="U79" s="122" t="str">
        <f>IFERROR((COUNTIFS(Database!$F:$I,CONCATENATE($B79,U$68,"W"))+COUNTIFS(Database!$F:$I,CONCATENATE(U$68,$B79,"W")))/(COUNTIFS(Database!$F:$I,CONCATENATE($B79,U$68,"L"))+COUNTIFS(Database!$F:$I,CONCATENATE(U$68,$B79,"L"))+COUNTIFS(Database!$F:$I,CONCATENATE($B79,U$68,"W"))+COUNTIFS(Database!$F:$I,CONCATENATE(U$68,$B79,"W"))),"-")</f>
        <v>-</v>
      </c>
      <c r="V79" s="122" t="str">
        <f>IFERROR((COUNTIFS(Database!$F:$I,CONCATENATE($B79,V$68,"W"))+COUNTIFS(Database!$F:$I,CONCATENATE(V$68,$B79,"W")))/(COUNTIFS(Database!$F:$I,CONCATENATE($B79,V$68,"L"))+COUNTIFS(Database!$F:$I,CONCATENATE(V$68,$B79,"L"))+COUNTIFS(Database!$F:$I,CONCATENATE($B79,V$68,"W"))+COUNTIFS(Database!$F:$I,CONCATENATE(V$68,$B79,"W"))),"-")</f>
        <v>-</v>
      </c>
      <c r="W79" s="122" t="str">
        <f>IFERROR((COUNTIFS(Database!$F:$I,CONCATENATE($B79,W$68,"W"))+COUNTIFS(Database!$F:$I,CONCATENATE(W$68,$B79,"W")))/(COUNTIFS(Database!$F:$I,CONCATENATE($B79,W$68,"L"))+COUNTIFS(Database!$F:$I,CONCATENATE(W$68,$B79,"L"))+COUNTIFS(Database!$F:$I,CONCATENATE($B79,W$68,"W"))+COUNTIFS(Database!$F:$I,CONCATENATE(W$68,$B79,"W"))),"-")</f>
        <v>-</v>
      </c>
      <c r="X79" s="122" t="str">
        <f>IFERROR((COUNTIFS(Database!$F:$I,CONCATENATE($B79,X$68,"W"))+COUNTIFS(Database!$F:$I,CONCATENATE(X$68,$B79,"W")))/(COUNTIFS(Database!$F:$I,CONCATENATE($B79,X$68,"L"))+COUNTIFS(Database!$F:$I,CONCATENATE(X$68,$B79,"L"))+COUNTIFS(Database!$F:$I,CONCATENATE($B79,X$68,"W"))+COUNTIFS(Database!$F:$I,CONCATENATE(X$68,$B79,"W"))),"-")</f>
        <v>-</v>
      </c>
      <c r="Y79" s="122" t="str">
        <f>IFERROR((COUNTIFS(Database!$F:$I,CONCATENATE($B79,Y$68,"W"))+COUNTIFS(Database!$F:$I,CONCATENATE(Y$68,$B79,"W")))/(COUNTIFS(Database!$F:$I,CONCATENATE($B79,Y$68,"L"))+COUNTIFS(Database!$F:$I,CONCATENATE(Y$68,$B79,"L"))+COUNTIFS(Database!$F:$I,CONCATENATE($B79,Y$68,"W"))+COUNTIFS(Database!$F:$I,CONCATENATE(Y$68,$B79,"W"))),"-")</f>
        <v>-</v>
      </c>
      <c r="Z79" s="122" t="str">
        <f>IFERROR((COUNTIFS(Database!$F:$I,CONCATENATE($B79,Z$68,"W"))+COUNTIFS(Database!$F:$I,CONCATENATE(Z$68,$B79,"W")))/(COUNTIFS(Database!$F:$I,CONCATENATE($B79,Z$68,"L"))+COUNTIFS(Database!$F:$I,CONCATENATE(Z$68,$B79,"L"))+COUNTIFS(Database!$F:$I,CONCATENATE($B79,Z$68,"W"))+COUNTIFS(Database!$F:$I,CONCATENATE(Z$68,$B79,"W"))),"-")</f>
        <v>-</v>
      </c>
      <c r="AA79" s="122" t="str">
        <f>IFERROR((COUNTIFS(Database!$F:$I,CONCATENATE($B79,AA$68,"W"))+COUNTIFS(Database!$F:$I,CONCATENATE(AA$68,$B79,"W")))/(COUNTIFS(Database!$F:$I,CONCATENATE($B79,AA$68,"L"))+COUNTIFS(Database!$F:$I,CONCATENATE(AA$68,$B79,"L"))+COUNTIFS(Database!$F:$I,CONCATENATE($B79,AA$68,"W"))+COUNTIFS(Database!$F:$I,CONCATENATE(AA$68,$B79,"W"))),"-")</f>
        <v>-</v>
      </c>
      <c r="AB79" s="122">
        <f>IFERROR((COUNTIFS(Database!$F:$I,CONCATENATE($B79,AB$68,"W"))+COUNTIFS(Database!$F:$I,CONCATENATE(AB$68,$B79,"W")))/(COUNTIFS(Database!$F:$I,CONCATENATE($B79,AB$68,"L"))+COUNTIFS(Database!$F:$I,CONCATENATE(AB$68,$B79,"L"))+COUNTIFS(Database!$F:$I,CONCATENATE($B79,AB$68,"W"))+COUNTIFS(Database!$F:$I,CONCATENATE(AB$68,$B79,"W"))),"-")</f>
        <v>1</v>
      </c>
      <c r="AC79" s="122" t="str">
        <f>IFERROR((COUNTIFS(Database!$F:$I,CONCATENATE($B79,AC$68,"W"))+COUNTIFS(Database!$F:$I,CONCATENATE(AC$68,$B79,"W")))/(COUNTIFS(Database!$F:$I,CONCATENATE($B79,AC$68,"L"))+COUNTIFS(Database!$F:$I,CONCATENATE(AC$68,$B79,"L"))+COUNTIFS(Database!$F:$I,CONCATENATE($B79,AC$68,"W"))+COUNTIFS(Database!$F:$I,CONCATENATE(AC$68,$B79,"W"))),"-")</f>
        <v>-</v>
      </c>
      <c r="AD79" s="122" t="str">
        <f>IFERROR((COUNTIFS(Database!$F:$I,CONCATENATE($B79,AD$68,"W"))+COUNTIFS(Database!$F:$I,CONCATENATE(AD$68,$B79,"W")))/(COUNTIFS(Database!$F:$I,CONCATENATE($B79,AD$68,"L"))+COUNTIFS(Database!$F:$I,CONCATENATE(AD$68,$B79,"L"))+COUNTIFS(Database!$F:$I,CONCATENATE($B79,AD$68,"W"))+COUNTIFS(Database!$F:$I,CONCATENATE(AD$68,$B79,"W"))),"-")</f>
        <v>-</v>
      </c>
      <c r="AE79" s="122" t="str">
        <f>IFERROR((COUNTIFS(Database!$F:$I,CONCATENATE($B79,AE$68,"W"))+COUNTIFS(Database!$F:$I,CONCATENATE(AE$68,$B79,"W")))/(COUNTIFS(Database!$F:$I,CONCATENATE($B79,AE$68,"L"))+COUNTIFS(Database!$F:$I,CONCATENATE(AE$68,$B79,"L"))+COUNTIFS(Database!$F:$I,CONCATENATE($B79,AE$68,"W"))+COUNTIFS(Database!$F:$I,CONCATENATE(AE$68,$B79,"W"))),"-")</f>
        <v>-</v>
      </c>
      <c r="AF79" s="122" t="str">
        <f>IFERROR((COUNTIFS(Database!$F:$I,CONCATENATE($B79,AF$68,"W"))+COUNTIFS(Database!$F:$I,CONCATENATE(AF$68,$B79,"W")))/(COUNTIFS(Database!$F:$I,CONCATENATE($B79,AF$68,"L"))+COUNTIFS(Database!$F:$I,CONCATENATE(AF$68,$B79,"L"))+COUNTIFS(Database!$F:$I,CONCATENATE($B79,AF$68,"W"))+COUNTIFS(Database!$F:$I,CONCATENATE(AF$68,$B79,"W"))),"-")</f>
        <v>-</v>
      </c>
      <c r="AG79" s="122" t="str">
        <f>IFERROR((COUNTIFS(Database!$F:$I,CONCATENATE($B79,AG$68,"W"))+COUNTIFS(Database!$F:$I,CONCATENATE(AG$68,$B79,"W")))/(COUNTIFS(Database!$F:$I,CONCATENATE($B79,AG$68,"L"))+COUNTIFS(Database!$F:$I,CONCATENATE(AG$68,$B79,"L"))+COUNTIFS(Database!$F:$I,CONCATENATE($B79,AG$68,"W"))+COUNTIFS(Database!$F:$I,CONCATENATE(AG$68,$B79,"W"))),"-")</f>
        <v>-</v>
      </c>
      <c r="AH79" s="122" t="str">
        <f>IFERROR((COUNTIFS(Database!$F:$I,CONCATENATE($B79,AH$68,"W"))+COUNTIFS(Database!$F:$I,CONCATENATE(AH$68,$B79,"W")))/(COUNTIFS(Database!$F:$I,CONCATENATE($B79,AH$68,"L"))+COUNTIFS(Database!$F:$I,CONCATENATE(AH$68,$B79,"L"))+COUNTIFS(Database!$F:$I,CONCATENATE($B79,AH$68,"W"))+COUNTIFS(Database!$F:$I,CONCATENATE(AH$68,$B79,"W"))),"-")</f>
        <v>-</v>
      </c>
      <c r="AI79" s="122" t="str">
        <f>IFERROR((COUNTIFS(Database!$F:$I,CONCATENATE($B79,AI$68,"W"))+COUNTIFS(Database!$F:$I,CONCATENATE(AI$68,$B79,"W")))/(COUNTIFS(Database!$F:$I,CONCATENATE($B79,AI$68,"L"))+COUNTIFS(Database!$F:$I,CONCATENATE(AI$68,$B79,"L"))+COUNTIFS(Database!$F:$I,CONCATENATE($B79,AI$68,"W"))+COUNTIFS(Database!$F:$I,CONCATENATE(AI$68,$B79,"W"))),"-")</f>
        <v>-</v>
      </c>
      <c r="AJ79" s="122" t="str">
        <f>IFERROR((COUNTIFS(Database!$F:$I,CONCATENATE($B79,AJ$68,"W"))+COUNTIFS(Database!$F:$I,CONCATENATE(AJ$68,$B79,"W")))/(COUNTIFS(Database!$F:$I,CONCATENATE($B79,AJ$68,"L"))+COUNTIFS(Database!$F:$I,CONCATENATE(AJ$68,$B79,"L"))+COUNTIFS(Database!$F:$I,CONCATENATE($B79,AJ$68,"W"))+COUNTIFS(Database!$F:$I,CONCATENATE(AJ$68,$B79,"W"))),"-")</f>
        <v>-</v>
      </c>
      <c r="AK79" s="122">
        <f>IFERROR((COUNTIFS(Database!$F:$I,CONCATENATE($B79,AK$68,"W"))+COUNTIFS(Database!$F:$I,CONCATENATE(AK$68,$B79,"W")))/(COUNTIFS(Database!$F:$I,CONCATENATE($B79,AK$68,"L"))+COUNTIFS(Database!$F:$I,CONCATENATE(AK$68,$B79,"L"))+COUNTIFS(Database!$F:$I,CONCATENATE($B79,AK$68,"W"))+COUNTIFS(Database!$F:$I,CONCATENATE(AK$68,$B79,"W"))),"-")</f>
        <v>1</v>
      </c>
      <c r="AL79" s="122" t="str">
        <f>IFERROR((COUNTIFS(Database!$F:$I,CONCATENATE($B79,AL$68,"W"))+COUNTIFS(Database!$F:$I,CONCATENATE(AL$68,$B79,"W")))/(COUNTIFS(Database!$F:$I,CONCATENATE($B79,AL$68,"L"))+COUNTIFS(Database!$F:$I,CONCATENATE(AL$68,$B79,"L"))+COUNTIFS(Database!$F:$I,CONCATENATE($B79,AL$68,"W"))+COUNTIFS(Database!$F:$I,CONCATENATE(AL$68,$B79,"W"))),"-")</f>
        <v>-</v>
      </c>
      <c r="AM79" s="122" t="str">
        <f>IFERROR((COUNTIFS(Database!$F:$I,CONCATENATE($B79,AM$68,"W"))+COUNTIFS(Database!$F:$I,CONCATENATE(AM$68,$B79,"W")))/(COUNTIFS(Database!$F:$I,CONCATENATE($B79,AM$68,"L"))+COUNTIFS(Database!$F:$I,CONCATENATE(AM$68,$B79,"L"))+COUNTIFS(Database!$F:$I,CONCATENATE($B79,AM$68,"W"))+COUNTIFS(Database!$F:$I,CONCATENATE(AM$68,$B79,"W"))),"-")</f>
        <v>-</v>
      </c>
      <c r="AN79" s="122" t="str">
        <f>IFERROR((COUNTIFS(Database!$F:$I,CONCATENATE($B79,AN$68,"W"))+COUNTIFS(Database!$F:$I,CONCATENATE(AN$68,$B79,"W")))/(COUNTIFS(Database!$F:$I,CONCATENATE($B79,AN$68,"L"))+COUNTIFS(Database!$F:$I,CONCATENATE(AN$68,$B79,"L"))+COUNTIFS(Database!$F:$I,CONCATENATE($B79,AN$68,"W"))+COUNTIFS(Database!$F:$I,CONCATENATE(AN$68,$B79,"W"))),"-")</f>
        <v>-</v>
      </c>
      <c r="AO79" s="122" t="str">
        <f>IFERROR((COUNTIFS(Database!$F:$I,CONCATENATE($B79,AO$68,"W"))+COUNTIFS(Database!$F:$I,CONCATENATE(AO$68,$B79,"W")))/(COUNTIFS(Database!$F:$I,CONCATENATE($B79,AO$68,"L"))+COUNTIFS(Database!$F:$I,CONCATENATE(AO$68,$B79,"L"))+COUNTIFS(Database!$F:$I,CONCATENATE($B79,AO$68,"W"))+COUNTIFS(Database!$F:$I,CONCATENATE(AO$68,$B79,"W"))),"-")</f>
        <v>-</v>
      </c>
      <c r="AP79" s="122" t="str">
        <f>IFERROR((COUNTIFS(Database!$F:$I,CONCATENATE($B79,AP$68,"W"))+COUNTIFS(Database!$F:$I,CONCATENATE(AP$68,$B79,"W")))/(COUNTIFS(Database!$F:$I,CONCATENATE($B79,AP$68,"L"))+COUNTIFS(Database!$F:$I,CONCATENATE(AP$68,$B79,"L"))+COUNTIFS(Database!$F:$I,CONCATENATE($B79,AP$68,"W"))+COUNTIFS(Database!$F:$I,CONCATENATE(AP$68,$B79,"W"))),"-")</f>
        <v>-</v>
      </c>
      <c r="AQ79" s="122" t="str">
        <f>IFERROR((COUNTIFS(Database!$F:$I,CONCATENATE($B79,AQ$68,"W"))+COUNTIFS(Database!$F:$I,CONCATENATE(AQ$68,$B79,"W")))/(COUNTIFS(Database!$F:$I,CONCATENATE($B79,AQ$68,"L"))+COUNTIFS(Database!$F:$I,CONCATENATE(AQ$68,$B79,"L"))+COUNTIFS(Database!$F:$I,CONCATENATE($B79,AQ$68,"W"))+COUNTIFS(Database!$F:$I,CONCATENATE(AQ$68,$B79,"W"))),"-")</f>
        <v>-</v>
      </c>
      <c r="AR79" s="122">
        <f>IFERROR((COUNTIFS(Database!$F:$I,CONCATENATE($B79,AR$68,"W"))+COUNTIFS(Database!$F:$I,CONCATENATE(AR$68,$B79,"W")))/(COUNTIFS(Database!$F:$I,CONCATENATE($B79,AR$68,"L"))+COUNTIFS(Database!$F:$I,CONCATENATE(AR$68,$B79,"L"))+COUNTIFS(Database!$F:$I,CONCATENATE($B79,AR$68,"W"))+COUNTIFS(Database!$F:$I,CONCATENATE(AR$68,$B79,"W"))),"-")</f>
        <v>1</v>
      </c>
      <c r="AS79" s="122" t="str">
        <f>IFERROR((COUNTIFS(Database!$F:$I,CONCATENATE($B79,AS$68,"W"))+COUNTIFS(Database!$F:$I,CONCATENATE(AS$68,$B79,"W")))/(COUNTIFS(Database!$F:$I,CONCATENATE($B79,AS$68,"L"))+COUNTIFS(Database!$F:$I,CONCATENATE(AS$68,$B79,"L"))+COUNTIFS(Database!$F:$I,CONCATENATE($B79,AS$68,"W"))+COUNTIFS(Database!$F:$I,CONCATENATE(AS$68,$B79,"W"))),"-")</f>
        <v>-</v>
      </c>
      <c r="AT79" s="122">
        <f>IFERROR((COUNTIFS(Database!$F:$I,CONCATENATE($B79,AT$68,"W"))+COUNTIFS(Database!$F:$I,CONCATENATE(AT$68,$B79,"W")))/(COUNTIFS(Database!$F:$I,CONCATENATE($B79,AT$68,"L"))+COUNTIFS(Database!$F:$I,CONCATENATE(AT$68,$B79,"L"))+COUNTIFS(Database!$F:$I,CONCATENATE($B79,AT$68,"W"))+COUNTIFS(Database!$F:$I,CONCATENATE(AT$68,$B79,"W"))),"-")</f>
        <v>1</v>
      </c>
      <c r="AU79" s="122">
        <f>IFERROR((COUNTIFS(Database!$F:$I,CONCATENATE($B79,AU$68,"W"))+COUNTIFS(Database!$F:$I,CONCATENATE(AU$68,$B79,"W")))/(COUNTIFS(Database!$F:$I,CONCATENATE($B79,AU$68,"L"))+COUNTIFS(Database!$F:$I,CONCATENATE(AU$68,$B79,"L"))+COUNTIFS(Database!$F:$I,CONCATENATE($B79,AU$68,"W"))+COUNTIFS(Database!$F:$I,CONCATENATE(AU$68,$B79,"W"))),"-")</f>
        <v>1</v>
      </c>
      <c r="AV79" s="122" t="str">
        <f>IFERROR((COUNTIFS(Database!$F:$I,CONCATENATE($B79,AV$68,"W"))+COUNTIFS(Database!$F:$I,CONCATENATE(AV$68,$B79,"W")))/(COUNTIFS(Database!$F:$I,CONCATENATE($B79,AV$68,"L"))+COUNTIFS(Database!$F:$I,CONCATENATE(AV$68,$B79,"L"))+COUNTIFS(Database!$F:$I,CONCATENATE($B79,AV$68,"W"))+COUNTIFS(Database!$F:$I,CONCATENATE(AV$68,$B79,"W"))),"-")</f>
        <v>-</v>
      </c>
      <c r="AW79" s="122" t="str">
        <f>IFERROR((COUNTIFS(Database!$F:$I,CONCATENATE($B79,AW$68,"W"))+COUNTIFS(Database!$F:$I,CONCATENATE(AW$68,$B79,"W")))/(COUNTIFS(Database!$F:$I,CONCATENATE($B79,AW$68,"L"))+COUNTIFS(Database!$F:$I,CONCATENATE(AW$68,$B79,"L"))+COUNTIFS(Database!$F:$I,CONCATENATE($B79,AW$68,"W"))+COUNTIFS(Database!$F:$I,CONCATENATE(AW$68,$B79,"W"))),"-")</f>
        <v>-</v>
      </c>
      <c r="AX79" s="122" t="str">
        <f>IFERROR((COUNTIFS(Database!$F:$I,CONCATENATE($B79,AX$68,"W"))+COUNTIFS(Database!$F:$I,CONCATENATE(AX$68,$B79,"W")))/(COUNTIFS(Database!$F:$I,CONCATENATE($B79,AX$68,"L"))+COUNTIFS(Database!$F:$I,CONCATENATE(AX$68,$B79,"L"))+COUNTIFS(Database!$F:$I,CONCATENATE($B79,AX$68,"W"))+COUNTIFS(Database!$F:$I,CONCATENATE(AX$68,$B79,"W"))),"-")</f>
        <v>-</v>
      </c>
      <c r="AY79" s="122" t="str">
        <f>IFERROR((COUNTIFS(Database!$F:$I,CONCATENATE($B79,AY$68,"W"))+COUNTIFS(Database!$F:$I,CONCATENATE(AY$68,$B79,"W")))/(COUNTIFS(Database!$F:$I,CONCATENATE($B79,AY$68,"L"))+COUNTIFS(Database!$F:$I,CONCATENATE(AY$68,$B79,"L"))+COUNTIFS(Database!$F:$I,CONCATENATE($B79,AY$68,"W"))+COUNTIFS(Database!$F:$I,CONCATENATE(AY$68,$B79,"W"))),"-")</f>
        <v>-</v>
      </c>
    </row>
    <row r="80" spans="2:51" x14ac:dyDescent="0.25">
      <c r="B80" s="120" t="s">
        <v>28</v>
      </c>
      <c r="C80" s="122">
        <f>IFERROR((COUNTIFS(Database!$F:$I,CONCATENATE($B80,C$68,"W"))+COUNTIFS(Database!$F:$I,CONCATENATE(C$68,$B80,"W")))/(COUNTIFS(Database!$F:$I,CONCATENATE($B80,C$68,"L"))+COUNTIFS(Database!$F:$I,CONCATENATE(C$68,$B80,"L"))+COUNTIFS(Database!$F:$I,CONCATENATE($B80,C$68,"W"))+COUNTIFS(Database!$F:$I,CONCATENATE(C$68,$B80,"W"))),"-")</f>
        <v>1</v>
      </c>
      <c r="D80" s="122" t="str">
        <f>IFERROR((COUNTIFS(Database!$F:$I,CONCATENATE($B80,D$68,"W"))+COUNTIFS(Database!$F:$I,CONCATENATE(D$68,$B80,"W")))/(COUNTIFS(Database!$F:$I,CONCATENATE($B80,D$68,"L"))+COUNTIFS(Database!$F:$I,CONCATENATE(D$68,$B80,"L"))+COUNTIFS(Database!$F:$I,CONCATENATE($B80,D$68,"W"))+COUNTIFS(Database!$F:$I,CONCATENATE(D$68,$B80,"W"))),"-")</f>
        <v>-</v>
      </c>
      <c r="E80" s="122">
        <f>IFERROR((COUNTIFS(Database!$F:$I,CONCATENATE($B80,E$68,"W"))+COUNTIFS(Database!$F:$I,CONCATENATE(E$68,$B80,"W")))/(COUNTIFS(Database!$F:$I,CONCATENATE($B80,E$68,"L"))+COUNTIFS(Database!$F:$I,CONCATENATE(E$68,$B80,"L"))+COUNTIFS(Database!$F:$I,CONCATENATE($B80,E$68,"W"))+COUNTIFS(Database!$F:$I,CONCATENATE(E$68,$B80,"W"))),"-")</f>
        <v>0.5</v>
      </c>
      <c r="F80" s="122">
        <f>IFERROR((COUNTIFS(Database!$F:$I,CONCATENATE($B80,F$68,"W"))+COUNTIFS(Database!$F:$I,CONCATENATE(F$68,$B80,"W")))/(COUNTIFS(Database!$F:$I,CONCATENATE($B80,F$68,"L"))+COUNTIFS(Database!$F:$I,CONCATENATE(F$68,$B80,"L"))+COUNTIFS(Database!$F:$I,CONCATENATE($B80,F$68,"W"))+COUNTIFS(Database!$F:$I,CONCATENATE(F$68,$B80,"W"))),"-")</f>
        <v>0</v>
      </c>
      <c r="G80" s="122">
        <f>IFERROR((COUNTIFS(Database!$F:$I,CONCATENATE($B80,G$68,"W"))+COUNTIFS(Database!$F:$I,CONCATENATE(G$68,$B80,"W")))/(COUNTIFS(Database!$F:$I,CONCATENATE($B80,G$68,"L"))+COUNTIFS(Database!$F:$I,CONCATENATE(G$68,$B80,"L"))+COUNTIFS(Database!$F:$I,CONCATENATE($B80,G$68,"W"))+COUNTIFS(Database!$F:$I,CONCATENATE(G$68,$B80,"W"))),"-")</f>
        <v>0</v>
      </c>
      <c r="H80" s="122" t="str">
        <f>IFERROR((COUNTIFS(Database!$F:$I,CONCATENATE($B80,H$68,"W"))+COUNTIFS(Database!$F:$I,CONCATENATE(H$68,$B80,"W")))/(COUNTIFS(Database!$F:$I,CONCATENATE($B80,H$68,"L"))+COUNTIFS(Database!$F:$I,CONCATENATE(H$68,$B80,"L"))+COUNTIFS(Database!$F:$I,CONCATENATE($B80,H$68,"W"))+COUNTIFS(Database!$F:$I,CONCATENATE(H$68,$B80,"W"))),"-")</f>
        <v>-</v>
      </c>
      <c r="I80" s="122" t="str">
        <f>IFERROR((COUNTIFS(Database!$F:$I,CONCATENATE($B80,I$68,"W"))+COUNTIFS(Database!$F:$I,CONCATENATE(I$68,$B80,"W")))/(COUNTIFS(Database!$F:$I,CONCATENATE($B80,I$68,"L"))+COUNTIFS(Database!$F:$I,CONCATENATE(I$68,$B80,"L"))+COUNTIFS(Database!$F:$I,CONCATENATE($B80,I$68,"W"))+COUNTIFS(Database!$F:$I,CONCATENATE(I$68,$B80,"W"))),"-")</f>
        <v>-</v>
      </c>
      <c r="J80" s="122">
        <f>IFERROR((COUNTIFS(Database!$F:$I,CONCATENATE($B80,J$68,"W"))+COUNTIFS(Database!$F:$I,CONCATENATE(J$68,$B80,"W")))/(COUNTIFS(Database!$F:$I,CONCATENATE($B80,J$68,"L"))+COUNTIFS(Database!$F:$I,CONCATENATE(J$68,$B80,"L"))+COUNTIFS(Database!$F:$I,CONCATENATE($B80,J$68,"W"))+COUNTIFS(Database!$F:$I,CONCATENATE(J$68,$B80,"W"))),"-")</f>
        <v>0.33333333333333331</v>
      </c>
      <c r="K80" s="122" t="str">
        <f>IFERROR((COUNTIFS(Database!$F:$I,CONCATENATE($B80,K$68,"W"))+COUNTIFS(Database!$F:$I,CONCATENATE(K$68,$B80,"W")))/(COUNTIFS(Database!$F:$I,CONCATENATE($B80,K$68,"L"))+COUNTIFS(Database!$F:$I,CONCATENATE(K$68,$B80,"L"))+COUNTIFS(Database!$F:$I,CONCATENATE($B80,K$68,"W"))+COUNTIFS(Database!$F:$I,CONCATENATE(K$68,$B80,"W"))),"-")</f>
        <v>-</v>
      </c>
      <c r="L80" s="122">
        <f>IFERROR((COUNTIFS(Database!$F:$I,CONCATENATE($B80,L$68,"W"))+COUNTIFS(Database!$F:$I,CONCATENATE(L$68,$B80,"W")))/(COUNTIFS(Database!$F:$I,CONCATENATE($B80,L$68,"L"))+COUNTIFS(Database!$F:$I,CONCATENATE(L$68,$B80,"L"))+COUNTIFS(Database!$F:$I,CONCATENATE($B80,L$68,"W"))+COUNTIFS(Database!$F:$I,CONCATENATE(L$68,$B80,"W"))),"-")</f>
        <v>0.5</v>
      </c>
      <c r="M80" s="122" t="str">
        <f>IFERROR((COUNTIFS(Database!$F:$I,CONCATENATE($B80,M$68,"W"))+COUNTIFS(Database!$F:$I,CONCATENATE(M$68,$B80,"W")))/(COUNTIFS(Database!$F:$I,CONCATENATE($B80,M$68,"L"))+COUNTIFS(Database!$F:$I,CONCATENATE(M$68,$B80,"L"))+COUNTIFS(Database!$F:$I,CONCATENATE($B80,M$68,"W"))+COUNTIFS(Database!$F:$I,CONCATENATE(M$68,$B80,"W"))),"-")</f>
        <v>-</v>
      </c>
      <c r="N80" s="122" t="str">
        <f>IFERROR((COUNTIFS(Database!$F:$I,CONCATENATE($B80,N$68,"W"))+COUNTIFS(Database!$F:$I,CONCATENATE(N$68,$B80,"W")))/(COUNTIFS(Database!$F:$I,CONCATENATE($B80,N$68,"L"))+COUNTIFS(Database!$F:$I,CONCATENATE(N$68,$B80,"L"))+COUNTIFS(Database!$F:$I,CONCATENATE($B80,N$68,"W"))+COUNTIFS(Database!$F:$I,CONCATENATE(N$68,$B80,"W"))),"-")</f>
        <v>-</v>
      </c>
      <c r="O80" s="122">
        <f>IFERROR((COUNTIFS(Database!$F:$I,CONCATENATE($B80,O$68,"W"))+COUNTIFS(Database!$F:$I,CONCATENATE(O$68,$B80,"W")))/(COUNTIFS(Database!$F:$I,CONCATENATE($B80,O$68,"L"))+COUNTIFS(Database!$F:$I,CONCATENATE(O$68,$B80,"L"))+COUNTIFS(Database!$F:$I,CONCATENATE($B80,O$68,"W"))+COUNTIFS(Database!$F:$I,CONCATENATE(O$68,$B80,"W"))),"-")</f>
        <v>0.375</v>
      </c>
      <c r="P80" s="122">
        <f>IFERROR((COUNTIFS(Database!$F:$I,CONCATENATE($B80,P$68,"W"))+COUNTIFS(Database!$F:$I,CONCATENATE(P$68,$B80,"W")))/(COUNTIFS(Database!$F:$I,CONCATENATE($B80,P$68,"L"))+COUNTIFS(Database!$F:$I,CONCATENATE(P$68,$B80,"L"))+COUNTIFS(Database!$F:$I,CONCATENATE($B80,P$68,"W"))+COUNTIFS(Database!$F:$I,CONCATENATE(P$68,$B80,"W"))),"-")</f>
        <v>1</v>
      </c>
      <c r="Q80" s="122">
        <f>IFERROR((COUNTIFS(Database!$F:$I,CONCATENATE($B80,Q$68,"W"))+COUNTIFS(Database!$F:$I,CONCATENATE(Q$68,$B80,"W")))/(COUNTIFS(Database!$F:$I,CONCATENATE($B80,Q$68,"L"))+COUNTIFS(Database!$F:$I,CONCATENATE(Q$68,$B80,"L"))+COUNTIFS(Database!$F:$I,CONCATENATE($B80,Q$68,"W"))+COUNTIFS(Database!$F:$I,CONCATENATE(Q$68,$B80,"W"))),"-")</f>
        <v>0</v>
      </c>
      <c r="R80" s="122" t="str">
        <f>IFERROR((COUNTIFS(Database!$F:$I,CONCATENATE($B80,R$68,"W"))+COUNTIFS(Database!$F:$I,CONCATENATE(R$68,$B80,"W")))/(COUNTIFS(Database!$F:$I,CONCATENATE($B80,R$68,"L"))+COUNTIFS(Database!$F:$I,CONCATENATE(R$68,$B80,"L"))+COUNTIFS(Database!$F:$I,CONCATENATE($B80,R$68,"W"))+COUNTIFS(Database!$F:$I,CONCATENATE(R$68,$B80,"W"))),"-")</f>
        <v>-</v>
      </c>
      <c r="S80" s="122" t="str">
        <f>IFERROR((COUNTIFS(Database!$F:$I,CONCATENATE($B80,S$68,"W"))+COUNTIFS(Database!$F:$I,CONCATENATE(S$68,$B80,"W")))/(COUNTIFS(Database!$F:$I,CONCATENATE($B80,S$68,"L"))+COUNTIFS(Database!$F:$I,CONCATENATE(S$68,$B80,"L"))+COUNTIFS(Database!$F:$I,CONCATENATE($B80,S$68,"W"))+COUNTIFS(Database!$F:$I,CONCATENATE(S$68,$B80,"W"))),"-")</f>
        <v>-</v>
      </c>
      <c r="T80" s="122">
        <f>IFERROR((COUNTIFS(Database!$F:$I,CONCATENATE($B80,T$68,"W"))+COUNTIFS(Database!$F:$I,CONCATENATE(T$68,$B80,"W")))/(COUNTIFS(Database!$F:$I,CONCATENATE($B80,T$68,"L"))+COUNTIFS(Database!$F:$I,CONCATENATE(T$68,$B80,"L"))+COUNTIFS(Database!$F:$I,CONCATENATE($B80,T$68,"W"))+COUNTIFS(Database!$F:$I,CONCATENATE(T$68,$B80,"W"))),"-")</f>
        <v>0</v>
      </c>
      <c r="U80" s="122" t="str">
        <f>IFERROR((COUNTIFS(Database!$F:$I,CONCATENATE($B80,U$68,"W"))+COUNTIFS(Database!$F:$I,CONCATENATE(U$68,$B80,"W")))/(COUNTIFS(Database!$F:$I,CONCATENATE($B80,U$68,"L"))+COUNTIFS(Database!$F:$I,CONCATENATE(U$68,$B80,"L"))+COUNTIFS(Database!$F:$I,CONCATENATE($B80,U$68,"W"))+COUNTIFS(Database!$F:$I,CONCATENATE(U$68,$B80,"W"))),"-")</f>
        <v>-</v>
      </c>
      <c r="V80" s="122" t="str">
        <f>IFERROR((COUNTIFS(Database!$F:$I,CONCATENATE($B80,V$68,"W"))+COUNTIFS(Database!$F:$I,CONCATENATE(V$68,$B80,"W")))/(COUNTIFS(Database!$F:$I,CONCATENATE($B80,V$68,"L"))+COUNTIFS(Database!$F:$I,CONCATENATE(V$68,$B80,"L"))+COUNTIFS(Database!$F:$I,CONCATENATE($B80,V$68,"W"))+COUNTIFS(Database!$F:$I,CONCATENATE(V$68,$B80,"W"))),"-")</f>
        <v>-</v>
      </c>
      <c r="W80" s="122">
        <f>IFERROR((COUNTIFS(Database!$F:$I,CONCATENATE($B80,W$68,"W"))+COUNTIFS(Database!$F:$I,CONCATENATE(W$68,$B80,"W")))/(COUNTIFS(Database!$F:$I,CONCATENATE($B80,W$68,"L"))+COUNTIFS(Database!$F:$I,CONCATENATE(W$68,$B80,"L"))+COUNTIFS(Database!$F:$I,CONCATENATE($B80,W$68,"W"))+COUNTIFS(Database!$F:$I,CONCATENATE(W$68,$B80,"W"))),"-")</f>
        <v>0.5</v>
      </c>
      <c r="X80" s="122" t="str">
        <f>IFERROR((COUNTIFS(Database!$F:$I,CONCATENATE($B80,X$68,"W"))+COUNTIFS(Database!$F:$I,CONCATENATE(X$68,$B80,"W")))/(COUNTIFS(Database!$F:$I,CONCATENATE($B80,X$68,"L"))+COUNTIFS(Database!$F:$I,CONCATENATE(X$68,$B80,"L"))+COUNTIFS(Database!$F:$I,CONCATENATE($B80,X$68,"W"))+COUNTIFS(Database!$F:$I,CONCATENATE(X$68,$B80,"W"))),"-")</f>
        <v>-</v>
      </c>
      <c r="Y80" s="122" t="str">
        <f>IFERROR((COUNTIFS(Database!$F:$I,CONCATENATE($B80,Y$68,"W"))+COUNTIFS(Database!$F:$I,CONCATENATE(Y$68,$B80,"W")))/(COUNTIFS(Database!$F:$I,CONCATENATE($B80,Y$68,"L"))+COUNTIFS(Database!$F:$I,CONCATENATE(Y$68,$B80,"L"))+COUNTIFS(Database!$F:$I,CONCATENATE($B80,Y$68,"W"))+COUNTIFS(Database!$F:$I,CONCATENATE(Y$68,$B80,"W"))),"-")</f>
        <v>-</v>
      </c>
      <c r="Z80" s="122">
        <f>IFERROR((COUNTIFS(Database!$F:$I,CONCATENATE($B80,Z$68,"W"))+COUNTIFS(Database!$F:$I,CONCATENATE(Z$68,$B80,"W")))/(COUNTIFS(Database!$F:$I,CONCATENATE($B80,Z$68,"L"))+COUNTIFS(Database!$F:$I,CONCATENATE(Z$68,$B80,"L"))+COUNTIFS(Database!$F:$I,CONCATENATE($B80,Z$68,"W"))+COUNTIFS(Database!$F:$I,CONCATENATE(Z$68,$B80,"W"))),"-")</f>
        <v>0</v>
      </c>
      <c r="AA80" s="122" t="str">
        <f>IFERROR((COUNTIFS(Database!$F:$I,CONCATENATE($B80,AA$68,"W"))+COUNTIFS(Database!$F:$I,CONCATENATE(AA$68,$B80,"W")))/(COUNTIFS(Database!$F:$I,CONCATENATE($B80,AA$68,"L"))+COUNTIFS(Database!$F:$I,CONCATENATE(AA$68,$B80,"L"))+COUNTIFS(Database!$F:$I,CONCATENATE($B80,AA$68,"W"))+COUNTIFS(Database!$F:$I,CONCATENATE(AA$68,$B80,"W"))),"-")</f>
        <v>-</v>
      </c>
      <c r="AB80" s="122">
        <f>IFERROR((COUNTIFS(Database!$F:$I,CONCATENATE($B80,AB$68,"W"))+COUNTIFS(Database!$F:$I,CONCATENATE(AB$68,$B80,"W")))/(COUNTIFS(Database!$F:$I,CONCATENATE($B80,AB$68,"L"))+COUNTIFS(Database!$F:$I,CONCATENATE(AB$68,$B80,"L"))+COUNTIFS(Database!$F:$I,CONCATENATE($B80,AB$68,"W"))+COUNTIFS(Database!$F:$I,CONCATENATE(AB$68,$B80,"W"))),"-")</f>
        <v>0.4</v>
      </c>
      <c r="AC80" s="122">
        <f>IFERROR((COUNTIFS(Database!$F:$I,CONCATENATE($B80,AC$68,"W"))+COUNTIFS(Database!$F:$I,CONCATENATE(AC$68,$B80,"W")))/(COUNTIFS(Database!$F:$I,CONCATENATE($B80,AC$68,"L"))+COUNTIFS(Database!$F:$I,CONCATENATE(AC$68,$B80,"L"))+COUNTIFS(Database!$F:$I,CONCATENATE($B80,AC$68,"W"))+COUNTIFS(Database!$F:$I,CONCATENATE(AC$68,$B80,"W"))),"-")</f>
        <v>0</v>
      </c>
      <c r="AD80" s="122" t="str">
        <f>IFERROR((COUNTIFS(Database!$F:$I,CONCATENATE($B80,AD$68,"W"))+COUNTIFS(Database!$F:$I,CONCATENATE(AD$68,$B80,"W")))/(COUNTIFS(Database!$F:$I,CONCATENATE($B80,AD$68,"L"))+COUNTIFS(Database!$F:$I,CONCATENATE(AD$68,$B80,"L"))+COUNTIFS(Database!$F:$I,CONCATENATE($B80,AD$68,"W"))+COUNTIFS(Database!$F:$I,CONCATENATE(AD$68,$B80,"W"))),"-")</f>
        <v>-</v>
      </c>
      <c r="AE80" s="122" t="str">
        <f>IFERROR((COUNTIFS(Database!$F:$I,CONCATENATE($B80,AE$68,"W"))+COUNTIFS(Database!$F:$I,CONCATENATE(AE$68,$B80,"W")))/(COUNTIFS(Database!$F:$I,CONCATENATE($B80,AE$68,"L"))+COUNTIFS(Database!$F:$I,CONCATENATE(AE$68,$B80,"L"))+COUNTIFS(Database!$F:$I,CONCATENATE($B80,AE$68,"W"))+COUNTIFS(Database!$F:$I,CONCATENATE(AE$68,$B80,"W"))),"-")</f>
        <v>-</v>
      </c>
      <c r="AF80" s="122" t="str">
        <f>IFERROR((COUNTIFS(Database!$F:$I,CONCATENATE($B80,AF$68,"W"))+COUNTIFS(Database!$F:$I,CONCATENATE(AF$68,$B80,"W")))/(COUNTIFS(Database!$F:$I,CONCATENATE($B80,AF$68,"L"))+COUNTIFS(Database!$F:$I,CONCATENATE(AF$68,$B80,"L"))+COUNTIFS(Database!$F:$I,CONCATENATE($B80,AF$68,"W"))+COUNTIFS(Database!$F:$I,CONCATENATE(AF$68,$B80,"W"))),"-")</f>
        <v>-</v>
      </c>
      <c r="AG80" s="122" t="str">
        <f>IFERROR((COUNTIFS(Database!$F:$I,CONCATENATE($B80,AG$68,"W"))+COUNTIFS(Database!$F:$I,CONCATENATE(AG$68,$B80,"W")))/(COUNTIFS(Database!$F:$I,CONCATENATE($B80,AG$68,"L"))+COUNTIFS(Database!$F:$I,CONCATENATE(AG$68,$B80,"L"))+COUNTIFS(Database!$F:$I,CONCATENATE($B80,AG$68,"W"))+COUNTIFS(Database!$F:$I,CONCATENATE(AG$68,$B80,"W"))),"-")</f>
        <v>-</v>
      </c>
      <c r="AH80" s="122" t="str">
        <f>IFERROR((COUNTIFS(Database!$F:$I,CONCATENATE($B80,AH$68,"W"))+COUNTIFS(Database!$F:$I,CONCATENATE(AH$68,$B80,"W")))/(COUNTIFS(Database!$F:$I,CONCATENATE($B80,AH$68,"L"))+COUNTIFS(Database!$F:$I,CONCATENATE(AH$68,$B80,"L"))+COUNTIFS(Database!$F:$I,CONCATENATE($B80,AH$68,"W"))+COUNTIFS(Database!$F:$I,CONCATENATE(AH$68,$B80,"W"))),"-")</f>
        <v>-</v>
      </c>
      <c r="AI80" s="122" t="str">
        <f>IFERROR((COUNTIFS(Database!$F:$I,CONCATENATE($B80,AI$68,"W"))+COUNTIFS(Database!$F:$I,CONCATENATE(AI$68,$B80,"W")))/(COUNTIFS(Database!$F:$I,CONCATENATE($B80,AI$68,"L"))+COUNTIFS(Database!$F:$I,CONCATENATE(AI$68,$B80,"L"))+COUNTIFS(Database!$F:$I,CONCATENATE($B80,AI$68,"W"))+COUNTIFS(Database!$F:$I,CONCATENATE(AI$68,$B80,"W"))),"-")</f>
        <v>-</v>
      </c>
      <c r="AJ80" s="122" t="str">
        <f>IFERROR((COUNTIFS(Database!$F:$I,CONCATENATE($B80,AJ$68,"W"))+COUNTIFS(Database!$F:$I,CONCATENATE(AJ$68,$B80,"W")))/(COUNTIFS(Database!$F:$I,CONCATENATE($B80,AJ$68,"L"))+COUNTIFS(Database!$F:$I,CONCATENATE(AJ$68,$B80,"L"))+COUNTIFS(Database!$F:$I,CONCATENATE($B80,AJ$68,"W"))+COUNTIFS(Database!$F:$I,CONCATENATE(AJ$68,$B80,"W"))),"-")</f>
        <v>-</v>
      </c>
      <c r="AK80" s="122">
        <f>IFERROR((COUNTIFS(Database!$F:$I,CONCATENATE($B80,AK$68,"W"))+COUNTIFS(Database!$F:$I,CONCATENATE(AK$68,$B80,"W")))/(COUNTIFS(Database!$F:$I,CONCATENATE($B80,AK$68,"L"))+COUNTIFS(Database!$F:$I,CONCATENATE(AK$68,$B80,"L"))+COUNTIFS(Database!$F:$I,CONCATENATE($B80,AK$68,"W"))+COUNTIFS(Database!$F:$I,CONCATENATE(AK$68,$B80,"W"))),"-")</f>
        <v>1</v>
      </c>
      <c r="AL80" s="122">
        <f>IFERROR((COUNTIFS(Database!$F:$I,CONCATENATE($B80,AL$68,"W"))+COUNTIFS(Database!$F:$I,CONCATENATE(AL$68,$B80,"W")))/(COUNTIFS(Database!$F:$I,CONCATENATE($B80,AL$68,"L"))+COUNTIFS(Database!$F:$I,CONCATENATE(AL$68,$B80,"L"))+COUNTIFS(Database!$F:$I,CONCATENATE($B80,AL$68,"W"))+COUNTIFS(Database!$F:$I,CONCATENATE(AL$68,$B80,"W"))),"-")</f>
        <v>1</v>
      </c>
      <c r="AM80" s="122" t="str">
        <f>IFERROR((COUNTIFS(Database!$F:$I,CONCATENATE($B80,AM$68,"W"))+COUNTIFS(Database!$F:$I,CONCATENATE(AM$68,$B80,"W")))/(COUNTIFS(Database!$F:$I,CONCATENATE($B80,AM$68,"L"))+COUNTIFS(Database!$F:$I,CONCATENATE(AM$68,$B80,"L"))+COUNTIFS(Database!$F:$I,CONCATENATE($B80,AM$68,"W"))+COUNTIFS(Database!$F:$I,CONCATENATE(AM$68,$B80,"W"))),"-")</f>
        <v>-</v>
      </c>
      <c r="AN80" s="122" t="str">
        <f>IFERROR((COUNTIFS(Database!$F:$I,CONCATENATE($B80,AN$68,"W"))+COUNTIFS(Database!$F:$I,CONCATENATE(AN$68,$B80,"W")))/(COUNTIFS(Database!$F:$I,CONCATENATE($B80,AN$68,"L"))+COUNTIFS(Database!$F:$I,CONCATENATE(AN$68,$B80,"L"))+COUNTIFS(Database!$F:$I,CONCATENATE($B80,AN$68,"W"))+COUNTIFS(Database!$F:$I,CONCATENATE(AN$68,$B80,"W"))),"-")</f>
        <v>-</v>
      </c>
      <c r="AO80" s="122">
        <f>IFERROR((COUNTIFS(Database!$F:$I,CONCATENATE($B80,AO$68,"W"))+COUNTIFS(Database!$F:$I,CONCATENATE(AO$68,$B80,"W")))/(COUNTIFS(Database!$F:$I,CONCATENATE($B80,AO$68,"L"))+COUNTIFS(Database!$F:$I,CONCATENATE(AO$68,$B80,"L"))+COUNTIFS(Database!$F:$I,CONCATENATE($B80,AO$68,"W"))+COUNTIFS(Database!$F:$I,CONCATENATE(AO$68,$B80,"W"))),"-")</f>
        <v>0</v>
      </c>
      <c r="AP80" s="122" t="str">
        <f>IFERROR((COUNTIFS(Database!$F:$I,CONCATENATE($B80,AP$68,"W"))+COUNTIFS(Database!$F:$I,CONCATENATE(AP$68,$B80,"W")))/(COUNTIFS(Database!$F:$I,CONCATENATE($B80,AP$68,"L"))+COUNTIFS(Database!$F:$I,CONCATENATE(AP$68,$B80,"L"))+COUNTIFS(Database!$F:$I,CONCATENATE($B80,AP$68,"W"))+COUNTIFS(Database!$F:$I,CONCATENATE(AP$68,$B80,"W"))),"-")</f>
        <v>-</v>
      </c>
      <c r="AQ80" s="122">
        <f>IFERROR((COUNTIFS(Database!$F:$I,CONCATENATE($B80,AQ$68,"W"))+COUNTIFS(Database!$F:$I,CONCATENATE(AQ$68,$B80,"W")))/(COUNTIFS(Database!$F:$I,CONCATENATE($B80,AQ$68,"L"))+COUNTIFS(Database!$F:$I,CONCATENATE(AQ$68,$B80,"L"))+COUNTIFS(Database!$F:$I,CONCATENATE($B80,AQ$68,"W"))+COUNTIFS(Database!$F:$I,CONCATENATE(AQ$68,$B80,"W"))),"-")</f>
        <v>0</v>
      </c>
      <c r="AR80" s="122" t="str">
        <f>IFERROR((COUNTIFS(Database!$F:$I,CONCATENATE($B80,AR$68,"W"))+COUNTIFS(Database!$F:$I,CONCATENATE(AR$68,$B80,"W")))/(COUNTIFS(Database!$F:$I,CONCATENATE($B80,AR$68,"L"))+COUNTIFS(Database!$F:$I,CONCATENATE(AR$68,$B80,"L"))+COUNTIFS(Database!$F:$I,CONCATENATE($B80,AR$68,"W"))+COUNTIFS(Database!$F:$I,CONCATENATE(AR$68,$B80,"W"))),"-")</f>
        <v>-</v>
      </c>
      <c r="AS80" s="122" t="str">
        <f>IFERROR((COUNTIFS(Database!$F:$I,CONCATENATE($B80,AS$68,"W"))+COUNTIFS(Database!$F:$I,CONCATENATE(AS$68,$B80,"W")))/(COUNTIFS(Database!$F:$I,CONCATENATE($B80,AS$68,"L"))+COUNTIFS(Database!$F:$I,CONCATENATE(AS$68,$B80,"L"))+COUNTIFS(Database!$F:$I,CONCATENATE($B80,AS$68,"W"))+COUNTIFS(Database!$F:$I,CONCATENATE(AS$68,$B80,"W"))),"-")</f>
        <v>-</v>
      </c>
      <c r="AT80" s="122" t="str">
        <f>IFERROR((COUNTIFS(Database!$F:$I,CONCATENATE($B80,AT$68,"W"))+COUNTIFS(Database!$F:$I,CONCATENATE(AT$68,$B80,"W")))/(COUNTIFS(Database!$F:$I,CONCATENATE($B80,AT$68,"L"))+COUNTIFS(Database!$F:$I,CONCATENATE(AT$68,$B80,"L"))+COUNTIFS(Database!$F:$I,CONCATENATE($B80,AT$68,"W"))+COUNTIFS(Database!$F:$I,CONCATENATE(AT$68,$B80,"W"))),"-")</f>
        <v>-</v>
      </c>
      <c r="AU80" s="122" t="str">
        <f>IFERROR((COUNTIFS(Database!$F:$I,CONCATENATE($B80,AU$68,"W"))+COUNTIFS(Database!$F:$I,CONCATENATE(AU$68,$B80,"W")))/(COUNTIFS(Database!$F:$I,CONCATENATE($B80,AU$68,"L"))+COUNTIFS(Database!$F:$I,CONCATENATE(AU$68,$B80,"L"))+COUNTIFS(Database!$F:$I,CONCATENATE($B80,AU$68,"W"))+COUNTIFS(Database!$F:$I,CONCATENATE(AU$68,$B80,"W"))),"-")</f>
        <v>-</v>
      </c>
      <c r="AV80" s="122" t="str">
        <f>IFERROR((COUNTIFS(Database!$F:$I,CONCATENATE($B80,AV$68,"W"))+COUNTIFS(Database!$F:$I,CONCATENATE(AV$68,$B80,"W")))/(COUNTIFS(Database!$F:$I,CONCATENATE($B80,AV$68,"L"))+COUNTIFS(Database!$F:$I,CONCATENATE(AV$68,$B80,"L"))+COUNTIFS(Database!$F:$I,CONCATENATE($B80,AV$68,"W"))+COUNTIFS(Database!$F:$I,CONCATENATE(AV$68,$B80,"W"))),"-")</f>
        <v>-</v>
      </c>
      <c r="AW80" s="122" t="str">
        <f>IFERROR((COUNTIFS(Database!$F:$I,CONCATENATE($B80,AW$68,"W"))+COUNTIFS(Database!$F:$I,CONCATENATE(AW$68,$B80,"W")))/(COUNTIFS(Database!$F:$I,CONCATENATE($B80,AW$68,"L"))+COUNTIFS(Database!$F:$I,CONCATENATE(AW$68,$B80,"L"))+COUNTIFS(Database!$F:$I,CONCATENATE($B80,AW$68,"W"))+COUNTIFS(Database!$F:$I,CONCATENATE(AW$68,$B80,"W"))),"-")</f>
        <v>-</v>
      </c>
      <c r="AX80" s="122" t="str">
        <f>IFERROR((COUNTIFS(Database!$F:$I,CONCATENATE($B80,AX$68,"W"))+COUNTIFS(Database!$F:$I,CONCATENATE(AX$68,$B80,"W")))/(COUNTIFS(Database!$F:$I,CONCATENATE($B80,AX$68,"L"))+COUNTIFS(Database!$F:$I,CONCATENATE(AX$68,$B80,"L"))+COUNTIFS(Database!$F:$I,CONCATENATE($B80,AX$68,"W"))+COUNTIFS(Database!$F:$I,CONCATENATE(AX$68,$B80,"W"))),"-")</f>
        <v>-</v>
      </c>
      <c r="AY80" s="122">
        <f>IFERROR((COUNTIFS(Database!$F:$I,CONCATENATE($B80,AY$68,"W"))+COUNTIFS(Database!$F:$I,CONCATENATE(AY$68,$B80,"W")))/(COUNTIFS(Database!$F:$I,CONCATENATE($B80,AY$68,"L"))+COUNTIFS(Database!$F:$I,CONCATENATE(AY$68,$B80,"L"))+COUNTIFS(Database!$F:$I,CONCATENATE($B80,AY$68,"W"))+COUNTIFS(Database!$F:$I,CONCATENATE(AY$68,$B80,"W"))),"-")</f>
        <v>0.33333333333333331</v>
      </c>
    </row>
    <row r="81" spans="2:51" x14ac:dyDescent="0.25">
      <c r="B81" s="120" t="s">
        <v>35</v>
      </c>
      <c r="C81" s="122">
        <f>IFERROR((COUNTIFS(Database!$F:$I,CONCATENATE($B81,C$68,"W"))+COUNTIFS(Database!$F:$I,CONCATENATE(C$68,$B81,"W")))/(COUNTIFS(Database!$F:$I,CONCATENATE($B81,C$68,"L"))+COUNTIFS(Database!$F:$I,CONCATENATE(C$68,$B81,"L"))+COUNTIFS(Database!$F:$I,CONCATENATE($B81,C$68,"W"))+COUNTIFS(Database!$F:$I,CONCATENATE(C$68,$B81,"W"))),"-")</f>
        <v>0.5</v>
      </c>
      <c r="D81" s="122" t="str">
        <f>IFERROR((COUNTIFS(Database!$F:$I,CONCATENATE($B81,D$68,"W"))+COUNTIFS(Database!$F:$I,CONCATENATE(D$68,$B81,"W")))/(COUNTIFS(Database!$F:$I,CONCATENATE($B81,D$68,"L"))+COUNTIFS(Database!$F:$I,CONCATENATE(D$68,$B81,"L"))+COUNTIFS(Database!$F:$I,CONCATENATE($B81,D$68,"W"))+COUNTIFS(Database!$F:$I,CONCATENATE(D$68,$B81,"W"))),"-")</f>
        <v>-</v>
      </c>
      <c r="E81" s="122">
        <f>IFERROR((COUNTIFS(Database!$F:$I,CONCATENATE($B81,E$68,"W"))+COUNTIFS(Database!$F:$I,CONCATENATE(E$68,$B81,"W")))/(COUNTIFS(Database!$F:$I,CONCATENATE($B81,E$68,"L"))+COUNTIFS(Database!$F:$I,CONCATENATE(E$68,$B81,"L"))+COUNTIFS(Database!$F:$I,CONCATENATE($B81,E$68,"W"))+COUNTIFS(Database!$F:$I,CONCATENATE(E$68,$B81,"W"))),"-")</f>
        <v>0.5714285714285714</v>
      </c>
      <c r="F81" s="122">
        <f>IFERROR((COUNTIFS(Database!$F:$I,CONCATENATE($B81,F$68,"W"))+COUNTIFS(Database!$F:$I,CONCATENATE(F$68,$B81,"W")))/(COUNTIFS(Database!$F:$I,CONCATENATE($B81,F$68,"L"))+COUNTIFS(Database!$F:$I,CONCATENATE(F$68,$B81,"L"))+COUNTIFS(Database!$F:$I,CONCATENATE($B81,F$68,"W"))+COUNTIFS(Database!$F:$I,CONCATENATE(F$68,$B81,"W"))),"-")</f>
        <v>0.4</v>
      </c>
      <c r="G81" s="122">
        <f>IFERROR((COUNTIFS(Database!$F:$I,CONCATENATE($B81,G$68,"W"))+COUNTIFS(Database!$F:$I,CONCATENATE(G$68,$B81,"W")))/(COUNTIFS(Database!$F:$I,CONCATENATE($B81,G$68,"L"))+COUNTIFS(Database!$F:$I,CONCATENATE(G$68,$B81,"L"))+COUNTIFS(Database!$F:$I,CONCATENATE($B81,G$68,"W"))+COUNTIFS(Database!$F:$I,CONCATENATE(G$68,$B81,"W"))),"-")</f>
        <v>0</v>
      </c>
      <c r="H81" s="122" t="str">
        <f>IFERROR((COUNTIFS(Database!$F:$I,CONCATENATE($B81,H$68,"W"))+COUNTIFS(Database!$F:$I,CONCATENATE(H$68,$B81,"W")))/(COUNTIFS(Database!$F:$I,CONCATENATE($B81,H$68,"L"))+COUNTIFS(Database!$F:$I,CONCATENATE(H$68,$B81,"L"))+COUNTIFS(Database!$F:$I,CONCATENATE($B81,H$68,"W"))+COUNTIFS(Database!$F:$I,CONCATENATE(H$68,$B81,"W"))),"-")</f>
        <v>-</v>
      </c>
      <c r="I81" s="122" t="str">
        <f>IFERROR((COUNTIFS(Database!$F:$I,CONCATENATE($B81,I$68,"W"))+COUNTIFS(Database!$F:$I,CONCATENATE(I$68,$B81,"W")))/(COUNTIFS(Database!$F:$I,CONCATENATE($B81,I$68,"L"))+COUNTIFS(Database!$F:$I,CONCATENATE(I$68,$B81,"L"))+COUNTIFS(Database!$F:$I,CONCATENATE($B81,I$68,"W"))+COUNTIFS(Database!$F:$I,CONCATENATE(I$68,$B81,"W"))),"-")</f>
        <v>-</v>
      </c>
      <c r="J81" s="122">
        <f>IFERROR((COUNTIFS(Database!$F:$I,CONCATENATE($B81,J$68,"W"))+COUNTIFS(Database!$F:$I,CONCATENATE(J$68,$B81,"W")))/(COUNTIFS(Database!$F:$I,CONCATENATE($B81,J$68,"L"))+COUNTIFS(Database!$F:$I,CONCATENATE(J$68,$B81,"L"))+COUNTIFS(Database!$F:$I,CONCATENATE($B81,J$68,"W"))+COUNTIFS(Database!$F:$I,CONCATENATE(J$68,$B81,"W"))),"-")</f>
        <v>0.2</v>
      </c>
      <c r="K81" s="122">
        <f>IFERROR((COUNTIFS(Database!$F:$I,CONCATENATE($B81,K$68,"W"))+COUNTIFS(Database!$F:$I,CONCATENATE(K$68,$B81,"W")))/(COUNTIFS(Database!$F:$I,CONCATENATE($B81,K$68,"L"))+COUNTIFS(Database!$F:$I,CONCATENATE(K$68,$B81,"L"))+COUNTIFS(Database!$F:$I,CONCATENATE($B81,K$68,"W"))+COUNTIFS(Database!$F:$I,CONCATENATE(K$68,$B81,"W"))),"-")</f>
        <v>0.42857142857142855</v>
      </c>
      <c r="L81" s="122">
        <f>IFERROR((COUNTIFS(Database!$F:$I,CONCATENATE($B81,L$68,"W"))+COUNTIFS(Database!$F:$I,CONCATENATE(L$68,$B81,"W")))/(COUNTIFS(Database!$F:$I,CONCATENATE($B81,L$68,"L"))+COUNTIFS(Database!$F:$I,CONCATENATE(L$68,$B81,"L"))+COUNTIFS(Database!$F:$I,CONCATENATE($B81,L$68,"W"))+COUNTIFS(Database!$F:$I,CONCATENATE(L$68,$B81,"W"))),"-")</f>
        <v>0.33333333333333331</v>
      </c>
      <c r="M81" s="122">
        <f>IFERROR((COUNTIFS(Database!$F:$I,CONCATENATE($B81,M$68,"W"))+COUNTIFS(Database!$F:$I,CONCATENATE(M$68,$B81,"W")))/(COUNTIFS(Database!$F:$I,CONCATENATE($B81,M$68,"L"))+COUNTIFS(Database!$F:$I,CONCATENATE(M$68,$B81,"L"))+COUNTIFS(Database!$F:$I,CONCATENATE($B81,M$68,"W"))+COUNTIFS(Database!$F:$I,CONCATENATE(M$68,$B81,"W"))),"-")</f>
        <v>1</v>
      </c>
      <c r="N81" s="122">
        <f>IFERROR((COUNTIFS(Database!$F:$I,CONCATENATE($B81,N$68,"W"))+COUNTIFS(Database!$F:$I,CONCATENATE(N$68,$B81,"W")))/(COUNTIFS(Database!$F:$I,CONCATENATE($B81,N$68,"L"))+COUNTIFS(Database!$F:$I,CONCATENATE(N$68,$B81,"L"))+COUNTIFS(Database!$F:$I,CONCATENATE($B81,N$68,"W"))+COUNTIFS(Database!$F:$I,CONCATENATE(N$68,$B81,"W"))),"-")</f>
        <v>0.375</v>
      </c>
      <c r="O81" s="122" t="str">
        <f>IFERROR((COUNTIFS(Database!$F:$I,CONCATENATE($B81,O$68,"W"))+COUNTIFS(Database!$F:$I,CONCATENATE(O$68,$B81,"W")))/(COUNTIFS(Database!$F:$I,CONCATENATE($B81,O$68,"L"))+COUNTIFS(Database!$F:$I,CONCATENATE(O$68,$B81,"L"))+COUNTIFS(Database!$F:$I,CONCATENATE($B81,O$68,"W"))+COUNTIFS(Database!$F:$I,CONCATENATE(O$68,$B81,"W"))),"-")</f>
        <v>-</v>
      </c>
      <c r="P81" s="122">
        <f>IFERROR((COUNTIFS(Database!$F:$I,CONCATENATE($B81,P$68,"W"))+COUNTIFS(Database!$F:$I,CONCATENATE(P$68,$B81,"W")))/(COUNTIFS(Database!$F:$I,CONCATENATE($B81,P$68,"L"))+COUNTIFS(Database!$F:$I,CONCATENATE(P$68,$B81,"L"))+COUNTIFS(Database!$F:$I,CONCATENATE($B81,P$68,"W"))+COUNTIFS(Database!$F:$I,CONCATENATE(P$68,$B81,"W"))),"-")</f>
        <v>1</v>
      </c>
      <c r="Q81" s="122">
        <f>IFERROR((COUNTIFS(Database!$F:$I,CONCATENATE($B81,Q$68,"W"))+COUNTIFS(Database!$F:$I,CONCATENATE(Q$68,$B81,"W")))/(COUNTIFS(Database!$F:$I,CONCATENATE($B81,Q$68,"L"))+COUNTIFS(Database!$F:$I,CONCATENATE(Q$68,$B81,"L"))+COUNTIFS(Database!$F:$I,CONCATENATE($B81,Q$68,"W"))+COUNTIFS(Database!$F:$I,CONCATENATE(Q$68,$B81,"W"))),"-")</f>
        <v>0</v>
      </c>
      <c r="R81" s="122">
        <f>IFERROR((COUNTIFS(Database!$F:$I,CONCATENATE($B81,R$68,"W"))+COUNTIFS(Database!$F:$I,CONCATENATE(R$68,$B81,"W")))/(COUNTIFS(Database!$F:$I,CONCATENATE($B81,R$68,"L"))+COUNTIFS(Database!$F:$I,CONCATENATE(R$68,$B81,"L"))+COUNTIFS(Database!$F:$I,CONCATENATE($B81,R$68,"W"))+COUNTIFS(Database!$F:$I,CONCATENATE(R$68,$B81,"W"))),"-")</f>
        <v>1</v>
      </c>
      <c r="S81" s="122">
        <f>IFERROR((COUNTIFS(Database!$F:$I,CONCATENATE($B81,S$68,"W"))+COUNTIFS(Database!$F:$I,CONCATENATE(S$68,$B81,"W")))/(COUNTIFS(Database!$F:$I,CONCATENATE($B81,S$68,"L"))+COUNTIFS(Database!$F:$I,CONCATENATE(S$68,$B81,"L"))+COUNTIFS(Database!$F:$I,CONCATENATE($B81,S$68,"W"))+COUNTIFS(Database!$F:$I,CONCATENATE(S$68,$B81,"W"))),"-")</f>
        <v>0</v>
      </c>
      <c r="T81" s="122">
        <f>IFERROR((COUNTIFS(Database!$F:$I,CONCATENATE($B81,T$68,"W"))+COUNTIFS(Database!$F:$I,CONCATENATE(T$68,$B81,"W")))/(COUNTIFS(Database!$F:$I,CONCATENATE($B81,T$68,"L"))+COUNTIFS(Database!$F:$I,CONCATENATE(T$68,$B81,"L"))+COUNTIFS(Database!$F:$I,CONCATENATE($B81,T$68,"W"))+COUNTIFS(Database!$F:$I,CONCATENATE(T$68,$B81,"W"))),"-")</f>
        <v>0.66666666666666663</v>
      </c>
      <c r="U81" s="122" t="str">
        <f>IFERROR((COUNTIFS(Database!$F:$I,CONCATENATE($B81,U$68,"W"))+COUNTIFS(Database!$F:$I,CONCATENATE(U$68,$B81,"W")))/(COUNTIFS(Database!$F:$I,CONCATENATE($B81,U$68,"L"))+COUNTIFS(Database!$F:$I,CONCATENATE(U$68,$B81,"L"))+COUNTIFS(Database!$F:$I,CONCATENATE($B81,U$68,"W"))+COUNTIFS(Database!$F:$I,CONCATENATE(U$68,$B81,"W"))),"-")</f>
        <v>-</v>
      </c>
      <c r="V81" s="122" t="str">
        <f>IFERROR((COUNTIFS(Database!$F:$I,CONCATENATE($B81,V$68,"W"))+COUNTIFS(Database!$F:$I,CONCATENATE(V$68,$B81,"W")))/(COUNTIFS(Database!$F:$I,CONCATENATE($B81,V$68,"L"))+COUNTIFS(Database!$F:$I,CONCATENATE(V$68,$B81,"L"))+COUNTIFS(Database!$F:$I,CONCATENATE($B81,V$68,"W"))+COUNTIFS(Database!$F:$I,CONCATENATE(V$68,$B81,"W"))),"-")</f>
        <v>-</v>
      </c>
      <c r="W81" s="122">
        <f>IFERROR((COUNTIFS(Database!$F:$I,CONCATENATE($B81,W$68,"W"))+COUNTIFS(Database!$F:$I,CONCATENATE(W$68,$B81,"W")))/(COUNTIFS(Database!$F:$I,CONCATENATE($B81,W$68,"L"))+COUNTIFS(Database!$F:$I,CONCATENATE(W$68,$B81,"L"))+COUNTIFS(Database!$F:$I,CONCATENATE($B81,W$68,"W"))+COUNTIFS(Database!$F:$I,CONCATENATE(W$68,$B81,"W"))),"-")</f>
        <v>0.5</v>
      </c>
      <c r="X81" s="122" t="str">
        <f>IFERROR((COUNTIFS(Database!$F:$I,CONCATENATE($B81,X$68,"W"))+COUNTIFS(Database!$F:$I,CONCATENATE(X$68,$B81,"W")))/(COUNTIFS(Database!$F:$I,CONCATENATE($B81,X$68,"L"))+COUNTIFS(Database!$F:$I,CONCATENATE(X$68,$B81,"L"))+COUNTIFS(Database!$F:$I,CONCATENATE($B81,X$68,"W"))+COUNTIFS(Database!$F:$I,CONCATENATE(X$68,$B81,"W"))),"-")</f>
        <v>-</v>
      </c>
      <c r="Y81" s="122">
        <f>IFERROR((COUNTIFS(Database!$F:$I,CONCATENATE($B81,Y$68,"W"))+COUNTIFS(Database!$F:$I,CONCATENATE(Y$68,$B81,"W")))/(COUNTIFS(Database!$F:$I,CONCATENATE($B81,Y$68,"L"))+COUNTIFS(Database!$F:$I,CONCATENATE(Y$68,$B81,"L"))+COUNTIFS(Database!$F:$I,CONCATENATE($B81,Y$68,"W"))+COUNTIFS(Database!$F:$I,CONCATENATE(Y$68,$B81,"W"))),"-")</f>
        <v>0</v>
      </c>
      <c r="Z81" s="122">
        <f>IFERROR((COUNTIFS(Database!$F:$I,CONCATENATE($B81,Z$68,"W"))+COUNTIFS(Database!$F:$I,CONCATENATE(Z$68,$B81,"W")))/(COUNTIFS(Database!$F:$I,CONCATENATE($B81,Z$68,"L"))+COUNTIFS(Database!$F:$I,CONCATENATE(Z$68,$B81,"L"))+COUNTIFS(Database!$F:$I,CONCATENATE($B81,Z$68,"W"))+COUNTIFS(Database!$F:$I,CONCATENATE(Z$68,$B81,"W"))),"-")</f>
        <v>0.5</v>
      </c>
      <c r="AA81" s="122" t="str">
        <f>IFERROR((COUNTIFS(Database!$F:$I,CONCATENATE($B81,AA$68,"W"))+COUNTIFS(Database!$F:$I,CONCATENATE(AA$68,$B81,"W")))/(COUNTIFS(Database!$F:$I,CONCATENATE($B81,AA$68,"L"))+COUNTIFS(Database!$F:$I,CONCATENATE(AA$68,$B81,"L"))+COUNTIFS(Database!$F:$I,CONCATENATE($B81,AA$68,"W"))+COUNTIFS(Database!$F:$I,CONCATENATE(AA$68,$B81,"W"))),"-")</f>
        <v>-</v>
      </c>
      <c r="AB81" s="122">
        <f>IFERROR((COUNTIFS(Database!$F:$I,CONCATENATE($B81,AB$68,"W"))+COUNTIFS(Database!$F:$I,CONCATENATE(AB$68,$B81,"W")))/(COUNTIFS(Database!$F:$I,CONCATENATE($B81,AB$68,"L"))+COUNTIFS(Database!$F:$I,CONCATENATE(AB$68,$B81,"L"))+COUNTIFS(Database!$F:$I,CONCATENATE($B81,AB$68,"W"))+COUNTIFS(Database!$F:$I,CONCATENATE(AB$68,$B81,"W"))),"-")</f>
        <v>0.375</v>
      </c>
      <c r="AC81" s="122">
        <f>IFERROR((COUNTIFS(Database!$F:$I,CONCATENATE($B81,AC$68,"W"))+COUNTIFS(Database!$F:$I,CONCATENATE(AC$68,$B81,"W")))/(COUNTIFS(Database!$F:$I,CONCATENATE($B81,AC$68,"L"))+COUNTIFS(Database!$F:$I,CONCATENATE(AC$68,$B81,"L"))+COUNTIFS(Database!$F:$I,CONCATENATE($B81,AC$68,"W"))+COUNTIFS(Database!$F:$I,CONCATENATE(AC$68,$B81,"W"))),"-")</f>
        <v>0.5</v>
      </c>
      <c r="AD81" s="122" t="str">
        <f>IFERROR((COUNTIFS(Database!$F:$I,CONCATENATE($B81,AD$68,"W"))+COUNTIFS(Database!$F:$I,CONCATENATE(AD$68,$B81,"W")))/(COUNTIFS(Database!$F:$I,CONCATENATE($B81,AD$68,"L"))+COUNTIFS(Database!$F:$I,CONCATENATE(AD$68,$B81,"L"))+COUNTIFS(Database!$F:$I,CONCATENATE($B81,AD$68,"W"))+COUNTIFS(Database!$F:$I,CONCATENATE(AD$68,$B81,"W"))),"-")</f>
        <v>-</v>
      </c>
      <c r="AE81" s="122" t="str">
        <f>IFERROR((COUNTIFS(Database!$F:$I,CONCATENATE($B81,AE$68,"W"))+COUNTIFS(Database!$F:$I,CONCATENATE(AE$68,$B81,"W")))/(COUNTIFS(Database!$F:$I,CONCATENATE($B81,AE$68,"L"))+COUNTIFS(Database!$F:$I,CONCATENATE(AE$68,$B81,"L"))+COUNTIFS(Database!$F:$I,CONCATENATE($B81,AE$68,"W"))+COUNTIFS(Database!$F:$I,CONCATENATE(AE$68,$B81,"W"))),"-")</f>
        <v>-</v>
      </c>
      <c r="AF81" s="122">
        <f>IFERROR((COUNTIFS(Database!$F:$I,CONCATENATE($B81,AF$68,"W"))+COUNTIFS(Database!$F:$I,CONCATENATE(AF$68,$B81,"W")))/(COUNTIFS(Database!$F:$I,CONCATENATE($B81,AF$68,"L"))+COUNTIFS(Database!$F:$I,CONCATENATE(AF$68,$B81,"L"))+COUNTIFS(Database!$F:$I,CONCATENATE($B81,AF$68,"W"))+COUNTIFS(Database!$F:$I,CONCATENATE(AF$68,$B81,"W"))),"-")</f>
        <v>0</v>
      </c>
      <c r="AG81" s="122">
        <f>IFERROR((COUNTIFS(Database!$F:$I,CONCATENATE($B81,AG$68,"W"))+COUNTIFS(Database!$F:$I,CONCATENATE(AG$68,$B81,"W")))/(COUNTIFS(Database!$F:$I,CONCATENATE($B81,AG$68,"L"))+COUNTIFS(Database!$F:$I,CONCATENATE(AG$68,$B81,"L"))+COUNTIFS(Database!$F:$I,CONCATENATE($B81,AG$68,"W"))+COUNTIFS(Database!$F:$I,CONCATENATE(AG$68,$B81,"W"))),"-")</f>
        <v>0</v>
      </c>
      <c r="AH81" s="122" t="str">
        <f>IFERROR((COUNTIFS(Database!$F:$I,CONCATENATE($B81,AH$68,"W"))+COUNTIFS(Database!$F:$I,CONCATENATE(AH$68,$B81,"W")))/(COUNTIFS(Database!$F:$I,CONCATENATE($B81,AH$68,"L"))+COUNTIFS(Database!$F:$I,CONCATENATE(AH$68,$B81,"L"))+COUNTIFS(Database!$F:$I,CONCATENATE($B81,AH$68,"W"))+COUNTIFS(Database!$F:$I,CONCATENATE(AH$68,$B81,"W"))),"-")</f>
        <v>-</v>
      </c>
      <c r="AI81" s="122">
        <f>IFERROR((COUNTIFS(Database!$F:$I,CONCATENATE($B81,AI$68,"W"))+COUNTIFS(Database!$F:$I,CONCATENATE(AI$68,$B81,"W")))/(COUNTIFS(Database!$F:$I,CONCATENATE($B81,AI$68,"L"))+COUNTIFS(Database!$F:$I,CONCATENATE(AI$68,$B81,"L"))+COUNTIFS(Database!$F:$I,CONCATENATE($B81,AI$68,"W"))+COUNTIFS(Database!$F:$I,CONCATENATE(AI$68,$B81,"W"))),"-")</f>
        <v>1</v>
      </c>
      <c r="AJ81" s="122">
        <f>IFERROR((COUNTIFS(Database!$F:$I,CONCATENATE($B81,AJ$68,"W"))+COUNTIFS(Database!$F:$I,CONCATENATE(AJ$68,$B81,"W")))/(COUNTIFS(Database!$F:$I,CONCATENATE($B81,AJ$68,"L"))+COUNTIFS(Database!$F:$I,CONCATENATE(AJ$68,$B81,"L"))+COUNTIFS(Database!$F:$I,CONCATENATE($B81,AJ$68,"W"))+COUNTIFS(Database!$F:$I,CONCATENATE(AJ$68,$B81,"W"))),"-")</f>
        <v>0</v>
      </c>
      <c r="AK81" s="122">
        <f>IFERROR((COUNTIFS(Database!$F:$I,CONCATENATE($B81,AK$68,"W"))+COUNTIFS(Database!$F:$I,CONCATENATE(AK$68,$B81,"W")))/(COUNTIFS(Database!$F:$I,CONCATENATE($B81,AK$68,"L"))+COUNTIFS(Database!$F:$I,CONCATENATE(AK$68,$B81,"L"))+COUNTIFS(Database!$F:$I,CONCATENATE($B81,AK$68,"W"))+COUNTIFS(Database!$F:$I,CONCATENATE(AK$68,$B81,"W"))),"-")</f>
        <v>0.75</v>
      </c>
      <c r="AL81" s="122">
        <f>IFERROR((COUNTIFS(Database!$F:$I,CONCATENATE($B81,AL$68,"W"))+COUNTIFS(Database!$F:$I,CONCATENATE(AL$68,$B81,"W")))/(COUNTIFS(Database!$F:$I,CONCATENATE($B81,AL$68,"L"))+COUNTIFS(Database!$F:$I,CONCATENATE(AL$68,$B81,"L"))+COUNTIFS(Database!$F:$I,CONCATENATE($B81,AL$68,"W"))+COUNTIFS(Database!$F:$I,CONCATENATE(AL$68,$B81,"W"))),"-")</f>
        <v>0.33333333333333331</v>
      </c>
      <c r="AM81" s="122" t="str">
        <f>IFERROR((COUNTIFS(Database!$F:$I,CONCATENATE($B81,AM$68,"W"))+COUNTIFS(Database!$F:$I,CONCATENATE(AM$68,$B81,"W")))/(COUNTIFS(Database!$F:$I,CONCATENATE($B81,AM$68,"L"))+COUNTIFS(Database!$F:$I,CONCATENATE(AM$68,$B81,"L"))+COUNTIFS(Database!$F:$I,CONCATENATE($B81,AM$68,"W"))+COUNTIFS(Database!$F:$I,CONCATENATE(AM$68,$B81,"W"))),"-")</f>
        <v>-</v>
      </c>
      <c r="AN81" s="122" t="str">
        <f>IFERROR((COUNTIFS(Database!$F:$I,CONCATENATE($B81,AN$68,"W"))+COUNTIFS(Database!$F:$I,CONCATENATE(AN$68,$B81,"W")))/(COUNTIFS(Database!$F:$I,CONCATENATE($B81,AN$68,"L"))+COUNTIFS(Database!$F:$I,CONCATENATE(AN$68,$B81,"L"))+COUNTIFS(Database!$F:$I,CONCATENATE($B81,AN$68,"W"))+COUNTIFS(Database!$F:$I,CONCATENATE(AN$68,$B81,"W"))),"-")</f>
        <v>-</v>
      </c>
      <c r="AO81" s="122">
        <f>IFERROR((COUNTIFS(Database!$F:$I,CONCATENATE($B81,AO$68,"W"))+COUNTIFS(Database!$F:$I,CONCATENATE(AO$68,$B81,"W")))/(COUNTIFS(Database!$F:$I,CONCATENATE($B81,AO$68,"L"))+COUNTIFS(Database!$F:$I,CONCATENATE(AO$68,$B81,"L"))+COUNTIFS(Database!$F:$I,CONCATENATE($B81,AO$68,"W"))+COUNTIFS(Database!$F:$I,CONCATENATE(AO$68,$B81,"W"))),"-")</f>
        <v>0.33333333333333331</v>
      </c>
      <c r="AP81" s="122">
        <f>IFERROR((COUNTIFS(Database!$F:$I,CONCATENATE($B81,AP$68,"W"))+COUNTIFS(Database!$F:$I,CONCATENATE(AP$68,$B81,"W")))/(COUNTIFS(Database!$F:$I,CONCATENATE($B81,AP$68,"L"))+COUNTIFS(Database!$F:$I,CONCATENATE(AP$68,$B81,"L"))+COUNTIFS(Database!$F:$I,CONCATENATE($B81,AP$68,"W"))+COUNTIFS(Database!$F:$I,CONCATENATE(AP$68,$B81,"W"))),"-")</f>
        <v>1</v>
      </c>
      <c r="AQ81" s="122">
        <f>IFERROR((COUNTIFS(Database!$F:$I,CONCATENATE($B81,AQ$68,"W"))+COUNTIFS(Database!$F:$I,CONCATENATE(AQ$68,$B81,"W")))/(COUNTIFS(Database!$F:$I,CONCATENATE($B81,AQ$68,"L"))+COUNTIFS(Database!$F:$I,CONCATENATE(AQ$68,$B81,"L"))+COUNTIFS(Database!$F:$I,CONCATENATE($B81,AQ$68,"W"))+COUNTIFS(Database!$F:$I,CONCATENATE(AQ$68,$B81,"W"))),"-")</f>
        <v>0</v>
      </c>
      <c r="AR81" s="122">
        <f>IFERROR((COUNTIFS(Database!$F:$I,CONCATENATE($B81,AR$68,"W"))+COUNTIFS(Database!$F:$I,CONCATENATE(AR$68,$B81,"W")))/(COUNTIFS(Database!$F:$I,CONCATENATE($B81,AR$68,"L"))+COUNTIFS(Database!$F:$I,CONCATENATE(AR$68,$B81,"L"))+COUNTIFS(Database!$F:$I,CONCATENATE($B81,AR$68,"W"))+COUNTIFS(Database!$F:$I,CONCATENATE(AR$68,$B81,"W"))),"-")</f>
        <v>0.16666666666666666</v>
      </c>
      <c r="AS81" s="122" t="str">
        <f>IFERROR((COUNTIFS(Database!$F:$I,CONCATENATE($B81,AS$68,"W"))+COUNTIFS(Database!$F:$I,CONCATENATE(AS$68,$B81,"W")))/(COUNTIFS(Database!$F:$I,CONCATENATE($B81,AS$68,"L"))+COUNTIFS(Database!$F:$I,CONCATENATE(AS$68,$B81,"L"))+COUNTIFS(Database!$F:$I,CONCATENATE($B81,AS$68,"W"))+COUNTIFS(Database!$F:$I,CONCATENATE(AS$68,$B81,"W"))),"-")</f>
        <v>-</v>
      </c>
      <c r="AT81" s="122">
        <f>IFERROR((COUNTIFS(Database!$F:$I,CONCATENATE($B81,AT$68,"W"))+COUNTIFS(Database!$F:$I,CONCATENATE(AT$68,$B81,"W")))/(COUNTIFS(Database!$F:$I,CONCATENATE($B81,AT$68,"L"))+COUNTIFS(Database!$F:$I,CONCATENATE(AT$68,$B81,"L"))+COUNTIFS(Database!$F:$I,CONCATENATE($B81,AT$68,"W"))+COUNTIFS(Database!$F:$I,CONCATENATE(AT$68,$B81,"W"))),"-")</f>
        <v>1</v>
      </c>
      <c r="AU81" s="122">
        <f>IFERROR((COUNTIFS(Database!$F:$I,CONCATENATE($B81,AU$68,"W"))+COUNTIFS(Database!$F:$I,CONCATENATE(AU$68,$B81,"W")))/(COUNTIFS(Database!$F:$I,CONCATENATE($B81,AU$68,"L"))+COUNTIFS(Database!$F:$I,CONCATENATE(AU$68,$B81,"L"))+COUNTIFS(Database!$F:$I,CONCATENATE($B81,AU$68,"W"))+COUNTIFS(Database!$F:$I,CONCATENATE(AU$68,$B81,"W"))),"-")</f>
        <v>0.8571428571428571</v>
      </c>
      <c r="AV81" s="122">
        <f>IFERROR((COUNTIFS(Database!$F:$I,CONCATENATE($B81,AV$68,"W"))+COUNTIFS(Database!$F:$I,CONCATENATE(AV$68,$B81,"W")))/(COUNTIFS(Database!$F:$I,CONCATENATE($B81,AV$68,"L"))+COUNTIFS(Database!$F:$I,CONCATENATE(AV$68,$B81,"L"))+COUNTIFS(Database!$F:$I,CONCATENATE($B81,AV$68,"W"))+COUNTIFS(Database!$F:$I,CONCATENATE(AV$68,$B81,"W"))),"-")</f>
        <v>1</v>
      </c>
      <c r="AW81" s="122">
        <f>IFERROR((COUNTIFS(Database!$F:$I,CONCATENATE($B81,AW$68,"W"))+COUNTIFS(Database!$F:$I,CONCATENATE(AW$68,$B81,"W")))/(COUNTIFS(Database!$F:$I,CONCATENATE($B81,AW$68,"L"))+COUNTIFS(Database!$F:$I,CONCATENATE(AW$68,$B81,"L"))+COUNTIFS(Database!$F:$I,CONCATENATE($B81,AW$68,"W"))+COUNTIFS(Database!$F:$I,CONCATENATE(AW$68,$B81,"W"))),"-")</f>
        <v>0.8</v>
      </c>
      <c r="AX81" s="122">
        <f>IFERROR((COUNTIFS(Database!$F:$I,CONCATENATE($B81,AX$68,"W"))+COUNTIFS(Database!$F:$I,CONCATENATE(AX$68,$B81,"W")))/(COUNTIFS(Database!$F:$I,CONCATENATE($B81,AX$68,"L"))+COUNTIFS(Database!$F:$I,CONCATENATE(AX$68,$B81,"L"))+COUNTIFS(Database!$F:$I,CONCATENATE($B81,AX$68,"W"))+COUNTIFS(Database!$F:$I,CONCATENATE(AX$68,$B81,"W"))),"-")</f>
        <v>0</v>
      </c>
      <c r="AY81" s="122">
        <f>IFERROR((COUNTIFS(Database!$F:$I,CONCATENATE($B81,AY$68,"W"))+COUNTIFS(Database!$F:$I,CONCATENATE(AY$68,$B81,"W")))/(COUNTIFS(Database!$F:$I,CONCATENATE($B81,AY$68,"L"))+COUNTIFS(Database!$F:$I,CONCATENATE(AY$68,$B81,"L"))+COUNTIFS(Database!$F:$I,CONCATENATE($B81,AY$68,"W"))+COUNTIFS(Database!$F:$I,CONCATENATE(AY$68,$B81,"W"))),"-")</f>
        <v>0.55555555555555558</v>
      </c>
    </row>
    <row r="82" spans="2:51" x14ac:dyDescent="0.25">
      <c r="B82" s="120" t="s">
        <v>16</v>
      </c>
      <c r="C82" s="122" t="str">
        <f>IFERROR((COUNTIFS(Database!$F:$I,CONCATENATE($B82,C$68,"W"))+COUNTIFS(Database!$F:$I,CONCATENATE(C$68,$B82,"W")))/(COUNTIFS(Database!$F:$I,CONCATENATE($B82,C$68,"L"))+COUNTIFS(Database!$F:$I,CONCATENATE(C$68,$B82,"L"))+COUNTIFS(Database!$F:$I,CONCATENATE($B82,C$68,"W"))+COUNTIFS(Database!$F:$I,CONCATENATE(C$68,$B82,"W"))),"-")</f>
        <v>-</v>
      </c>
      <c r="D82" s="122" t="str">
        <f>IFERROR((COUNTIFS(Database!$F:$I,CONCATENATE($B82,D$68,"W"))+COUNTIFS(Database!$F:$I,CONCATENATE(D$68,$B82,"W")))/(COUNTIFS(Database!$F:$I,CONCATENATE($B82,D$68,"L"))+COUNTIFS(Database!$F:$I,CONCATENATE(D$68,$B82,"L"))+COUNTIFS(Database!$F:$I,CONCATENATE($B82,D$68,"W"))+COUNTIFS(Database!$F:$I,CONCATENATE(D$68,$B82,"W"))),"-")</f>
        <v>-</v>
      </c>
      <c r="E82" s="122">
        <f>IFERROR((COUNTIFS(Database!$F:$I,CONCATENATE($B82,E$68,"W"))+COUNTIFS(Database!$F:$I,CONCATENATE(E$68,$B82,"W")))/(COUNTIFS(Database!$F:$I,CONCATENATE($B82,E$68,"L"))+COUNTIFS(Database!$F:$I,CONCATENATE(E$68,$B82,"L"))+COUNTIFS(Database!$F:$I,CONCATENATE($B82,E$68,"W"))+COUNTIFS(Database!$F:$I,CONCATENATE(E$68,$B82,"W"))),"-")</f>
        <v>1</v>
      </c>
      <c r="F82" s="122">
        <f>IFERROR((COUNTIFS(Database!$F:$I,CONCATENATE($B82,F$68,"W"))+COUNTIFS(Database!$F:$I,CONCATENATE(F$68,$B82,"W")))/(COUNTIFS(Database!$F:$I,CONCATENATE($B82,F$68,"L"))+COUNTIFS(Database!$F:$I,CONCATENATE(F$68,$B82,"L"))+COUNTIFS(Database!$F:$I,CONCATENATE($B82,F$68,"W"))+COUNTIFS(Database!$F:$I,CONCATENATE(F$68,$B82,"W"))),"-")</f>
        <v>0</v>
      </c>
      <c r="G82" s="122" t="str">
        <f>IFERROR((COUNTIFS(Database!$F:$I,CONCATENATE($B82,G$68,"W"))+COUNTIFS(Database!$F:$I,CONCATENATE(G$68,$B82,"W")))/(COUNTIFS(Database!$F:$I,CONCATENATE($B82,G$68,"L"))+COUNTIFS(Database!$F:$I,CONCATENATE(G$68,$B82,"L"))+COUNTIFS(Database!$F:$I,CONCATENATE($B82,G$68,"W"))+COUNTIFS(Database!$F:$I,CONCATENATE(G$68,$B82,"W"))),"-")</f>
        <v>-</v>
      </c>
      <c r="H82" s="122" t="str">
        <f>IFERROR((COUNTIFS(Database!$F:$I,CONCATENATE($B82,H$68,"W"))+COUNTIFS(Database!$F:$I,CONCATENATE(H$68,$B82,"W")))/(COUNTIFS(Database!$F:$I,CONCATENATE($B82,H$68,"L"))+COUNTIFS(Database!$F:$I,CONCATENATE(H$68,$B82,"L"))+COUNTIFS(Database!$F:$I,CONCATENATE($B82,H$68,"W"))+COUNTIFS(Database!$F:$I,CONCATENATE(H$68,$B82,"W"))),"-")</f>
        <v>-</v>
      </c>
      <c r="I82" s="122">
        <f>IFERROR((COUNTIFS(Database!$F:$I,CONCATENATE($B82,I$68,"W"))+COUNTIFS(Database!$F:$I,CONCATENATE(I$68,$B82,"W")))/(COUNTIFS(Database!$F:$I,CONCATENATE($B82,I$68,"L"))+COUNTIFS(Database!$F:$I,CONCATENATE(I$68,$B82,"L"))+COUNTIFS(Database!$F:$I,CONCATENATE($B82,I$68,"W"))+COUNTIFS(Database!$F:$I,CONCATENATE(I$68,$B82,"W"))),"-")</f>
        <v>0</v>
      </c>
      <c r="J82" s="122" t="str">
        <f>IFERROR((COUNTIFS(Database!$F:$I,CONCATENATE($B82,J$68,"W"))+COUNTIFS(Database!$F:$I,CONCATENATE(J$68,$B82,"W")))/(COUNTIFS(Database!$F:$I,CONCATENATE($B82,J$68,"L"))+COUNTIFS(Database!$F:$I,CONCATENATE(J$68,$B82,"L"))+COUNTIFS(Database!$F:$I,CONCATENATE($B82,J$68,"W"))+COUNTIFS(Database!$F:$I,CONCATENATE(J$68,$B82,"W"))),"-")</f>
        <v>-</v>
      </c>
      <c r="K82" s="122">
        <f>IFERROR((COUNTIFS(Database!$F:$I,CONCATENATE($B82,K$68,"W"))+COUNTIFS(Database!$F:$I,CONCATENATE(K$68,$B82,"W")))/(COUNTIFS(Database!$F:$I,CONCATENATE($B82,K$68,"L"))+COUNTIFS(Database!$F:$I,CONCATENATE(K$68,$B82,"L"))+COUNTIFS(Database!$F:$I,CONCATENATE($B82,K$68,"W"))+COUNTIFS(Database!$F:$I,CONCATENATE(K$68,$B82,"W"))),"-")</f>
        <v>0.5</v>
      </c>
      <c r="L82" s="122">
        <f>IFERROR((COUNTIFS(Database!$F:$I,CONCATENATE($B82,L$68,"W"))+COUNTIFS(Database!$F:$I,CONCATENATE(L$68,$B82,"W")))/(COUNTIFS(Database!$F:$I,CONCATENATE($B82,L$68,"L"))+COUNTIFS(Database!$F:$I,CONCATENATE(L$68,$B82,"L"))+COUNTIFS(Database!$F:$I,CONCATENATE($B82,L$68,"W"))+COUNTIFS(Database!$F:$I,CONCATENATE(L$68,$B82,"W"))),"-")</f>
        <v>1</v>
      </c>
      <c r="M82" s="122" t="str">
        <f>IFERROR((COUNTIFS(Database!$F:$I,CONCATENATE($B82,M$68,"W"))+COUNTIFS(Database!$F:$I,CONCATENATE(M$68,$B82,"W")))/(COUNTIFS(Database!$F:$I,CONCATENATE($B82,M$68,"L"))+COUNTIFS(Database!$F:$I,CONCATENATE(M$68,$B82,"L"))+COUNTIFS(Database!$F:$I,CONCATENATE($B82,M$68,"W"))+COUNTIFS(Database!$F:$I,CONCATENATE(M$68,$B82,"W"))),"-")</f>
        <v>-</v>
      </c>
      <c r="N82" s="122">
        <f>IFERROR((COUNTIFS(Database!$F:$I,CONCATENATE($B82,N$68,"W"))+COUNTIFS(Database!$F:$I,CONCATENATE(N$68,$B82,"W")))/(COUNTIFS(Database!$F:$I,CONCATENATE($B82,N$68,"L"))+COUNTIFS(Database!$F:$I,CONCATENATE(N$68,$B82,"L"))+COUNTIFS(Database!$F:$I,CONCATENATE($B82,N$68,"W"))+COUNTIFS(Database!$F:$I,CONCATENATE(N$68,$B82,"W"))),"-")</f>
        <v>1</v>
      </c>
      <c r="O82" s="122">
        <f>IFERROR((COUNTIFS(Database!$F:$I,CONCATENATE($B82,O$68,"W"))+COUNTIFS(Database!$F:$I,CONCATENATE(O$68,$B82,"W")))/(COUNTIFS(Database!$F:$I,CONCATENATE($B82,O$68,"L"))+COUNTIFS(Database!$F:$I,CONCATENATE(O$68,$B82,"L"))+COUNTIFS(Database!$F:$I,CONCATENATE($B82,O$68,"W"))+COUNTIFS(Database!$F:$I,CONCATENATE(O$68,$B82,"W"))),"-")</f>
        <v>1</v>
      </c>
      <c r="P82" s="122" t="str">
        <f>IFERROR((COUNTIFS(Database!$F:$I,CONCATENATE($B82,P$68,"W"))+COUNTIFS(Database!$F:$I,CONCATENATE(P$68,$B82,"W")))/(COUNTIFS(Database!$F:$I,CONCATENATE($B82,P$68,"L"))+COUNTIFS(Database!$F:$I,CONCATENATE(P$68,$B82,"L"))+COUNTIFS(Database!$F:$I,CONCATENATE($B82,P$68,"W"))+COUNTIFS(Database!$F:$I,CONCATENATE(P$68,$B82,"W"))),"-")</f>
        <v>-</v>
      </c>
      <c r="Q82" s="122" t="str">
        <f>IFERROR((COUNTIFS(Database!$F:$I,CONCATENATE($B82,Q$68,"W"))+COUNTIFS(Database!$F:$I,CONCATENATE(Q$68,$B82,"W")))/(COUNTIFS(Database!$F:$I,CONCATENATE($B82,Q$68,"L"))+COUNTIFS(Database!$F:$I,CONCATENATE(Q$68,$B82,"L"))+COUNTIFS(Database!$F:$I,CONCATENATE($B82,Q$68,"W"))+COUNTIFS(Database!$F:$I,CONCATENATE(Q$68,$B82,"W"))),"-")</f>
        <v>-</v>
      </c>
      <c r="R82" s="122" t="str">
        <f>IFERROR((COUNTIFS(Database!$F:$I,CONCATENATE($B82,R$68,"W"))+COUNTIFS(Database!$F:$I,CONCATENATE(R$68,$B82,"W")))/(COUNTIFS(Database!$F:$I,CONCATENATE($B82,R$68,"L"))+COUNTIFS(Database!$F:$I,CONCATENATE(R$68,$B82,"L"))+COUNTIFS(Database!$F:$I,CONCATENATE($B82,R$68,"W"))+COUNTIFS(Database!$F:$I,CONCATENATE(R$68,$B82,"W"))),"-")</f>
        <v>-</v>
      </c>
      <c r="S82" s="122" t="str">
        <f>IFERROR((COUNTIFS(Database!$F:$I,CONCATENATE($B82,S$68,"W"))+COUNTIFS(Database!$F:$I,CONCATENATE(S$68,$B82,"W")))/(COUNTIFS(Database!$F:$I,CONCATENATE($B82,S$68,"L"))+COUNTIFS(Database!$F:$I,CONCATENATE(S$68,$B82,"L"))+COUNTIFS(Database!$F:$I,CONCATENATE($B82,S$68,"W"))+COUNTIFS(Database!$F:$I,CONCATENATE(S$68,$B82,"W"))),"-")</f>
        <v>-</v>
      </c>
      <c r="T82" s="122">
        <f>IFERROR((COUNTIFS(Database!$F:$I,CONCATENATE($B82,T$68,"W"))+COUNTIFS(Database!$F:$I,CONCATENATE(T$68,$B82,"W")))/(COUNTIFS(Database!$F:$I,CONCATENATE($B82,T$68,"L"))+COUNTIFS(Database!$F:$I,CONCATENATE(T$68,$B82,"L"))+COUNTIFS(Database!$F:$I,CONCATENATE($B82,T$68,"W"))+COUNTIFS(Database!$F:$I,CONCATENATE(T$68,$B82,"W"))),"-")</f>
        <v>1</v>
      </c>
      <c r="U82" s="122" t="str">
        <f>IFERROR((COUNTIFS(Database!$F:$I,CONCATENATE($B82,U$68,"W"))+COUNTIFS(Database!$F:$I,CONCATENATE(U$68,$B82,"W")))/(COUNTIFS(Database!$F:$I,CONCATENATE($B82,U$68,"L"))+COUNTIFS(Database!$F:$I,CONCATENATE(U$68,$B82,"L"))+COUNTIFS(Database!$F:$I,CONCATENATE($B82,U$68,"W"))+COUNTIFS(Database!$F:$I,CONCATENATE(U$68,$B82,"W"))),"-")</f>
        <v>-</v>
      </c>
      <c r="V82" s="122" t="str">
        <f>IFERROR((COUNTIFS(Database!$F:$I,CONCATENATE($B82,V$68,"W"))+COUNTIFS(Database!$F:$I,CONCATENATE(V$68,$B82,"W")))/(COUNTIFS(Database!$F:$I,CONCATENATE($B82,V$68,"L"))+COUNTIFS(Database!$F:$I,CONCATENATE(V$68,$B82,"L"))+COUNTIFS(Database!$F:$I,CONCATENATE($B82,V$68,"W"))+COUNTIFS(Database!$F:$I,CONCATENATE(V$68,$B82,"W"))),"-")</f>
        <v>-</v>
      </c>
      <c r="W82" s="122">
        <f>IFERROR((COUNTIFS(Database!$F:$I,CONCATENATE($B82,W$68,"W"))+COUNTIFS(Database!$F:$I,CONCATENATE(W$68,$B82,"W")))/(COUNTIFS(Database!$F:$I,CONCATENATE($B82,W$68,"L"))+COUNTIFS(Database!$F:$I,CONCATENATE(W$68,$B82,"L"))+COUNTIFS(Database!$F:$I,CONCATENATE($B82,W$68,"W"))+COUNTIFS(Database!$F:$I,CONCATENATE(W$68,$B82,"W"))),"-")</f>
        <v>1</v>
      </c>
      <c r="X82" s="122" t="str">
        <f>IFERROR((COUNTIFS(Database!$F:$I,CONCATENATE($B82,X$68,"W"))+COUNTIFS(Database!$F:$I,CONCATENATE(X$68,$B82,"W")))/(COUNTIFS(Database!$F:$I,CONCATENATE($B82,X$68,"L"))+COUNTIFS(Database!$F:$I,CONCATENATE(X$68,$B82,"L"))+COUNTIFS(Database!$F:$I,CONCATENATE($B82,X$68,"W"))+COUNTIFS(Database!$F:$I,CONCATENATE(X$68,$B82,"W"))),"-")</f>
        <v>-</v>
      </c>
      <c r="Y82" s="122" t="str">
        <f>IFERROR((COUNTIFS(Database!$F:$I,CONCATENATE($B82,Y$68,"W"))+COUNTIFS(Database!$F:$I,CONCATENATE(Y$68,$B82,"W")))/(COUNTIFS(Database!$F:$I,CONCATENATE($B82,Y$68,"L"))+COUNTIFS(Database!$F:$I,CONCATENATE(Y$68,$B82,"L"))+COUNTIFS(Database!$F:$I,CONCATENATE($B82,Y$68,"W"))+COUNTIFS(Database!$F:$I,CONCATENATE(Y$68,$B82,"W"))),"-")</f>
        <v>-</v>
      </c>
      <c r="Z82" s="122" t="str">
        <f>IFERROR((COUNTIFS(Database!$F:$I,CONCATENATE($B82,Z$68,"W"))+COUNTIFS(Database!$F:$I,CONCATENATE(Z$68,$B82,"W")))/(COUNTIFS(Database!$F:$I,CONCATENATE($B82,Z$68,"L"))+COUNTIFS(Database!$F:$I,CONCATENATE(Z$68,$B82,"L"))+COUNTIFS(Database!$F:$I,CONCATENATE($B82,Z$68,"W"))+COUNTIFS(Database!$F:$I,CONCATENATE(Z$68,$B82,"W"))),"-")</f>
        <v>-</v>
      </c>
      <c r="AA82" s="122" t="str">
        <f>IFERROR((COUNTIFS(Database!$F:$I,CONCATENATE($B82,AA$68,"W"))+COUNTIFS(Database!$F:$I,CONCATENATE(AA$68,$B82,"W")))/(COUNTIFS(Database!$F:$I,CONCATENATE($B82,AA$68,"L"))+COUNTIFS(Database!$F:$I,CONCATENATE(AA$68,$B82,"L"))+COUNTIFS(Database!$F:$I,CONCATENATE($B82,AA$68,"W"))+COUNTIFS(Database!$F:$I,CONCATENATE(AA$68,$B82,"W"))),"-")</f>
        <v>-</v>
      </c>
      <c r="AB82" s="122">
        <f>IFERROR((COUNTIFS(Database!$F:$I,CONCATENATE($B82,AB$68,"W"))+COUNTIFS(Database!$F:$I,CONCATENATE(AB$68,$B82,"W")))/(COUNTIFS(Database!$F:$I,CONCATENATE($B82,AB$68,"L"))+COUNTIFS(Database!$F:$I,CONCATENATE(AB$68,$B82,"L"))+COUNTIFS(Database!$F:$I,CONCATENATE($B82,AB$68,"W"))+COUNTIFS(Database!$F:$I,CONCATENATE(AB$68,$B82,"W"))),"-")</f>
        <v>1</v>
      </c>
      <c r="AC82" s="122" t="str">
        <f>IFERROR((COUNTIFS(Database!$F:$I,CONCATENATE($B82,AC$68,"W"))+COUNTIFS(Database!$F:$I,CONCATENATE(AC$68,$B82,"W")))/(COUNTIFS(Database!$F:$I,CONCATENATE($B82,AC$68,"L"))+COUNTIFS(Database!$F:$I,CONCATENATE(AC$68,$B82,"L"))+COUNTIFS(Database!$F:$I,CONCATENATE($B82,AC$68,"W"))+COUNTIFS(Database!$F:$I,CONCATENATE(AC$68,$B82,"W"))),"-")</f>
        <v>-</v>
      </c>
      <c r="AD82" s="122" t="str">
        <f>IFERROR((COUNTIFS(Database!$F:$I,CONCATENATE($B82,AD$68,"W"))+COUNTIFS(Database!$F:$I,CONCATENATE(AD$68,$B82,"W")))/(COUNTIFS(Database!$F:$I,CONCATENATE($B82,AD$68,"L"))+COUNTIFS(Database!$F:$I,CONCATENATE(AD$68,$B82,"L"))+COUNTIFS(Database!$F:$I,CONCATENATE($B82,AD$68,"W"))+COUNTIFS(Database!$F:$I,CONCATENATE(AD$68,$B82,"W"))),"-")</f>
        <v>-</v>
      </c>
      <c r="AE82" s="122" t="str">
        <f>IFERROR((COUNTIFS(Database!$F:$I,CONCATENATE($B82,AE$68,"W"))+COUNTIFS(Database!$F:$I,CONCATENATE(AE$68,$B82,"W")))/(COUNTIFS(Database!$F:$I,CONCATENATE($B82,AE$68,"L"))+COUNTIFS(Database!$F:$I,CONCATENATE(AE$68,$B82,"L"))+COUNTIFS(Database!$F:$I,CONCATENATE($B82,AE$68,"W"))+COUNTIFS(Database!$F:$I,CONCATENATE(AE$68,$B82,"W"))),"-")</f>
        <v>-</v>
      </c>
      <c r="AF82" s="122" t="str">
        <f>IFERROR((COUNTIFS(Database!$F:$I,CONCATENATE($B82,AF$68,"W"))+COUNTIFS(Database!$F:$I,CONCATENATE(AF$68,$B82,"W")))/(COUNTIFS(Database!$F:$I,CONCATENATE($B82,AF$68,"L"))+COUNTIFS(Database!$F:$I,CONCATENATE(AF$68,$B82,"L"))+COUNTIFS(Database!$F:$I,CONCATENATE($B82,AF$68,"W"))+COUNTIFS(Database!$F:$I,CONCATENATE(AF$68,$B82,"W"))),"-")</f>
        <v>-</v>
      </c>
      <c r="AG82" s="122" t="str">
        <f>IFERROR((COUNTIFS(Database!$F:$I,CONCATENATE($B82,AG$68,"W"))+COUNTIFS(Database!$F:$I,CONCATENATE(AG$68,$B82,"W")))/(COUNTIFS(Database!$F:$I,CONCATENATE($B82,AG$68,"L"))+COUNTIFS(Database!$F:$I,CONCATENATE(AG$68,$B82,"L"))+COUNTIFS(Database!$F:$I,CONCATENATE($B82,AG$68,"W"))+COUNTIFS(Database!$F:$I,CONCATENATE(AG$68,$B82,"W"))),"-")</f>
        <v>-</v>
      </c>
      <c r="AH82" s="122" t="str">
        <f>IFERROR((COUNTIFS(Database!$F:$I,CONCATENATE($B82,AH$68,"W"))+COUNTIFS(Database!$F:$I,CONCATENATE(AH$68,$B82,"W")))/(COUNTIFS(Database!$F:$I,CONCATENATE($B82,AH$68,"L"))+COUNTIFS(Database!$F:$I,CONCATENATE(AH$68,$B82,"L"))+COUNTIFS(Database!$F:$I,CONCATENATE($B82,AH$68,"W"))+COUNTIFS(Database!$F:$I,CONCATENATE(AH$68,$B82,"W"))),"-")</f>
        <v>-</v>
      </c>
      <c r="AI82" s="122" t="str">
        <f>IFERROR((COUNTIFS(Database!$F:$I,CONCATENATE($B82,AI$68,"W"))+COUNTIFS(Database!$F:$I,CONCATENATE(AI$68,$B82,"W")))/(COUNTIFS(Database!$F:$I,CONCATENATE($B82,AI$68,"L"))+COUNTIFS(Database!$F:$I,CONCATENATE(AI$68,$B82,"L"))+COUNTIFS(Database!$F:$I,CONCATENATE($B82,AI$68,"W"))+COUNTIFS(Database!$F:$I,CONCATENATE(AI$68,$B82,"W"))),"-")</f>
        <v>-</v>
      </c>
      <c r="AJ82" s="122" t="str">
        <f>IFERROR((COUNTIFS(Database!$F:$I,CONCATENATE($B82,AJ$68,"W"))+COUNTIFS(Database!$F:$I,CONCATENATE(AJ$68,$B82,"W")))/(COUNTIFS(Database!$F:$I,CONCATENATE($B82,AJ$68,"L"))+COUNTIFS(Database!$F:$I,CONCATENATE(AJ$68,$B82,"L"))+COUNTIFS(Database!$F:$I,CONCATENATE($B82,AJ$68,"W"))+COUNTIFS(Database!$F:$I,CONCATENATE(AJ$68,$B82,"W"))),"-")</f>
        <v>-</v>
      </c>
      <c r="AK82" s="122" t="str">
        <f>IFERROR((COUNTIFS(Database!$F:$I,CONCATENATE($B82,AK$68,"W"))+COUNTIFS(Database!$F:$I,CONCATENATE(AK$68,$B82,"W")))/(COUNTIFS(Database!$F:$I,CONCATENATE($B82,AK$68,"L"))+COUNTIFS(Database!$F:$I,CONCATENATE(AK$68,$B82,"L"))+COUNTIFS(Database!$F:$I,CONCATENATE($B82,AK$68,"W"))+COUNTIFS(Database!$F:$I,CONCATENATE(AK$68,$B82,"W"))),"-")</f>
        <v>-</v>
      </c>
      <c r="AL82" s="122" t="str">
        <f>IFERROR((COUNTIFS(Database!$F:$I,CONCATENATE($B82,AL$68,"W"))+COUNTIFS(Database!$F:$I,CONCATENATE(AL$68,$B82,"W")))/(COUNTIFS(Database!$F:$I,CONCATENATE($B82,AL$68,"L"))+COUNTIFS(Database!$F:$I,CONCATENATE(AL$68,$B82,"L"))+COUNTIFS(Database!$F:$I,CONCATENATE($B82,AL$68,"W"))+COUNTIFS(Database!$F:$I,CONCATENATE(AL$68,$B82,"W"))),"-")</f>
        <v>-</v>
      </c>
      <c r="AM82" s="122" t="str">
        <f>IFERROR((COUNTIFS(Database!$F:$I,CONCATENATE($B82,AM$68,"W"))+COUNTIFS(Database!$F:$I,CONCATENATE(AM$68,$B82,"W")))/(COUNTIFS(Database!$F:$I,CONCATENATE($B82,AM$68,"L"))+COUNTIFS(Database!$F:$I,CONCATENATE(AM$68,$B82,"L"))+COUNTIFS(Database!$F:$I,CONCATENATE($B82,AM$68,"W"))+COUNTIFS(Database!$F:$I,CONCATENATE(AM$68,$B82,"W"))),"-")</f>
        <v>-</v>
      </c>
      <c r="AN82" s="122" t="str">
        <f>IFERROR((COUNTIFS(Database!$F:$I,CONCATENATE($B82,AN$68,"W"))+COUNTIFS(Database!$F:$I,CONCATENATE(AN$68,$B82,"W")))/(COUNTIFS(Database!$F:$I,CONCATENATE($B82,AN$68,"L"))+COUNTIFS(Database!$F:$I,CONCATENATE(AN$68,$B82,"L"))+COUNTIFS(Database!$F:$I,CONCATENATE($B82,AN$68,"W"))+COUNTIFS(Database!$F:$I,CONCATENATE(AN$68,$B82,"W"))),"-")</f>
        <v>-</v>
      </c>
      <c r="AO82" s="122" t="str">
        <f>IFERROR((COUNTIFS(Database!$F:$I,CONCATENATE($B82,AO$68,"W"))+COUNTIFS(Database!$F:$I,CONCATENATE(AO$68,$B82,"W")))/(COUNTIFS(Database!$F:$I,CONCATENATE($B82,AO$68,"L"))+COUNTIFS(Database!$F:$I,CONCATENATE(AO$68,$B82,"L"))+COUNTIFS(Database!$F:$I,CONCATENATE($B82,AO$68,"W"))+COUNTIFS(Database!$F:$I,CONCATENATE(AO$68,$B82,"W"))),"-")</f>
        <v>-</v>
      </c>
      <c r="AP82" s="122" t="str">
        <f>IFERROR((COUNTIFS(Database!$F:$I,CONCATENATE($B82,AP$68,"W"))+COUNTIFS(Database!$F:$I,CONCATENATE(AP$68,$B82,"W")))/(COUNTIFS(Database!$F:$I,CONCATENATE($B82,AP$68,"L"))+COUNTIFS(Database!$F:$I,CONCATENATE(AP$68,$B82,"L"))+COUNTIFS(Database!$F:$I,CONCATENATE($B82,AP$68,"W"))+COUNTIFS(Database!$F:$I,CONCATENATE(AP$68,$B82,"W"))),"-")</f>
        <v>-</v>
      </c>
      <c r="AQ82" s="122" t="str">
        <f>IFERROR((COUNTIFS(Database!$F:$I,CONCATENATE($B82,AQ$68,"W"))+COUNTIFS(Database!$F:$I,CONCATENATE(AQ$68,$B82,"W")))/(COUNTIFS(Database!$F:$I,CONCATENATE($B82,AQ$68,"L"))+COUNTIFS(Database!$F:$I,CONCATENATE(AQ$68,$B82,"L"))+COUNTIFS(Database!$F:$I,CONCATENATE($B82,AQ$68,"W"))+COUNTIFS(Database!$F:$I,CONCATENATE(AQ$68,$B82,"W"))),"-")</f>
        <v>-</v>
      </c>
      <c r="AR82" s="122" t="str">
        <f>IFERROR((COUNTIFS(Database!$F:$I,CONCATENATE($B82,AR$68,"W"))+COUNTIFS(Database!$F:$I,CONCATENATE(AR$68,$B82,"W")))/(COUNTIFS(Database!$F:$I,CONCATENATE($B82,AR$68,"L"))+COUNTIFS(Database!$F:$I,CONCATENATE(AR$68,$B82,"L"))+COUNTIFS(Database!$F:$I,CONCATENATE($B82,AR$68,"W"))+COUNTIFS(Database!$F:$I,CONCATENATE(AR$68,$B82,"W"))),"-")</f>
        <v>-</v>
      </c>
      <c r="AS82" s="122" t="str">
        <f>IFERROR((COUNTIFS(Database!$F:$I,CONCATENATE($B82,AS$68,"W"))+COUNTIFS(Database!$F:$I,CONCATENATE(AS$68,$B82,"W")))/(COUNTIFS(Database!$F:$I,CONCATENATE($B82,AS$68,"L"))+COUNTIFS(Database!$F:$I,CONCATENATE(AS$68,$B82,"L"))+COUNTIFS(Database!$F:$I,CONCATENATE($B82,AS$68,"W"))+COUNTIFS(Database!$F:$I,CONCATENATE(AS$68,$B82,"W"))),"-")</f>
        <v>-</v>
      </c>
      <c r="AT82" s="122" t="str">
        <f>IFERROR((COUNTIFS(Database!$F:$I,CONCATENATE($B82,AT$68,"W"))+COUNTIFS(Database!$F:$I,CONCATENATE(AT$68,$B82,"W")))/(COUNTIFS(Database!$F:$I,CONCATENATE($B82,AT$68,"L"))+COUNTIFS(Database!$F:$I,CONCATENATE(AT$68,$B82,"L"))+COUNTIFS(Database!$F:$I,CONCATENATE($B82,AT$68,"W"))+COUNTIFS(Database!$F:$I,CONCATENATE(AT$68,$B82,"W"))),"-")</f>
        <v>-</v>
      </c>
      <c r="AU82" s="122" t="str">
        <f>IFERROR((COUNTIFS(Database!$F:$I,CONCATENATE($B82,AU$68,"W"))+COUNTIFS(Database!$F:$I,CONCATENATE(AU$68,$B82,"W")))/(COUNTIFS(Database!$F:$I,CONCATENATE($B82,AU$68,"L"))+COUNTIFS(Database!$F:$I,CONCATENATE(AU$68,$B82,"L"))+COUNTIFS(Database!$F:$I,CONCATENATE($B82,AU$68,"W"))+COUNTIFS(Database!$F:$I,CONCATENATE(AU$68,$B82,"W"))),"-")</f>
        <v>-</v>
      </c>
      <c r="AV82" s="122" t="str">
        <f>IFERROR((COUNTIFS(Database!$F:$I,CONCATENATE($B82,AV$68,"W"))+COUNTIFS(Database!$F:$I,CONCATENATE(AV$68,$B82,"W")))/(COUNTIFS(Database!$F:$I,CONCATENATE($B82,AV$68,"L"))+COUNTIFS(Database!$F:$I,CONCATENATE(AV$68,$B82,"L"))+COUNTIFS(Database!$F:$I,CONCATENATE($B82,AV$68,"W"))+COUNTIFS(Database!$F:$I,CONCATENATE(AV$68,$B82,"W"))),"-")</f>
        <v>-</v>
      </c>
      <c r="AW82" s="122">
        <f>IFERROR((COUNTIFS(Database!$F:$I,CONCATENATE($B82,AW$68,"W"))+COUNTIFS(Database!$F:$I,CONCATENATE(AW$68,$B82,"W")))/(COUNTIFS(Database!$F:$I,CONCATENATE($B82,AW$68,"L"))+COUNTIFS(Database!$F:$I,CONCATENATE(AW$68,$B82,"L"))+COUNTIFS(Database!$F:$I,CONCATENATE($B82,AW$68,"W"))+COUNTIFS(Database!$F:$I,CONCATENATE(AW$68,$B82,"W"))),"-")</f>
        <v>1</v>
      </c>
      <c r="AX82" s="122" t="str">
        <f>IFERROR((COUNTIFS(Database!$F:$I,CONCATENATE($B82,AX$68,"W"))+COUNTIFS(Database!$F:$I,CONCATENATE(AX$68,$B82,"W")))/(COUNTIFS(Database!$F:$I,CONCATENATE($B82,AX$68,"L"))+COUNTIFS(Database!$F:$I,CONCATENATE(AX$68,$B82,"L"))+COUNTIFS(Database!$F:$I,CONCATENATE($B82,AX$68,"W"))+COUNTIFS(Database!$F:$I,CONCATENATE(AX$68,$B82,"W"))),"-")</f>
        <v>-</v>
      </c>
      <c r="AY82" s="122">
        <f>IFERROR((COUNTIFS(Database!$F:$I,CONCATENATE($B82,AY$68,"W"))+COUNTIFS(Database!$F:$I,CONCATENATE(AY$68,$B82,"W")))/(COUNTIFS(Database!$F:$I,CONCATENATE($B82,AY$68,"L"))+COUNTIFS(Database!$F:$I,CONCATENATE(AY$68,$B82,"L"))+COUNTIFS(Database!$F:$I,CONCATENATE($B82,AY$68,"W"))+COUNTIFS(Database!$F:$I,CONCATENATE(AY$68,$B82,"W"))),"-")</f>
        <v>1</v>
      </c>
    </row>
    <row r="83" spans="2:51" x14ac:dyDescent="0.25">
      <c r="B83" s="120" t="s">
        <v>23</v>
      </c>
      <c r="C83" s="122" t="str">
        <f>IFERROR((COUNTIFS(Database!$F:$I,CONCATENATE($B83,C$68,"W"))+COUNTIFS(Database!$F:$I,CONCATENATE(C$68,$B83,"W")))/(COUNTIFS(Database!$F:$I,CONCATENATE($B83,C$68,"L"))+COUNTIFS(Database!$F:$I,CONCATENATE(C$68,$B83,"L"))+COUNTIFS(Database!$F:$I,CONCATENATE($B83,C$68,"W"))+COUNTIFS(Database!$F:$I,CONCATENATE(C$68,$B83,"W"))),"-")</f>
        <v>-</v>
      </c>
      <c r="D83" s="122" t="str">
        <f>IFERROR((COUNTIFS(Database!$F:$I,CONCATENATE($B83,D$68,"W"))+COUNTIFS(Database!$F:$I,CONCATENATE(D$68,$B83,"W")))/(COUNTIFS(Database!$F:$I,CONCATENATE($B83,D$68,"L"))+COUNTIFS(Database!$F:$I,CONCATENATE(D$68,$B83,"L"))+COUNTIFS(Database!$F:$I,CONCATENATE($B83,D$68,"W"))+COUNTIFS(Database!$F:$I,CONCATENATE(D$68,$B83,"W"))),"-")</f>
        <v>-</v>
      </c>
      <c r="E83" s="122">
        <f>IFERROR((COUNTIFS(Database!$F:$I,CONCATENATE($B83,E$68,"W"))+COUNTIFS(Database!$F:$I,CONCATENATE(E$68,$B83,"W")))/(COUNTIFS(Database!$F:$I,CONCATENATE($B83,E$68,"L"))+COUNTIFS(Database!$F:$I,CONCATENATE(E$68,$B83,"L"))+COUNTIFS(Database!$F:$I,CONCATENATE($B83,E$68,"W"))+COUNTIFS(Database!$F:$I,CONCATENATE(E$68,$B83,"W"))),"-")</f>
        <v>1</v>
      </c>
      <c r="F83" s="122">
        <f>IFERROR((COUNTIFS(Database!$F:$I,CONCATENATE($B83,F$68,"W"))+COUNTIFS(Database!$F:$I,CONCATENATE(F$68,$B83,"W")))/(COUNTIFS(Database!$F:$I,CONCATENATE($B83,F$68,"L"))+COUNTIFS(Database!$F:$I,CONCATENATE(F$68,$B83,"L"))+COUNTIFS(Database!$F:$I,CONCATENATE($B83,F$68,"W"))+COUNTIFS(Database!$F:$I,CONCATENATE(F$68,$B83,"W"))),"-")</f>
        <v>1</v>
      </c>
      <c r="G83" s="122" t="str">
        <f>IFERROR((COUNTIFS(Database!$F:$I,CONCATENATE($B83,G$68,"W"))+COUNTIFS(Database!$F:$I,CONCATENATE(G$68,$B83,"W")))/(COUNTIFS(Database!$F:$I,CONCATENATE($B83,G$68,"L"))+COUNTIFS(Database!$F:$I,CONCATENATE(G$68,$B83,"L"))+COUNTIFS(Database!$F:$I,CONCATENATE($B83,G$68,"W"))+COUNTIFS(Database!$F:$I,CONCATENATE(G$68,$B83,"W"))),"-")</f>
        <v>-</v>
      </c>
      <c r="H83" s="122" t="str">
        <f>IFERROR((COUNTIFS(Database!$F:$I,CONCATENATE($B83,H$68,"W"))+COUNTIFS(Database!$F:$I,CONCATENATE(H$68,$B83,"W")))/(COUNTIFS(Database!$F:$I,CONCATENATE($B83,H$68,"L"))+COUNTIFS(Database!$F:$I,CONCATENATE(H$68,$B83,"L"))+COUNTIFS(Database!$F:$I,CONCATENATE($B83,H$68,"W"))+COUNTIFS(Database!$F:$I,CONCATENATE(H$68,$B83,"W"))),"-")</f>
        <v>-</v>
      </c>
      <c r="I83" s="122" t="str">
        <f>IFERROR((COUNTIFS(Database!$F:$I,CONCATENATE($B83,I$68,"W"))+COUNTIFS(Database!$F:$I,CONCATENATE(I$68,$B83,"W")))/(COUNTIFS(Database!$F:$I,CONCATENATE($B83,I$68,"L"))+COUNTIFS(Database!$F:$I,CONCATENATE(I$68,$B83,"L"))+COUNTIFS(Database!$F:$I,CONCATENATE($B83,I$68,"W"))+COUNTIFS(Database!$F:$I,CONCATENATE(I$68,$B83,"W"))),"-")</f>
        <v>-</v>
      </c>
      <c r="J83" s="122">
        <f>IFERROR((COUNTIFS(Database!$F:$I,CONCATENATE($B83,J$68,"W"))+COUNTIFS(Database!$F:$I,CONCATENATE(J$68,$B83,"W")))/(COUNTIFS(Database!$F:$I,CONCATENATE($B83,J$68,"L"))+COUNTIFS(Database!$F:$I,CONCATENATE(J$68,$B83,"L"))+COUNTIFS(Database!$F:$I,CONCATENATE($B83,J$68,"W"))+COUNTIFS(Database!$F:$I,CONCATENATE(J$68,$B83,"W"))),"-")</f>
        <v>0</v>
      </c>
      <c r="K83" s="122">
        <f>IFERROR((COUNTIFS(Database!$F:$I,CONCATENATE($B83,K$68,"W"))+COUNTIFS(Database!$F:$I,CONCATENATE(K$68,$B83,"W")))/(COUNTIFS(Database!$F:$I,CONCATENATE($B83,K$68,"L"))+COUNTIFS(Database!$F:$I,CONCATENATE(K$68,$B83,"L"))+COUNTIFS(Database!$F:$I,CONCATENATE($B83,K$68,"W"))+COUNTIFS(Database!$F:$I,CONCATENATE(K$68,$B83,"W"))),"-")</f>
        <v>1</v>
      </c>
      <c r="L83" s="122" t="str">
        <f>IFERROR((COUNTIFS(Database!$F:$I,CONCATENATE($B83,L$68,"W"))+COUNTIFS(Database!$F:$I,CONCATENATE(L$68,$B83,"W")))/(COUNTIFS(Database!$F:$I,CONCATENATE($B83,L$68,"L"))+COUNTIFS(Database!$F:$I,CONCATENATE(L$68,$B83,"L"))+COUNTIFS(Database!$F:$I,CONCATENATE($B83,L$68,"W"))+COUNTIFS(Database!$F:$I,CONCATENATE(L$68,$B83,"W"))),"-")</f>
        <v>-</v>
      </c>
      <c r="M83" s="122" t="str">
        <f>IFERROR((COUNTIFS(Database!$F:$I,CONCATENATE($B83,M$68,"W"))+COUNTIFS(Database!$F:$I,CONCATENATE(M$68,$B83,"W")))/(COUNTIFS(Database!$F:$I,CONCATENATE($B83,M$68,"L"))+COUNTIFS(Database!$F:$I,CONCATENATE(M$68,$B83,"L"))+COUNTIFS(Database!$F:$I,CONCATENATE($B83,M$68,"W"))+COUNTIFS(Database!$F:$I,CONCATENATE(M$68,$B83,"W"))),"-")</f>
        <v>-</v>
      </c>
      <c r="N83" s="122">
        <f>IFERROR((COUNTIFS(Database!$F:$I,CONCATENATE($B83,N$68,"W"))+COUNTIFS(Database!$F:$I,CONCATENATE(N$68,$B83,"W")))/(COUNTIFS(Database!$F:$I,CONCATENATE($B83,N$68,"L"))+COUNTIFS(Database!$F:$I,CONCATENATE(N$68,$B83,"L"))+COUNTIFS(Database!$F:$I,CONCATENATE($B83,N$68,"W"))+COUNTIFS(Database!$F:$I,CONCATENATE(N$68,$B83,"W"))),"-")</f>
        <v>0</v>
      </c>
      <c r="O83" s="122">
        <f>IFERROR((COUNTIFS(Database!$F:$I,CONCATENATE($B83,O$68,"W"))+COUNTIFS(Database!$F:$I,CONCATENATE(O$68,$B83,"W")))/(COUNTIFS(Database!$F:$I,CONCATENATE($B83,O$68,"L"))+COUNTIFS(Database!$F:$I,CONCATENATE(O$68,$B83,"L"))+COUNTIFS(Database!$F:$I,CONCATENATE($B83,O$68,"W"))+COUNTIFS(Database!$F:$I,CONCATENATE(O$68,$B83,"W"))),"-")</f>
        <v>0</v>
      </c>
      <c r="P83" s="122" t="str">
        <f>IFERROR((COUNTIFS(Database!$F:$I,CONCATENATE($B83,P$68,"W"))+COUNTIFS(Database!$F:$I,CONCATENATE(P$68,$B83,"W")))/(COUNTIFS(Database!$F:$I,CONCATENATE($B83,P$68,"L"))+COUNTIFS(Database!$F:$I,CONCATENATE(P$68,$B83,"L"))+COUNTIFS(Database!$F:$I,CONCATENATE($B83,P$68,"W"))+COUNTIFS(Database!$F:$I,CONCATENATE(P$68,$B83,"W"))),"-")</f>
        <v>-</v>
      </c>
      <c r="Q83" s="122" t="str">
        <f>IFERROR((COUNTIFS(Database!$F:$I,CONCATENATE($B83,Q$68,"W"))+COUNTIFS(Database!$F:$I,CONCATENATE(Q$68,$B83,"W")))/(COUNTIFS(Database!$F:$I,CONCATENATE($B83,Q$68,"L"))+COUNTIFS(Database!$F:$I,CONCATENATE(Q$68,$B83,"L"))+COUNTIFS(Database!$F:$I,CONCATENATE($B83,Q$68,"W"))+COUNTIFS(Database!$F:$I,CONCATENATE(Q$68,$B83,"W"))),"-")</f>
        <v>-</v>
      </c>
      <c r="R83" s="122" t="str">
        <f>IFERROR((COUNTIFS(Database!$F:$I,CONCATENATE($B83,R$68,"W"))+COUNTIFS(Database!$F:$I,CONCATENATE(R$68,$B83,"W")))/(COUNTIFS(Database!$F:$I,CONCATENATE($B83,R$68,"L"))+COUNTIFS(Database!$F:$I,CONCATENATE(R$68,$B83,"L"))+COUNTIFS(Database!$F:$I,CONCATENATE($B83,R$68,"W"))+COUNTIFS(Database!$F:$I,CONCATENATE(R$68,$B83,"W"))),"-")</f>
        <v>-</v>
      </c>
      <c r="S83" s="122" t="str">
        <f>IFERROR((COUNTIFS(Database!$F:$I,CONCATENATE($B83,S$68,"W"))+COUNTIFS(Database!$F:$I,CONCATENATE(S$68,$B83,"W")))/(COUNTIFS(Database!$F:$I,CONCATENATE($B83,S$68,"L"))+COUNTIFS(Database!$F:$I,CONCATENATE(S$68,$B83,"L"))+COUNTIFS(Database!$F:$I,CONCATENATE($B83,S$68,"W"))+COUNTIFS(Database!$F:$I,CONCATENATE(S$68,$B83,"W"))),"-")</f>
        <v>-</v>
      </c>
      <c r="T83" s="122" t="str">
        <f>IFERROR((COUNTIFS(Database!$F:$I,CONCATENATE($B83,T$68,"W"))+COUNTIFS(Database!$F:$I,CONCATENATE(T$68,$B83,"W")))/(COUNTIFS(Database!$F:$I,CONCATENATE($B83,T$68,"L"))+COUNTIFS(Database!$F:$I,CONCATENATE(T$68,$B83,"L"))+COUNTIFS(Database!$F:$I,CONCATENATE($B83,T$68,"W"))+COUNTIFS(Database!$F:$I,CONCATENATE(T$68,$B83,"W"))),"-")</f>
        <v>-</v>
      </c>
      <c r="U83" s="122" t="str">
        <f>IFERROR((COUNTIFS(Database!$F:$I,CONCATENATE($B83,U$68,"W"))+COUNTIFS(Database!$F:$I,CONCATENATE(U$68,$B83,"W")))/(COUNTIFS(Database!$F:$I,CONCATENATE($B83,U$68,"L"))+COUNTIFS(Database!$F:$I,CONCATENATE(U$68,$B83,"L"))+COUNTIFS(Database!$F:$I,CONCATENATE($B83,U$68,"W"))+COUNTIFS(Database!$F:$I,CONCATENATE(U$68,$B83,"W"))),"-")</f>
        <v>-</v>
      </c>
      <c r="V83" s="122" t="str">
        <f>IFERROR((COUNTIFS(Database!$F:$I,CONCATENATE($B83,V$68,"W"))+COUNTIFS(Database!$F:$I,CONCATENATE(V$68,$B83,"W")))/(COUNTIFS(Database!$F:$I,CONCATENATE($B83,V$68,"L"))+COUNTIFS(Database!$F:$I,CONCATENATE(V$68,$B83,"L"))+COUNTIFS(Database!$F:$I,CONCATENATE($B83,V$68,"W"))+COUNTIFS(Database!$F:$I,CONCATENATE(V$68,$B83,"W"))),"-")</f>
        <v>-</v>
      </c>
      <c r="W83" s="122" t="str">
        <f>IFERROR((COUNTIFS(Database!$F:$I,CONCATENATE($B83,W$68,"W"))+COUNTIFS(Database!$F:$I,CONCATENATE(W$68,$B83,"W")))/(COUNTIFS(Database!$F:$I,CONCATENATE($B83,W$68,"L"))+COUNTIFS(Database!$F:$I,CONCATENATE(W$68,$B83,"L"))+COUNTIFS(Database!$F:$I,CONCATENATE($B83,W$68,"W"))+COUNTIFS(Database!$F:$I,CONCATENATE(W$68,$B83,"W"))),"-")</f>
        <v>-</v>
      </c>
      <c r="X83" s="122" t="str">
        <f>IFERROR((COUNTIFS(Database!$F:$I,CONCATENATE($B83,X$68,"W"))+COUNTIFS(Database!$F:$I,CONCATENATE(X$68,$B83,"W")))/(COUNTIFS(Database!$F:$I,CONCATENATE($B83,X$68,"L"))+COUNTIFS(Database!$F:$I,CONCATENATE(X$68,$B83,"L"))+COUNTIFS(Database!$F:$I,CONCATENATE($B83,X$68,"W"))+COUNTIFS(Database!$F:$I,CONCATENATE(X$68,$B83,"W"))),"-")</f>
        <v>-</v>
      </c>
      <c r="Y83" s="122" t="str">
        <f>IFERROR((COUNTIFS(Database!$F:$I,CONCATENATE($B83,Y$68,"W"))+COUNTIFS(Database!$F:$I,CONCATENATE(Y$68,$B83,"W")))/(COUNTIFS(Database!$F:$I,CONCATENATE($B83,Y$68,"L"))+COUNTIFS(Database!$F:$I,CONCATENATE(Y$68,$B83,"L"))+COUNTIFS(Database!$F:$I,CONCATENATE($B83,Y$68,"W"))+COUNTIFS(Database!$F:$I,CONCATENATE(Y$68,$B83,"W"))),"-")</f>
        <v>-</v>
      </c>
      <c r="Z83" s="122" t="str">
        <f>IFERROR((COUNTIFS(Database!$F:$I,CONCATENATE($B83,Z$68,"W"))+COUNTIFS(Database!$F:$I,CONCATENATE(Z$68,$B83,"W")))/(COUNTIFS(Database!$F:$I,CONCATENATE($B83,Z$68,"L"))+COUNTIFS(Database!$F:$I,CONCATENATE(Z$68,$B83,"L"))+COUNTIFS(Database!$F:$I,CONCATENATE($B83,Z$68,"W"))+COUNTIFS(Database!$F:$I,CONCATENATE(Z$68,$B83,"W"))),"-")</f>
        <v>-</v>
      </c>
      <c r="AA83" s="122" t="str">
        <f>IFERROR((COUNTIFS(Database!$F:$I,CONCATENATE($B83,AA$68,"W"))+COUNTIFS(Database!$F:$I,CONCATENATE(AA$68,$B83,"W")))/(COUNTIFS(Database!$F:$I,CONCATENATE($B83,AA$68,"L"))+COUNTIFS(Database!$F:$I,CONCATENATE(AA$68,$B83,"L"))+COUNTIFS(Database!$F:$I,CONCATENATE($B83,AA$68,"W"))+COUNTIFS(Database!$F:$I,CONCATENATE(AA$68,$B83,"W"))),"-")</f>
        <v>-</v>
      </c>
      <c r="AB83" s="122" t="str">
        <f>IFERROR((COUNTIFS(Database!$F:$I,CONCATENATE($B83,AB$68,"W"))+COUNTIFS(Database!$F:$I,CONCATENATE(AB$68,$B83,"W")))/(COUNTIFS(Database!$F:$I,CONCATENATE($B83,AB$68,"L"))+COUNTIFS(Database!$F:$I,CONCATENATE(AB$68,$B83,"L"))+COUNTIFS(Database!$F:$I,CONCATENATE($B83,AB$68,"W"))+COUNTIFS(Database!$F:$I,CONCATENATE(AB$68,$B83,"W"))),"-")</f>
        <v>-</v>
      </c>
      <c r="AC83" s="122">
        <f>IFERROR((COUNTIFS(Database!$F:$I,CONCATENATE($B83,AC$68,"W"))+COUNTIFS(Database!$F:$I,CONCATENATE(AC$68,$B83,"W")))/(COUNTIFS(Database!$F:$I,CONCATENATE($B83,AC$68,"L"))+COUNTIFS(Database!$F:$I,CONCATENATE(AC$68,$B83,"L"))+COUNTIFS(Database!$F:$I,CONCATENATE($B83,AC$68,"W"))+COUNTIFS(Database!$F:$I,CONCATENATE(AC$68,$B83,"W"))),"-")</f>
        <v>0</v>
      </c>
      <c r="AD83" s="122" t="str">
        <f>IFERROR((COUNTIFS(Database!$F:$I,CONCATENATE($B83,AD$68,"W"))+COUNTIFS(Database!$F:$I,CONCATENATE(AD$68,$B83,"W")))/(COUNTIFS(Database!$F:$I,CONCATENATE($B83,AD$68,"L"))+COUNTIFS(Database!$F:$I,CONCATENATE(AD$68,$B83,"L"))+COUNTIFS(Database!$F:$I,CONCATENATE($B83,AD$68,"W"))+COUNTIFS(Database!$F:$I,CONCATENATE(AD$68,$B83,"W"))),"-")</f>
        <v>-</v>
      </c>
      <c r="AE83" s="122" t="str">
        <f>IFERROR((COUNTIFS(Database!$F:$I,CONCATENATE($B83,AE$68,"W"))+COUNTIFS(Database!$F:$I,CONCATENATE(AE$68,$B83,"W")))/(COUNTIFS(Database!$F:$I,CONCATENATE($B83,AE$68,"L"))+COUNTIFS(Database!$F:$I,CONCATENATE(AE$68,$B83,"L"))+COUNTIFS(Database!$F:$I,CONCATENATE($B83,AE$68,"W"))+COUNTIFS(Database!$F:$I,CONCATENATE(AE$68,$B83,"W"))),"-")</f>
        <v>-</v>
      </c>
      <c r="AF83" s="122" t="str">
        <f>IFERROR((COUNTIFS(Database!$F:$I,CONCATENATE($B83,AF$68,"W"))+COUNTIFS(Database!$F:$I,CONCATENATE(AF$68,$B83,"W")))/(COUNTIFS(Database!$F:$I,CONCATENATE($B83,AF$68,"L"))+COUNTIFS(Database!$F:$I,CONCATENATE(AF$68,$B83,"L"))+COUNTIFS(Database!$F:$I,CONCATENATE($B83,AF$68,"W"))+COUNTIFS(Database!$F:$I,CONCATENATE(AF$68,$B83,"W"))),"-")</f>
        <v>-</v>
      </c>
      <c r="AG83" s="122" t="str">
        <f>IFERROR((COUNTIFS(Database!$F:$I,CONCATENATE($B83,AG$68,"W"))+COUNTIFS(Database!$F:$I,CONCATENATE(AG$68,$B83,"W")))/(COUNTIFS(Database!$F:$I,CONCATENATE($B83,AG$68,"L"))+COUNTIFS(Database!$F:$I,CONCATENATE(AG$68,$B83,"L"))+COUNTIFS(Database!$F:$I,CONCATENATE($B83,AG$68,"W"))+COUNTIFS(Database!$F:$I,CONCATENATE(AG$68,$B83,"W"))),"-")</f>
        <v>-</v>
      </c>
      <c r="AH83" s="122" t="str">
        <f>IFERROR((COUNTIFS(Database!$F:$I,CONCATENATE($B83,AH$68,"W"))+COUNTIFS(Database!$F:$I,CONCATENATE(AH$68,$B83,"W")))/(COUNTIFS(Database!$F:$I,CONCATENATE($B83,AH$68,"L"))+COUNTIFS(Database!$F:$I,CONCATENATE(AH$68,$B83,"L"))+COUNTIFS(Database!$F:$I,CONCATENATE($B83,AH$68,"W"))+COUNTIFS(Database!$F:$I,CONCATENATE(AH$68,$B83,"W"))),"-")</f>
        <v>-</v>
      </c>
      <c r="AI83" s="122" t="str">
        <f>IFERROR((COUNTIFS(Database!$F:$I,CONCATENATE($B83,AI$68,"W"))+COUNTIFS(Database!$F:$I,CONCATENATE(AI$68,$B83,"W")))/(COUNTIFS(Database!$F:$I,CONCATENATE($B83,AI$68,"L"))+COUNTIFS(Database!$F:$I,CONCATENATE(AI$68,$B83,"L"))+COUNTIFS(Database!$F:$I,CONCATENATE($B83,AI$68,"W"))+COUNTIFS(Database!$F:$I,CONCATENATE(AI$68,$B83,"W"))),"-")</f>
        <v>-</v>
      </c>
      <c r="AJ83" s="122" t="str">
        <f>IFERROR((COUNTIFS(Database!$F:$I,CONCATENATE($B83,AJ$68,"W"))+COUNTIFS(Database!$F:$I,CONCATENATE(AJ$68,$B83,"W")))/(COUNTIFS(Database!$F:$I,CONCATENATE($B83,AJ$68,"L"))+COUNTIFS(Database!$F:$I,CONCATENATE(AJ$68,$B83,"L"))+COUNTIFS(Database!$F:$I,CONCATENATE($B83,AJ$68,"W"))+COUNTIFS(Database!$F:$I,CONCATENATE(AJ$68,$B83,"W"))),"-")</f>
        <v>-</v>
      </c>
      <c r="AK83" s="122" t="str">
        <f>IFERROR((COUNTIFS(Database!$F:$I,CONCATENATE($B83,AK$68,"W"))+COUNTIFS(Database!$F:$I,CONCATENATE(AK$68,$B83,"W")))/(COUNTIFS(Database!$F:$I,CONCATENATE($B83,AK$68,"L"))+COUNTIFS(Database!$F:$I,CONCATENATE(AK$68,$B83,"L"))+COUNTIFS(Database!$F:$I,CONCATENATE($B83,AK$68,"W"))+COUNTIFS(Database!$F:$I,CONCATENATE(AK$68,$B83,"W"))),"-")</f>
        <v>-</v>
      </c>
      <c r="AL83" s="122" t="str">
        <f>IFERROR((COUNTIFS(Database!$F:$I,CONCATENATE($B83,AL$68,"W"))+COUNTIFS(Database!$F:$I,CONCATENATE(AL$68,$B83,"W")))/(COUNTIFS(Database!$F:$I,CONCATENATE($B83,AL$68,"L"))+COUNTIFS(Database!$F:$I,CONCATENATE(AL$68,$B83,"L"))+COUNTIFS(Database!$F:$I,CONCATENATE($B83,AL$68,"W"))+COUNTIFS(Database!$F:$I,CONCATENATE(AL$68,$B83,"W"))),"-")</f>
        <v>-</v>
      </c>
      <c r="AM83" s="122" t="str">
        <f>IFERROR((COUNTIFS(Database!$F:$I,CONCATENATE($B83,AM$68,"W"))+COUNTIFS(Database!$F:$I,CONCATENATE(AM$68,$B83,"W")))/(COUNTIFS(Database!$F:$I,CONCATENATE($B83,AM$68,"L"))+COUNTIFS(Database!$F:$I,CONCATENATE(AM$68,$B83,"L"))+COUNTIFS(Database!$F:$I,CONCATENATE($B83,AM$68,"W"))+COUNTIFS(Database!$F:$I,CONCATENATE(AM$68,$B83,"W"))),"-")</f>
        <v>-</v>
      </c>
      <c r="AN83" s="122" t="str">
        <f>IFERROR((COUNTIFS(Database!$F:$I,CONCATENATE($B83,AN$68,"W"))+COUNTIFS(Database!$F:$I,CONCATENATE(AN$68,$B83,"W")))/(COUNTIFS(Database!$F:$I,CONCATENATE($B83,AN$68,"L"))+COUNTIFS(Database!$F:$I,CONCATENATE(AN$68,$B83,"L"))+COUNTIFS(Database!$F:$I,CONCATENATE($B83,AN$68,"W"))+COUNTIFS(Database!$F:$I,CONCATENATE(AN$68,$B83,"W"))),"-")</f>
        <v>-</v>
      </c>
      <c r="AO83" s="122" t="str">
        <f>IFERROR((COUNTIFS(Database!$F:$I,CONCATENATE($B83,AO$68,"W"))+COUNTIFS(Database!$F:$I,CONCATENATE(AO$68,$B83,"W")))/(COUNTIFS(Database!$F:$I,CONCATENATE($B83,AO$68,"L"))+COUNTIFS(Database!$F:$I,CONCATENATE(AO$68,$B83,"L"))+COUNTIFS(Database!$F:$I,CONCATENATE($B83,AO$68,"W"))+COUNTIFS(Database!$F:$I,CONCATENATE(AO$68,$B83,"W"))),"-")</f>
        <v>-</v>
      </c>
      <c r="AP83" s="122" t="str">
        <f>IFERROR((COUNTIFS(Database!$F:$I,CONCATENATE($B83,AP$68,"W"))+COUNTIFS(Database!$F:$I,CONCATENATE(AP$68,$B83,"W")))/(COUNTIFS(Database!$F:$I,CONCATENATE($B83,AP$68,"L"))+COUNTIFS(Database!$F:$I,CONCATENATE(AP$68,$B83,"L"))+COUNTIFS(Database!$F:$I,CONCATENATE($B83,AP$68,"W"))+COUNTIFS(Database!$F:$I,CONCATENATE(AP$68,$B83,"W"))),"-")</f>
        <v>-</v>
      </c>
      <c r="AQ83" s="122" t="str">
        <f>IFERROR((COUNTIFS(Database!$F:$I,CONCATENATE($B83,AQ$68,"W"))+COUNTIFS(Database!$F:$I,CONCATENATE(AQ$68,$B83,"W")))/(COUNTIFS(Database!$F:$I,CONCATENATE($B83,AQ$68,"L"))+COUNTIFS(Database!$F:$I,CONCATENATE(AQ$68,$B83,"L"))+COUNTIFS(Database!$F:$I,CONCATENATE($B83,AQ$68,"W"))+COUNTIFS(Database!$F:$I,CONCATENATE(AQ$68,$B83,"W"))),"-")</f>
        <v>-</v>
      </c>
      <c r="AR83" s="122" t="str">
        <f>IFERROR((COUNTIFS(Database!$F:$I,CONCATENATE($B83,AR$68,"W"))+COUNTIFS(Database!$F:$I,CONCATENATE(AR$68,$B83,"W")))/(COUNTIFS(Database!$F:$I,CONCATENATE($B83,AR$68,"L"))+COUNTIFS(Database!$F:$I,CONCATENATE(AR$68,$B83,"L"))+COUNTIFS(Database!$F:$I,CONCATENATE($B83,AR$68,"W"))+COUNTIFS(Database!$F:$I,CONCATENATE(AR$68,$B83,"W"))),"-")</f>
        <v>-</v>
      </c>
      <c r="AS83" s="122" t="str">
        <f>IFERROR((COUNTIFS(Database!$F:$I,CONCATENATE($B83,AS$68,"W"))+COUNTIFS(Database!$F:$I,CONCATENATE(AS$68,$B83,"W")))/(COUNTIFS(Database!$F:$I,CONCATENATE($B83,AS$68,"L"))+COUNTIFS(Database!$F:$I,CONCATENATE(AS$68,$B83,"L"))+COUNTIFS(Database!$F:$I,CONCATENATE($B83,AS$68,"W"))+COUNTIFS(Database!$F:$I,CONCATENATE(AS$68,$B83,"W"))),"-")</f>
        <v>-</v>
      </c>
      <c r="AT83" s="122" t="str">
        <f>IFERROR((COUNTIFS(Database!$F:$I,CONCATENATE($B83,AT$68,"W"))+COUNTIFS(Database!$F:$I,CONCATENATE(AT$68,$B83,"W")))/(COUNTIFS(Database!$F:$I,CONCATENATE($B83,AT$68,"L"))+COUNTIFS(Database!$F:$I,CONCATENATE(AT$68,$B83,"L"))+COUNTIFS(Database!$F:$I,CONCATENATE($B83,AT$68,"W"))+COUNTIFS(Database!$F:$I,CONCATENATE(AT$68,$B83,"W"))),"-")</f>
        <v>-</v>
      </c>
      <c r="AU83" s="122" t="str">
        <f>IFERROR((COUNTIFS(Database!$F:$I,CONCATENATE($B83,AU$68,"W"))+COUNTIFS(Database!$F:$I,CONCATENATE(AU$68,$B83,"W")))/(COUNTIFS(Database!$F:$I,CONCATENATE($B83,AU$68,"L"))+COUNTIFS(Database!$F:$I,CONCATENATE(AU$68,$B83,"L"))+COUNTIFS(Database!$F:$I,CONCATENATE($B83,AU$68,"W"))+COUNTIFS(Database!$F:$I,CONCATENATE(AU$68,$B83,"W"))),"-")</f>
        <v>-</v>
      </c>
      <c r="AV83" s="122" t="str">
        <f>IFERROR((COUNTIFS(Database!$F:$I,CONCATENATE($B83,AV$68,"W"))+COUNTIFS(Database!$F:$I,CONCATENATE(AV$68,$B83,"W")))/(COUNTIFS(Database!$F:$I,CONCATENATE($B83,AV$68,"L"))+COUNTIFS(Database!$F:$I,CONCATENATE(AV$68,$B83,"L"))+COUNTIFS(Database!$F:$I,CONCATENATE($B83,AV$68,"W"))+COUNTIFS(Database!$F:$I,CONCATENATE(AV$68,$B83,"W"))),"-")</f>
        <v>-</v>
      </c>
      <c r="AW83" s="122">
        <f>IFERROR((COUNTIFS(Database!$F:$I,CONCATENATE($B83,AW$68,"W"))+COUNTIFS(Database!$F:$I,CONCATENATE(AW$68,$B83,"W")))/(COUNTIFS(Database!$F:$I,CONCATENATE($B83,AW$68,"L"))+COUNTIFS(Database!$F:$I,CONCATENATE(AW$68,$B83,"L"))+COUNTIFS(Database!$F:$I,CONCATENATE($B83,AW$68,"W"))+COUNTIFS(Database!$F:$I,CONCATENATE(AW$68,$B83,"W"))),"-")</f>
        <v>1</v>
      </c>
      <c r="AX83" s="122" t="str">
        <f>IFERROR((COUNTIFS(Database!$F:$I,CONCATENATE($B83,AX$68,"W"))+COUNTIFS(Database!$F:$I,CONCATENATE(AX$68,$B83,"W")))/(COUNTIFS(Database!$F:$I,CONCATENATE($B83,AX$68,"L"))+COUNTIFS(Database!$F:$I,CONCATENATE(AX$68,$B83,"L"))+COUNTIFS(Database!$F:$I,CONCATENATE($B83,AX$68,"W"))+COUNTIFS(Database!$F:$I,CONCATENATE(AX$68,$B83,"W"))),"-")</f>
        <v>-</v>
      </c>
      <c r="AY83" s="122" t="str">
        <f>IFERROR((COUNTIFS(Database!$F:$I,CONCATENATE($B83,AY$68,"W"))+COUNTIFS(Database!$F:$I,CONCATENATE(AY$68,$B83,"W")))/(COUNTIFS(Database!$F:$I,CONCATENATE($B83,AY$68,"L"))+COUNTIFS(Database!$F:$I,CONCATENATE(AY$68,$B83,"L"))+COUNTIFS(Database!$F:$I,CONCATENATE($B83,AY$68,"W"))+COUNTIFS(Database!$F:$I,CONCATENATE(AY$68,$B83,"W"))),"-")</f>
        <v>-</v>
      </c>
    </row>
    <row r="84" spans="2:51" x14ac:dyDescent="0.25">
      <c r="B84" s="120" t="s">
        <v>41</v>
      </c>
      <c r="C84" s="122">
        <f>IFERROR((COUNTIFS(Database!$F:$I,CONCATENATE($B84,C$68,"W"))+COUNTIFS(Database!$F:$I,CONCATENATE(C$68,$B84,"W")))/(COUNTIFS(Database!$F:$I,CONCATENATE($B84,C$68,"L"))+COUNTIFS(Database!$F:$I,CONCATENATE(C$68,$B84,"L"))+COUNTIFS(Database!$F:$I,CONCATENATE($B84,C$68,"W"))+COUNTIFS(Database!$F:$I,CONCATENATE(C$68,$B84,"W"))),"-")</f>
        <v>1</v>
      </c>
      <c r="D84" s="122" t="str">
        <f>IFERROR((COUNTIFS(Database!$F:$I,CONCATENATE($B84,D$68,"W"))+COUNTIFS(Database!$F:$I,CONCATENATE(D$68,$B84,"W")))/(COUNTIFS(Database!$F:$I,CONCATENATE($B84,D$68,"L"))+COUNTIFS(Database!$F:$I,CONCATENATE(D$68,$B84,"L"))+COUNTIFS(Database!$F:$I,CONCATENATE($B84,D$68,"W"))+COUNTIFS(Database!$F:$I,CONCATENATE(D$68,$B84,"W"))),"-")</f>
        <v>-</v>
      </c>
      <c r="E84" s="122">
        <f>IFERROR((COUNTIFS(Database!$F:$I,CONCATENATE($B84,E$68,"W"))+COUNTIFS(Database!$F:$I,CONCATENATE(E$68,$B84,"W")))/(COUNTIFS(Database!$F:$I,CONCATENATE($B84,E$68,"L"))+COUNTIFS(Database!$F:$I,CONCATENATE(E$68,$B84,"L"))+COUNTIFS(Database!$F:$I,CONCATENATE($B84,E$68,"W"))+COUNTIFS(Database!$F:$I,CONCATENATE(E$68,$B84,"W"))),"-")</f>
        <v>0</v>
      </c>
      <c r="F84" s="122">
        <f>IFERROR((COUNTIFS(Database!$F:$I,CONCATENATE($B84,F$68,"W"))+COUNTIFS(Database!$F:$I,CONCATENATE(F$68,$B84,"W")))/(COUNTIFS(Database!$F:$I,CONCATENATE($B84,F$68,"L"))+COUNTIFS(Database!$F:$I,CONCATENATE(F$68,$B84,"L"))+COUNTIFS(Database!$F:$I,CONCATENATE($B84,F$68,"W"))+COUNTIFS(Database!$F:$I,CONCATENATE(F$68,$B84,"W"))),"-")</f>
        <v>0.66666666666666663</v>
      </c>
      <c r="G84" s="122" t="str">
        <f>IFERROR((COUNTIFS(Database!$F:$I,CONCATENATE($B84,G$68,"W"))+COUNTIFS(Database!$F:$I,CONCATENATE(G$68,$B84,"W")))/(COUNTIFS(Database!$F:$I,CONCATENATE($B84,G$68,"L"))+COUNTIFS(Database!$F:$I,CONCATENATE(G$68,$B84,"L"))+COUNTIFS(Database!$F:$I,CONCATENATE($B84,G$68,"W"))+COUNTIFS(Database!$F:$I,CONCATENATE(G$68,$B84,"W"))),"-")</f>
        <v>-</v>
      </c>
      <c r="H84" s="122" t="str">
        <f>IFERROR((COUNTIFS(Database!$F:$I,CONCATENATE($B84,H$68,"W"))+COUNTIFS(Database!$F:$I,CONCATENATE(H$68,$B84,"W")))/(COUNTIFS(Database!$F:$I,CONCATENATE($B84,H$68,"L"))+COUNTIFS(Database!$F:$I,CONCATENATE(H$68,$B84,"L"))+COUNTIFS(Database!$F:$I,CONCATENATE($B84,H$68,"W"))+COUNTIFS(Database!$F:$I,CONCATENATE(H$68,$B84,"W"))),"-")</f>
        <v>-</v>
      </c>
      <c r="I84" s="122" t="str">
        <f>IFERROR((COUNTIFS(Database!$F:$I,CONCATENATE($B84,I$68,"W"))+COUNTIFS(Database!$F:$I,CONCATENATE(I$68,$B84,"W")))/(COUNTIFS(Database!$F:$I,CONCATENATE($B84,I$68,"L"))+COUNTIFS(Database!$F:$I,CONCATENATE(I$68,$B84,"L"))+COUNTIFS(Database!$F:$I,CONCATENATE($B84,I$68,"W"))+COUNTIFS(Database!$F:$I,CONCATENATE(I$68,$B84,"W"))),"-")</f>
        <v>-</v>
      </c>
      <c r="J84" s="122" t="str">
        <f>IFERROR((COUNTIFS(Database!$F:$I,CONCATENATE($B84,J$68,"W"))+COUNTIFS(Database!$F:$I,CONCATENATE(J$68,$B84,"W")))/(COUNTIFS(Database!$F:$I,CONCATENATE($B84,J$68,"L"))+COUNTIFS(Database!$F:$I,CONCATENATE(J$68,$B84,"L"))+COUNTIFS(Database!$F:$I,CONCATENATE($B84,J$68,"W"))+COUNTIFS(Database!$F:$I,CONCATENATE(J$68,$B84,"W"))),"-")</f>
        <v>-</v>
      </c>
      <c r="K84" s="122" t="str">
        <f>IFERROR((COUNTIFS(Database!$F:$I,CONCATENATE($B84,K$68,"W"))+COUNTIFS(Database!$F:$I,CONCATENATE(K$68,$B84,"W")))/(COUNTIFS(Database!$F:$I,CONCATENATE($B84,K$68,"L"))+COUNTIFS(Database!$F:$I,CONCATENATE(K$68,$B84,"L"))+COUNTIFS(Database!$F:$I,CONCATENATE($B84,K$68,"W"))+COUNTIFS(Database!$F:$I,CONCATENATE(K$68,$B84,"W"))),"-")</f>
        <v>-</v>
      </c>
      <c r="L84" s="122" t="str">
        <f>IFERROR((COUNTIFS(Database!$F:$I,CONCATENATE($B84,L$68,"W"))+COUNTIFS(Database!$F:$I,CONCATENATE(L$68,$B84,"W")))/(COUNTIFS(Database!$F:$I,CONCATENATE($B84,L$68,"L"))+COUNTIFS(Database!$F:$I,CONCATENATE(L$68,$B84,"L"))+COUNTIFS(Database!$F:$I,CONCATENATE($B84,L$68,"W"))+COUNTIFS(Database!$F:$I,CONCATENATE(L$68,$B84,"W"))),"-")</f>
        <v>-</v>
      </c>
      <c r="M84" s="122" t="str">
        <f>IFERROR((COUNTIFS(Database!$F:$I,CONCATENATE($B84,M$68,"W"))+COUNTIFS(Database!$F:$I,CONCATENATE(M$68,$B84,"W")))/(COUNTIFS(Database!$F:$I,CONCATENATE($B84,M$68,"L"))+COUNTIFS(Database!$F:$I,CONCATENATE(M$68,$B84,"L"))+COUNTIFS(Database!$F:$I,CONCATENATE($B84,M$68,"W"))+COUNTIFS(Database!$F:$I,CONCATENATE(M$68,$B84,"W"))),"-")</f>
        <v>-</v>
      </c>
      <c r="N84" s="122" t="str">
        <f>IFERROR((COUNTIFS(Database!$F:$I,CONCATENATE($B84,N$68,"W"))+COUNTIFS(Database!$F:$I,CONCATENATE(N$68,$B84,"W")))/(COUNTIFS(Database!$F:$I,CONCATENATE($B84,N$68,"L"))+COUNTIFS(Database!$F:$I,CONCATENATE(N$68,$B84,"L"))+COUNTIFS(Database!$F:$I,CONCATENATE($B84,N$68,"W"))+COUNTIFS(Database!$F:$I,CONCATENATE(N$68,$B84,"W"))),"-")</f>
        <v>-</v>
      </c>
      <c r="O84" s="122">
        <f>IFERROR((COUNTIFS(Database!$F:$I,CONCATENATE($B84,O$68,"W"))+COUNTIFS(Database!$F:$I,CONCATENATE(O$68,$B84,"W")))/(COUNTIFS(Database!$F:$I,CONCATENATE($B84,O$68,"L"))+COUNTIFS(Database!$F:$I,CONCATENATE(O$68,$B84,"L"))+COUNTIFS(Database!$F:$I,CONCATENATE($B84,O$68,"W"))+COUNTIFS(Database!$F:$I,CONCATENATE(O$68,$B84,"W"))),"-")</f>
        <v>1</v>
      </c>
      <c r="P84" s="122" t="str">
        <f>IFERROR((COUNTIFS(Database!$F:$I,CONCATENATE($B84,P$68,"W"))+COUNTIFS(Database!$F:$I,CONCATENATE(P$68,$B84,"W")))/(COUNTIFS(Database!$F:$I,CONCATENATE($B84,P$68,"L"))+COUNTIFS(Database!$F:$I,CONCATENATE(P$68,$B84,"L"))+COUNTIFS(Database!$F:$I,CONCATENATE($B84,P$68,"W"))+COUNTIFS(Database!$F:$I,CONCATENATE(P$68,$B84,"W"))),"-")</f>
        <v>-</v>
      </c>
      <c r="Q84" s="122" t="str">
        <f>IFERROR((COUNTIFS(Database!$F:$I,CONCATENATE($B84,Q$68,"W"))+COUNTIFS(Database!$F:$I,CONCATENATE(Q$68,$B84,"W")))/(COUNTIFS(Database!$F:$I,CONCATENATE($B84,Q$68,"L"))+COUNTIFS(Database!$F:$I,CONCATENATE(Q$68,$B84,"L"))+COUNTIFS(Database!$F:$I,CONCATENATE($B84,Q$68,"W"))+COUNTIFS(Database!$F:$I,CONCATENATE(Q$68,$B84,"W"))),"-")</f>
        <v>-</v>
      </c>
      <c r="R84" s="122" t="str">
        <f>IFERROR((COUNTIFS(Database!$F:$I,CONCATENATE($B84,R$68,"W"))+COUNTIFS(Database!$F:$I,CONCATENATE(R$68,$B84,"W")))/(COUNTIFS(Database!$F:$I,CONCATENATE($B84,R$68,"L"))+COUNTIFS(Database!$F:$I,CONCATENATE(R$68,$B84,"L"))+COUNTIFS(Database!$F:$I,CONCATENATE($B84,R$68,"W"))+COUNTIFS(Database!$F:$I,CONCATENATE(R$68,$B84,"W"))),"-")</f>
        <v>-</v>
      </c>
      <c r="S84" s="122" t="str">
        <f>IFERROR((COUNTIFS(Database!$F:$I,CONCATENATE($B84,S$68,"W"))+COUNTIFS(Database!$F:$I,CONCATENATE(S$68,$B84,"W")))/(COUNTIFS(Database!$F:$I,CONCATENATE($B84,S$68,"L"))+COUNTIFS(Database!$F:$I,CONCATENATE(S$68,$B84,"L"))+COUNTIFS(Database!$F:$I,CONCATENATE($B84,S$68,"W"))+COUNTIFS(Database!$F:$I,CONCATENATE(S$68,$B84,"W"))),"-")</f>
        <v>-</v>
      </c>
      <c r="T84" s="122" t="str">
        <f>IFERROR((COUNTIFS(Database!$F:$I,CONCATENATE($B84,T$68,"W"))+COUNTIFS(Database!$F:$I,CONCATENATE(T$68,$B84,"W")))/(COUNTIFS(Database!$F:$I,CONCATENATE($B84,T$68,"L"))+COUNTIFS(Database!$F:$I,CONCATENATE(T$68,$B84,"L"))+COUNTIFS(Database!$F:$I,CONCATENATE($B84,T$68,"W"))+COUNTIFS(Database!$F:$I,CONCATENATE(T$68,$B84,"W"))),"-")</f>
        <v>-</v>
      </c>
      <c r="U84" s="122" t="str">
        <f>IFERROR((COUNTIFS(Database!$F:$I,CONCATENATE($B84,U$68,"W"))+COUNTIFS(Database!$F:$I,CONCATENATE(U$68,$B84,"W")))/(COUNTIFS(Database!$F:$I,CONCATENATE($B84,U$68,"L"))+COUNTIFS(Database!$F:$I,CONCATENATE(U$68,$B84,"L"))+COUNTIFS(Database!$F:$I,CONCATENATE($B84,U$68,"W"))+COUNTIFS(Database!$F:$I,CONCATENATE(U$68,$B84,"W"))),"-")</f>
        <v>-</v>
      </c>
      <c r="V84" s="122" t="str">
        <f>IFERROR((COUNTIFS(Database!$F:$I,CONCATENATE($B84,V$68,"W"))+COUNTIFS(Database!$F:$I,CONCATENATE(V$68,$B84,"W")))/(COUNTIFS(Database!$F:$I,CONCATENATE($B84,V$68,"L"))+COUNTIFS(Database!$F:$I,CONCATENATE(V$68,$B84,"L"))+COUNTIFS(Database!$F:$I,CONCATENATE($B84,V$68,"W"))+COUNTIFS(Database!$F:$I,CONCATENATE(V$68,$B84,"W"))),"-")</f>
        <v>-</v>
      </c>
      <c r="W84" s="122" t="str">
        <f>IFERROR((COUNTIFS(Database!$F:$I,CONCATENATE($B84,W$68,"W"))+COUNTIFS(Database!$F:$I,CONCATENATE(W$68,$B84,"W")))/(COUNTIFS(Database!$F:$I,CONCATENATE($B84,W$68,"L"))+COUNTIFS(Database!$F:$I,CONCATENATE(W$68,$B84,"L"))+COUNTIFS(Database!$F:$I,CONCATENATE($B84,W$68,"W"))+COUNTIFS(Database!$F:$I,CONCATENATE(W$68,$B84,"W"))),"-")</f>
        <v>-</v>
      </c>
      <c r="X84" s="122" t="str">
        <f>IFERROR((COUNTIFS(Database!$F:$I,CONCATENATE($B84,X$68,"W"))+COUNTIFS(Database!$F:$I,CONCATENATE(X$68,$B84,"W")))/(COUNTIFS(Database!$F:$I,CONCATENATE($B84,X$68,"L"))+COUNTIFS(Database!$F:$I,CONCATENATE(X$68,$B84,"L"))+COUNTIFS(Database!$F:$I,CONCATENATE($B84,X$68,"W"))+COUNTIFS(Database!$F:$I,CONCATENATE(X$68,$B84,"W"))),"-")</f>
        <v>-</v>
      </c>
      <c r="Y84" s="122" t="str">
        <f>IFERROR((COUNTIFS(Database!$F:$I,CONCATENATE($B84,Y$68,"W"))+COUNTIFS(Database!$F:$I,CONCATENATE(Y$68,$B84,"W")))/(COUNTIFS(Database!$F:$I,CONCATENATE($B84,Y$68,"L"))+COUNTIFS(Database!$F:$I,CONCATENATE(Y$68,$B84,"L"))+COUNTIFS(Database!$F:$I,CONCATENATE($B84,Y$68,"W"))+COUNTIFS(Database!$F:$I,CONCATENATE(Y$68,$B84,"W"))),"-")</f>
        <v>-</v>
      </c>
      <c r="Z84" s="122" t="str">
        <f>IFERROR((COUNTIFS(Database!$F:$I,CONCATENATE($B84,Z$68,"W"))+COUNTIFS(Database!$F:$I,CONCATENATE(Z$68,$B84,"W")))/(COUNTIFS(Database!$F:$I,CONCATENATE($B84,Z$68,"L"))+COUNTIFS(Database!$F:$I,CONCATENATE(Z$68,$B84,"L"))+COUNTIFS(Database!$F:$I,CONCATENATE($B84,Z$68,"W"))+COUNTIFS(Database!$F:$I,CONCATENATE(Z$68,$B84,"W"))),"-")</f>
        <v>-</v>
      </c>
      <c r="AA84" s="122" t="str">
        <f>IFERROR((COUNTIFS(Database!$F:$I,CONCATENATE($B84,AA$68,"W"))+COUNTIFS(Database!$F:$I,CONCATENATE(AA$68,$B84,"W")))/(COUNTIFS(Database!$F:$I,CONCATENATE($B84,AA$68,"L"))+COUNTIFS(Database!$F:$I,CONCATENATE(AA$68,$B84,"L"))+COUNTIFS(Database!$F:$I,CONCATENATE($B84,AA$68,"W"))+COUNTIFS(Database!$F:$I,CONCATENATE(AA$68,$B84,"W"))),"-")</f>
        <v>-</v>
      </c>
      <c r="AB84" s="122">
        <f>IFERROR((COUNTIFS(Database!$F:$I,CONCATENATE($B84,AB$68,"W"))+COUNTIFS(Database!$F:$I,CONCATENATE(AB$68,$B84,"W")))/(COUNTIFS(Database!$F:$I,CONCATENATE($B84,AB$68,"L"))+COUNTIFS(Database!$F:$I,CONCATENATE(AB$68,$B84,"L"))+COUNTIFS(Database!$F:$I,CONCATENATE($B84,AB$68,"W"))+COUNTIFS(Database!$F:$I,CONCATENATE(AB$68,$B84,"W"))),"-")</f>
        <v>0</v>
      </c>
      <c r="AC84" s="122" t="str">
        <f>IFERROR((COUNTIFS(Database!$F:$I,CONCATENATE($B84,AC$68,"W"))+COUNTIFS(Database!$F:$I,CONCATENATE(AC$68,$B84,"W")))/(COUNTIFS(Database!$F:$I,CONCATENATE($B84,AC$68,"L"))+COUNTIFS(Database!$F:$I,CONCATENATE(AC$68,$B84,"L"))+COUNTIFS(Database!$F:$I,CONCATENATE($B84,AC$68,"W"))+COUNTIFS(Database!$F:$I,CONCATENATE(AC$68,$B84,"W"))),"-")</f>
        <v>-</v>
      </c>
      <c r="AD84" s="122" t="str">
        <f>IFERROR((COUNTIFS(Database!$F:$I,CONCATENATE($B84,AD$68,"W"))+COUNTIFS(Database!$F:$I,CONCATENATE(AD$68,$B84,"W")))/(COUNTIFS(Database!$F:$I,CONCATENATE($B84,AD$68,"L"))+COUNTIFS(Database!$F:$I,CONCATENATE(AD$68,$B84,"L"))+COUNTIFS(Database!$F:$I,CONCATENATE($B84,AD$68,"W"))+COUNTIFS(Database!$F:$I,CONCATENATE(AD$68,$B84,"W"))),"-")</f>
        <v>-</v>
      </c>
      <c r="AE84" s="122" t="str">
        <f>IFERROR((COUNTIFS(Database!$F:$I,CONCATENATE($B84,AE$68,"W"))+COUNTIFS(Database!$F:$I,CONCATENATE(AE$68,$B84,"W")))/(COUNTIFS(Database!$F:$I,CONCATENATE($B84,AE$68,"L"))+COUNTIFS(Database!$F:$I,CONCATENATE(AE$68,$B84,"L"))+COUNTIFS(Database!$F:$I,CONCATENATE($B84,AE$68,"W"))+COUNTIFS(Database!$F:$I,CONCATENATE(AE$68,$B84,"W"))),"-")</f>
        <v>-</v>
      </c>
      <c r="AF84" s="122" t="str">
        <f>IFERROR((COUNTIFS(Database!$F:$I,CONCATENATE($B84,AF$68,"W"))+COUNTIFS(Database!$F:$I,CONCATENATE(AF$68,$B84,"W")))/(COUNTIFS(Database!$F:$I,CONCATENATE($B84,AF$68,"L"))+COUNTIFS(Database!$F:$I,CONCATENATE(AF$68,$B84,"L"))+COUNTIFS(Database!$F:$I,CONCATENATE($B84,AF$68,"W"))+COUNTIFS(Database!$F:$I,CONCATENATE(AF$68,$B84,"W"))),"-")</f>
        <v>-</v>
      </c>
      <c r="AG84" s="122" t="str">
        <f>IFERROR((COUNTIFS(Database!$F:$I,CONCATENATE($B84,AG$68,"W"))+COUNTIFS(Database!$F:$I,CONCATENATE(AG$68,$B84,"W")))/(COUNTIFS(Database!$F:$I,CONCATENATE($B84,AG$68,"L"))+COUNTIFS(Database!$F:$I,CONCATENATE(AG$68,$B84,"L"))+COUNTIFS(Database!$F:$I,CONCATENATE($B84,AG$68,"W"))+COUNTIFS(Database!$F:$I,CONCATENATE(AG$68,$B84,"W"))),"-")</f>
        <v>-</v>
      </c>
      <c r="AH84" s="122" t="str">
        <f>IFERROR((COUNTIFS(Database!$F:$I,CONCATENATE($B84,AH$68,"W"))+COUNTIFS(Database!$F:$I,CONCATENATE(AH$68,$B84,"W")))/(COUNTIFS(Database!$F:$I,CONCATENATE($B84,AH$68,"L"))+COUNTIFS(Database!$F:$I,CONCATENATE(AH$68,$B84,"L"))+COUNTIFS(Database!$F:$I,CONCATENATE($B84,AH$68,"W"))+COUNTIFS(Database!$F:$I,CONCATENATE(AH$68,$B84,"W"))),"-")</f>
        <v>-</v>
      </c>
      <c r="AI84" s="122" t="str">
        <f>IFERROR((COUNTIFS(Database!$F:$I,CONCATENATE($B84,AI$68,"W"))+COUNTIFS(Database!$F:$I,CONCATENATE(AI$68,$B84,"W")))/(COUNTIFS(Database!$F:$I,CONCATENATE($B84,AI$68,"L"))+COUNTIFS(Database!$F:$I,CONCATENATE(AI$68,$B84,"L"))+COUNTIFS(Database!$F:$I,CONCATENATE($B84,AI$68,"W"))+COUNTIFS(Database!$F:$I,CONCATENATE(AI$68,$B84,"W"))),"-")</f>
        <v>-</v>
      </c>
      <c r="AJ84" s="122" t="str">
        <f>IFERROR((COUNTIFS(Database!$F:$I,CONCATENATE($B84,AJ$68,"W"))+COUNTIFS(Database!$F:$I,CONCATENATE(AJ$68,$B84,"W")))/(COUNTIFS(Database!$F:$I,CONCATENATE($B84,AJ$68,"L"))+COUNTIFS(Database!$F:$I,CONCATENATE(AJ$68,$B84,"L"))+COUNTIFS(Database!$F:$I,CONCATENATE($B84,AJ$68,"W"))+COUNTIFS(Database!$F:$I,CONCATENATE(AJ$68,$B84,"W"))),"-")</f>
        <v>-</v>
      </c>
      <c r="AK84" s="122">
        <f>IFERROR((COUNTIFS(Database!$F:$I,CONCATENATE($B84,AK$68,"W"))+COUNTIFS(Database!$F:$I,CONCATENATE(AK$68,$B84,"W")))/(COUNTIFS(Database!$F:$I,CONCATENATE($B84,AK$68,"L"))+COUNTIFS(Database!$F:$I,CONCATENATE(AK$68,$B84,"L"))+COUNTIFS(Database!$F:$I,CONCATENATE($B84,AK$68,"W"))+COUNTIFS(Database!$F:$I,CONCATENATE(AK$68,$B84,"W"))),"-")</f>
        <v>0</v>
      </c>
      <c r="AL84" s="122" t="str">
        <f>IFERROR((COUNTIFS(Database!$F:$I,CONCATENATE($B84,AL$68,"W"))+COUNTIFS(Database!$F:$I,CONCATENATE(AL$68,$B84,"W")))/(COUNTIFS(Database!$F:$I,CONCATENATE($B84,AL$68,"L"))+COUNTIFS(Database!$F:$I,CONCATENATE(AL$68,$B84,"L"))+COUNTIFS(Database!$F:$I,CONCATENATE($B84,AL$68,"W"))+COUNTIFS(Database!$F:$I,CONCATENATE(AL$68,$B84,"W"))),"-")</f>
        <v>-</v>
      </c>
      <c r="AM84" s="122" t="str">
        <f>IFERROR((COUNTIFS(Database!$F:$I,CONCATENATE($B84,AM$68,"W"))+COUNTIFS(Database!$F:$I,CONCATENATE(AM$68,$B84,"W")))/(COUNTIFS(Database!$F:$I,CONCATENATE($B84,AM$68,"L"))+COUNTIFS(Database!$F:$I,CONCATENATE(AM$68,$B84,"L"))+COUNTIFS(Database!$F:$I,CONCATENATE($B84,AM$68,"W"))+COUNTIFS(Database!$F:$I,CONCATENATE(AM$68,$B84,"W"))),"-")</f>
        <v>-</v>
      </c>
      <c r="AN84" s="122" t="str">
        <f>IFERROR((COUNTIFS(Database!$F:$I,CONCATENATE($B84,AN$68,"W"))+COUNTIFS(Database!$F:$I,CONCATENATE(AN$68,$B84,"W")))/(COUNTIFS(Database!$F:$I,CONCATENATE($B84,AN$68,"L"))+COUNTIFS(Database!$F:$I,CONCATENATE(AN$68,$B84,"L"))+COUNTIFS(Database!$F:$I,CONCATENATE($B84,AN$68,"W"))+COUNTIFS(Database!$F:$I,CONCATENATE(AN$68,$B84,"W"))),"-")</f>
        <v>-</v>
      </c>
      <c r="AO84" s="122" t="str">
        <f>IFERROR((COUNTIFS(Database!$F:$I,CONCATENATE($B84,AO$68,"W"))+COUNTIFS(Database!$F:$I,CONCATENATE(AO$68,$B84,"W")))/(COUNTIFS(Database!$F:$I,CONCATENATE($B84,AO$68,"L"))+COUNTIFS(Database!$F:$I,CONCATENATE(AO$68,$B84,"L"))+COUNTIFS(Database!$F:$I,CONCATENATE($B84,AO$68,"W"))+COUNTIFS(Database!$F:$I,CONCATENATE(AO$68,$B84,"W"))),"-")</f>
        <v>-</v>
      </c>
      <c r="AP84" s="122" t="str">
        <f>IFERROR((COUNTIFS(Database!$F:$I,CONCATENATE($B84,AP$68,"W"))+COUNTIFS(Database!$F:$I,CONCATENATE(AP$68,$B84,"W")))/(COUNTIFS(Database!$F:$I,CONCATENATE($B84,AP$68,"L"))+COUNTIFS(Database!$F:$I,CONCATENATE(AP$68,$B84,"L"))+COUNTIFS(Database!$F:$I,CONCATENATE($B84,AP$68,"W"))+COUNTIFS(Database!$F:$I,CONCATENATE(AP$68,$B84,"W"))),"-")</f>
        <v>-</v>
      </c>
      <c r="AQ84" s="122" t="str">
        <f>IFERROR((COUNTIFS(Database!$F:$I,CONCATENATE($B84,AQ$68,"W"))+COUNTIFS(Database!$F:$I,CONCATENATE(AQ$68,$B84,"W")))/(COUNTIFS(Database!$F:$I,CONCATENATE($B84,AQ$68,"L"))+COUNTIFS(Database!$F:$I,CONCATENATE(AQ$68,$B84,"L"))+COUNTIFS(Database!$F:$I,CONCATENATE($B84,AQ$68,"W"))+COUNTIFS(Database!$F:$I,CONCATENATE(AQ$68,$B84,"W"))),"-")</f>
        <v>-</v>
      </c>
      <c r="AR84" s="122" t="str">
        <f>IFERROR((COUNTIFS(Database!$F:$I,CONCATENATE($B84,AR$68,"W"))+COUNTIFS(Database!$F:$I,CONCATENATE(AR$68,$B84,"W")))/(COUNTIFS(Database!$F:$I,CONCATENATE($B84,AR$68,"L"))+COUNTIFS(Database!$F:$I,CONCATENATE(AR$68,$B84,"L"))+COUNTIFS(Database!$F:$I,CONCATENATE($B84,AR$68,"W"))+COUNTIFS(Database!$F:$I,CONCATENATE(AR$68,$B84,"W"))),"-")</f>
        <v>-</v>
      </c>
      <c r="AS84" s="122" t="str">
        <f>IFERROR((COUNTIFS(Database!$F:$I,CONCATENATE($B84,AS$68,"W"))+COUNTIFS(Database!$F:$I,CONCATENATE(AS$68,$B84,"W")))/(COUNTIFS(Database!$F:$I,CONCATENATE($B84,AS$68,"L"))+COUNTIFS(Database!$F:$I,CONCATENATE(AS$68,$B84,"L"))+COUNTIFS(Database!$F:$I,CONCATENATE($B84,AS$68,"W"))+COUNTIFS(Database!$F:$I,CONCATENATE(AS$68,$B84,"W"))),"-")</f>
        <v>-</v>
      </c>
      <c r="AT84" s="122" t="str">
        <f>IFERROR((COUNTIFS(Database!$F:$I,CONCATENATE($B84,AT$68,"W"))+COUNTIFS(Database!$F:$I,CONCATENATE(AT$68,$B84,"W")))/(COUNTIFS(Database!$F:$I,CONCATENATE($B84,AT$68,"L"))+COUNTIFS(Database!$F:$I,CONCATENATE(AT$68,$B84,"L"))+COUNTIFS(Database!$F:$I,CONCATENATE($B84,AT$68,"W"))+COUNTIFS(Database!$F:$I,CONCATENATE(AT$68,$B84,"W"))),"-")</f>
        <v>-</v>
      </c>
      <c r="AU84" s="122" t="str">
        <f>IFERROR((COUNTIFS(Database!$F:$I,CONCATENATE($B84,AU$68,"W"))+COUNTIFS(Database!$F:$I,CONCATENATE(AU$68,$B84,"W")))/(COUNTIFS(Database!$F:$I,CONCATENATE($B84,AU$68,"L"))+COUNTIFS(Database!$F:$I,CONCATENATE(AU$68,$B84,"L"))+COUNTIFS(Database!$F:$I,CONCATENATE($B84,AU$68,"W"))+COUNTIFS(Database!$F:$I,CONCATENATE(AU$68,$B84,"W"))),"-")</f>
        <v>-</v>
      </c>
      <c r="AV84" s="122" t="str">
        <f>IFERROR((COUNTIFS(Database!$F:$I,CONCATENATE($B84,AV$68,"W"))+COUNTIFS(Database!$F:$I,CONCATENATE(AV$68,$B84,"W")))/(COUNTIFS(Database!$F:$I,CONCATENATE($B84,AV$68,"L"))+COUNTIFS(Database!$F:$I,CONCATENATE(AV$68,$B84,"L"))+COUNTIFS(Database!$F:$I,CONCATENATE($B84,AV$68,"W"))+COUNTIFS(Database!$F:$I,CONCATENATE(AV$68,$B84,"W"))),"-")</f>
        <v>-</v>
      </c>
      <c r="AW84" s="122">
        <f>IFERROR((COUNTIFS(Database!$F:$I,CONCATENATE($B84,AW$68,"W"))+COUNTIFS(Database!$F:$I,CONCATENATE(AW$68,$B84,"W")))/(COUNTIFS(Database!$F:$I,CONCATENATE($B84,AW$68,"L"))+COUNTIFS(Database!$F:$I,CONCATENATE(AW$68,$B84,"L"))+COUNTIFS(Database!$F:$I,CONCATENATE($B84,AW$68,"W"))+COUNTIFS(Database!$F:$I,CONCATENATE(AW$68,$B84,"W"))),"-")</f>
        <v>1</v>
      </c>
      <c r="AX84" s="122" t="str">
        <f>IFERROR((COUNTIFS(Database!$F:$I,CONCATENATE($B84,AX$68,"W"))+COUNTIFS(Database!$F:$I,CONCATENATE(AX$68,$B84,"W")))/(COUNTIFS(Database!$F:$I,CONCATENATE($B84,AX$68,"L"))+COUNTIFS(Database!$F:$I,CONCATENATE(AX$68,$B84,"L"))+COUNTIFS(Database!$F:$I,CONCATENATE($B84,AX$68,"W"))+COUNTIFS(Database!$F:$I,CONCATENATE(AX$68,$B84,"W"))),"-")</f>
        <v>-</v>
      </c>
      <c r="AY84" s="122" t="str">
        <f>IFERROR((COUNTIFS(Database!$F:$I,CONCATENATE($B84,AY$68,"W"))+COUNTIFS(Database!$F:$I,CONCATENATE(AY$68,$B84,"W")))/(COUNTIFS(Database!$F:$I,CONCATENATE($B84,AY$68,"L"))+COUNTIFS(Database!$F:$I,CONCATENATE(AY$68,$B84,"L"))+COUNTIFS(Database!$F:$I,CONCATENATE($B84,AY$68,"W"))+COUNTIFS(Database!$F:$I,CONCATENATE(AY$68,$B84,"W"))),"-")</f>
        <v>-</v>
      </c>
    </row>
    <row r="85" spans="2:51" x14ac:dyDescent="0.25">
      <c r="B85" s="120" t="s">
        <v>59</v>
      </c>
      <c r="C85" s="122">
        <f>IFERROR((COUNTIFS(Database!$F:$I,CONCATENATE($B85,C$68,"W"))+COUNTIFS(Database!$F:$I,CONCATENATE(C$68,$B85,"W")))/(COUNTIFS(Database!$F:$I,CONCATENATE($B85,C$68,"L"))+COUNTIFS(Database!$F:$I,CONCATENATE(C$68,$B85,"L"))+COUNTIFS(Database!$F:$I,CONCATENATE($B85,C$68,"W"))+COUNTIFS(Database!$F:$I,CONCATENATE(C$68,$B85,"W"))),"-")</f>
        <v>0.4</v>
      </c>
      <c r="D85" s="122" t="str">
        <f>IFERROR((COUNTIFS(Database!$F:$I,CONCATENATE($B85,D$68,"W"))+COUNTIFS(Database!$F:$I,CONCATENATE(D$68,$B85,"W")))/(COUNTIFS(Database!$F:$I,CONCATENATE($B85,D$68,"L"))+COUNTIFS(Database!$F:$I,CONCATENATE(D$68,$B85,"L"))+COUNTIFS(Database!$F:$I,CONCATENATE($B85,D$68,"W"))+COUNTIFS(Database!$F:$I,CONCATENATE(D$68,$B85,"W"))),"-")</f>
        <v>-</v>
      </c>
      <c r="E85" s="122">
        <f>IFERROR((COUNTIFS(Database!$F:$I,CONCATENATE($B85,E$68,"W"))+COUNTIFS(Database!$F:$I,CONCATENATE(E$68,$B85,"W")))/(COUNTIFS(Database!$F:$I,CONCATENATE($B85,E$68,"L"))+COUNTIFS(Database!$F:$I,CONCATENATE(E$68,$B85,"L"))+COUNTIFS(Database!$F:$I,CONCATENATE($B85,E$68,"W"))+COUNTIFS(Database!$F:$I,CONCATENATE(E$68,$B85,"W"))),"-")</f>
        <v>0.5</v>
      </c>
      <c r="F85" s="122">
        <f>IFERROR((COUNTIFS(Database!$F:$I,CONCATENATE($B85,F$68,"W"))+COUNTIFS(Database!$F:$I,CONCATENATE(F$68,$B85,"W")))/(COUNTIFS(Database!$F:$I,CONCATENATE($B85,F$68,"L"))+COUNTIFS(Database!$F:$I,CONCATENATE(F$68,$B85,"L"))+COUNTIFS(Database!$F:$I,CONCATENATE($B85,F$68,"W"))+COUNTIFS(Database!$F:$I,CONCATENATE(F$68,$B85,"W"))),"-")</f>
        <v>0.5</v>
      </c>
      <c r="G85" s="122" t="str">
        <f>IFERROR((COUNTIFS(Database!$F:$I,CONCATENATE($B85,G$68,"W"))+COUNTIFS(Database!$F:$I,CONCATENATE(G$68,$B85,"W")))/(COUNTIFS(Database!$F:$I,CONCATENATE($B85,G$68,"L"))+COUNTIFS(Database!$F:$I,CONCATENATE(G$68,$B85,"L"))+COUNTIFS(Database!$F:$I,CONCATENATE($B85,G$68,"W"))+COUNTIFS(Database!$F:$I,CONCATENATE(G$68,$B85,"W"))),"-")</f>
        <v>-</v>
      </c>
      <c r="H85" s="122" t="str">
        <f>IFERROR((COUNTIFS(Database!$F:$I,CONCATENATE($B85,H$68,"W"))+COUNTIFS(Database!$F:$I,CONCATENATE(H$68,$B85,"W")))/(COUNTIFS(Database!$F:$I,CONCATENATE($B85,H$68,"L"))+COUNTIFS(Database!$F:$I,CONCATENATE(H$68,$B85,"L"))+COUNTIFS(Database!$F:$I,CONCATENATE($B85,H$68,"W"))+COUNTIFS(Database!$F:$I,CONCATENATE(H$68,$B85,"W"))),"-")</f>
        <v>-</v>
      </c>
      <c r="I85" s="122" t="str">
        <f>IFERROR((COUNTIFS(Database!$F:$I,CONCATENATE($B85,I$68,"W"))+COUNTIFS(Database!$F:$I,CONCATENATE(I$68,$B85,"W")))/(COUNTIFS(Database!$F:$I,CONCATENATE($B85,I$68,"L"))+COUNTIFS(Database!$F:$I,CONCATENATE(I$68,$B85,"L"))+COUNTIFS(Database!$F:$I,CONCATENATE($B85,I$68,"W"))+COUNTIFS(Database!$F:$I,CONCATENATE(I$68,$B85,"W"))),"-")</f>
        <v>-</v>
      </c>
      <c r="J85" s="122">
        <f>IFERROR((COUNTIFS(Database!$F:$I,CONCATENATE($B85,J$68,"W"))+COUNTIFS(Database!$F:$I,CONCATENATE(J$68,$B85,"W")))/(COUNTIFS(Database!$F:$I,CONCATENATE($B85,J$68,"L"))+COUNTIFS(Database!$F:$I,CONCATENATE(J$68,$B85,"L"))+COUNTIFS(Database!$F:$I,CONCATENATE($B85,J$68,"W"))+COUNTIFS(Database!$F:$I,CONCATENATE(J$68,$B85,"W"))),"-")</f>
        <v>0.5</v>
      </c>
      <c r="K85" s="122">
        <f>IFERROR((COUNTIFS(Database!$F:$I,CONCATENATE($B85,K$68,"W"))+COUNTIFS(Database!$F:$I,CONCATENATE(K$68,$B85,"W")))/(COUNTIFS(Database!$F:$I,CONCATENATE($B85,K$68,"L"))+COUNTIFS(Database!$F:$I,CONCATENATE(K$68,$B85,"L"))+COUNTIFS(Database!$F:$I,CONCATENATE($B85,K$68,"W"))+COUNTIFS(Database!$F:$I,CONCATENATE(K$68,$B85,"W"))),"-")</f>
        <v>0</v>
      </c>
      <c r="L85" s="122">
        <f>IFERROR((COUNTIFS(Database!$F:$I,CONCATENATE($B85,L$68,"W"))+COUNTIFS(Database!$F:$I,CONCATENATE(L$68,$B85,"W")))/(COUNTIFS(Database!$F:$I,CONCATENATE($B85,L$68,"L"))+COUNTIFS(Database!$F:$I,CONCATENATE(L$68,$B85,"L"))+COUNTIFS(Database!$F:$I,CONCATENATE($B85,L$68,"W"))+COUNTIFS(Database!$F:$I,CONCATENATE(L$68,$B85,"W"))),"-")</f>
        <v>0</v>
      </c>
      <c r="M85" s="122" t="str">
        <f>IFERROR((COUNTIFS(Database!$F:$I,CONCATENATE($B85,M$68,"W"))+COUNTIFS(Database!$F:$I,CONCATENATE(M$68,$B85,"W")))/(COUNTIFS(Database!$F:$I,CONCATENATE($B85,M$68,"L"))+COUNTIFS(Database!$F:$I,CONCATENATE(M$68,$B85,"L"))+COUNTIFS(Database!$F:$I,CONCATENATE($B85,M$68,"W"))+COUNTIFS(Database!$F:$I,CONCATENATE(M$68,$B85,"W"))),"-")</f>
        <v>-</v>
      </c>
      <c r="N85" s="122" t="str">
        <f>IFERROR((COUNTIFS(Database!$F:$I,CONCATENATE($B85,N$68,"W"))+COUNTIFS(Database!$F:$I,CONCATENATE(N$68,$B85,"W")))/(COUNTIFS(Database!$F:$I,CONCATENATE($B85,N$68,"L"))+COUNTIFS(Database!$F:$I,CONCATENATE(N$68,$B85,"L"))+COUNTIFS(Database!$F:$I,CONCATENATE($B85,N$68,"W"))+COUNTIFS(Database!$F:$I,CONCATENATE(N$68,$B85,"W"))),"-")</f>
        <v>-</v>
      </c>
      <c r="O85" s="122">
        <f>IFERROR((COUNTIFS(Database!$F:$I,CONCATENATE($B85,O$68,"W"))+COUNTIFS(Database!$F:$I,CONCATENATE(O$68,$B85,"W")))/(COUNTIFS(Database!$F:$I,CONCATENATE($B85,O$68,"L"))+COUNTIFS(Database!$F:$I,CONCATENATE(O$68,$B85,"L"))+COUNTIFS(Database!$F:$I,CONCATENATE($B85,O$68,"W"))+COUNTIFS(Database!$F:$I,CONCATENATE(O$68,$B85,"W"))),"-")</f>
        <v>0</v>
      </c>
      <c r="P85" s="122" t="str">
        <f>IFERROR((COUNTIFS(Database!$F:$I,CONCATENATE($B85,P$68,"W"))+COUNTIFS(Database!$F:$I,CONCATENATE(P$68,$B85,"W")))/(COUNTIFS(Database!$F:$I,CONCATENATE($B85,P$68,"L"))+COUNTIFS(Database!$F:$I,CONCATENATE(P$68,$B85,"L"))+COUNTIFS(Database!$F:$I,CONCATENATE($B85,P$68,"W"))+COUNTIFS(Database!$F:$I,CONCATENATE(P$68,$B85,"W"))),"-")</f>
        <v>-</v>
      </c>
      <c r="Q85" s="122" t="str">
        <f>IFERROR((COUNTIFS(Database!$F:$I,CONCATENATE($B85,Q$68,"W"))+COUNTIFS(Database!$F:$I,CONCATENATE(Q$68,$B85,"W")))/(COUNTIFS(Database!$F:$I,CONCATENATE($B85,Q$68,"L"))+COUNTIFS(Database!$F:$I,CONCATENATE(Q$68,$B85,"L"))+COUNTIFS(Database!$F:$I,CONCATENATE($B85,Q$68,"W"))+COUNTIFS(Database!$F:$I,CONCATENATE(Q$68,$B85,"W"))),"-")</f>
        <v>-</v>
      </c>
      <c r="R85" s="122" t="str">
        <f>IFERROR((COUNTIFS(Database!$F:$I,CONCATENATE($B85,R$68,"W"))+COUNTIFS(Database!$F:$I,CONCATENATE(R$68,$B85,"W")))/(COUNTIFS(Database!$F:$I,CONCATENATE($B85,R$68,"L"))+COUNTIFS(Database!$F:$I,CONCATENATE(R$68,$B85,"L"))+COUNTIFS(Database!$F:$I,CONCATENATE($B85,R$68,"W"))+COUNTIFS(Database!$F:$I,CONCATENATE(R$68,$B85,"W"))),"-")</f>
        <v>-</v>
      </c>
      <c r="S85" s="122" t="str">
        <f>IFERROR((COUNTIFS(Database!$F:$I,CONCATENATE($B85,S$68,"W"))+COUNTIFS(Database!$F:$I,CONCATENATE(S$68,$B85,"W")))/(COUNTIFS(Database!$F:$I,CONCATENATE($B85,S$68,"L"))+COUNTIFS(Database!$F:$I,CONCATENATE(S$68,$B85,"L"))+COUNTIFS(Database!$F:$I,CONCATENATE($B85,S$68,"W"))+COUNTIFS(Database!$F:$I,CONCATENATE(S$68,$B85,"W"))),"-")</f>
        <v>-</v>
      </c>
      <c r="T85" s="122" t="str">
        <f>IFERROR((COUNTIFS(Database!$F:$I,CONCATENATE($B85,T$68,"W"))+COUNTIFS(Database!$F:$I,CONCATENATE(T$68,$B85,"W")))/(COUNTIFS(Database!$F:$I,CONCATENATE($B85,T$68,"L"))+COUNTIFS(Database!$F:$I,CONCATENATE(T$68,$B85,"L"))+COUNTIFS(Database!$F:$I,CONCATENATE($B85,T$68,"W"))+COUNTIFS(Database!$F:$I,CONCATENATE(T$68,$B85,"W"))),"-")</f>
        <v>-</v>
      </c>
      <c r="U85" s="122" t="str">
        <f>IFERROR((COUNTIFS(Database!$F:$I,CONCATENATE($B85,U$68,"W"))+COUNTIFS(Database!$F:$I,CONCATENATE(U$68,$B85,"W")))/(COUNTIFS(Database!$F:$I,CONCATENATE($B85,U$68,"L"))+COUNTIFS(Database!$F:$I,CONCATENATE(U$68,$B85,"L"))+COUNTIFS(Database!$F:$I,CONCATENATE($B85,U$68,"W"))+COUNTIFS(Database!$F:$I,CONCATENATE(U$68,$B85,"W"))),"-")</f>
        <v>-</v>
      </c>
      <c r="V85" s="122">
        <f>IFERROR((COUNTIFS(Database!$F:$I,CONCATENATE($B85,V$68,"W"))+COUNTIFS(Database!$F:$I,CONCATENATE(V$68,$B85,"W")))/(COUNTIFS(Database!$F:$I,CONCATENATE($B85,V$68,"L"))+COUNTIFS(Database!$F:$I,CONCATENATE(V$68,$B85,"L"))+COUNTIFS(Database!$F:$I,CONCATENATE($B85,V$68,"W"))+COUNTIFS(Database!$F:$I,CONCATENATE(V$68,$B85,"W"))),"-")</f>
        <v>0</v>
      </c>
      <c r="W85" s="122">
        <f>IFERROR((COUNTIFS(Database!$F:$I,CONCATENATE($B85,W$68,"W"))+COUNTIFS(Database!$F:$I,CONCATENATE(W$68,$B85,"W")))/(COUNTIFS(Database!$F:$I,CONCATENATE($B85,W$68,"L"))+COUNTIFS(Database!$F:$I,CONCATENATE(W$68,$B85,"L"))+COUNTIFS(Database!$F:$I,CONCATENATE($B85,W$68,"W"))+COUNTIFS(Database!$F:$I,CONCATENATE(W$68,$B85,"W"))),"-")</f>
        <v>0</v>
      </c>
      <c r="X85" s="122">
        <f>IFERROR((COUNTIFS(Database!$F:$I,CONCATENATE($B85,X$68,"W"))+COUNTIFS(Database!$F:$I,CONCATENATE(X$68,$B85,"W")))/(COUNTIFS(Database!$F:$I,CONCATENATE($B85,X$68,"L"))+COUNTIFS(Database!$F:$I,CONCATENATE(X$68,$B85,"L"))+COUNTIFS(Database!$F:$I,CONCATENATE($B85,X$68,"W"))+COUNTIFS(Database!$F:$I,CONCATENATE(X$68,$B85,"W"))),"-")</f>
        <v>0</v>
      </c>
      <c r="Y85" s="122" t="str">
        <f>IFERROR((COUNTIFS(Database!$F:$I,CONCATENATE($B85,Y$68,"W"))+COUNTIFS(Database!$F:$I,CONCATENATE(Y$68,$B85,"W")))/(COUNTIFS(Database!$F:$I,CONCATENATE($B85,Y$68,"L"))+COUNTIFS(Database!$F:$I,CONCATENATE(Y$68,$B85,"L"))+COUNTIFS(Database!$F:$I,CONCATENATE($B85,Y$68,"W"))+COUNTIFS(Database!$F:$I,CONCATENATE(Y$68,$B85,"W"))),"-")</f>
        <v>-</v>
      </c>
      <c r="Z85" s="122" t="str">
        <f>IFERROR((COUNTIFS(Database!$F:$I,CONCATENATE($B85,Z$68,"W"))+COUNTIFS(Database!$F:$I,CONCATENATE(Z$68,$B85,"W")))/(COUNTIFS(Database!$F:$I,CONCATENATE($B85,Z$68,"L"))+COUNTIFS(Database!$F:$I,CONCATENATE(Z$68,$B85,"L"))+COUNTIFS(Database!$F:$I,CONCATENATE($B85,Z$68,"W"))+COUNTIFS(Database!$F:$I,CONCATENATE(Z$68,$B85,"W"))),"-")</f>
        <v>-</v>
      </c>
      <c r="AA85" s="122">
        <f>IFERROR((COUNTIFS(Database!$F:$I,CONCATENATE($B85,AA$68,"W"))+COUNTIFS(Database!$F:$I,CONCATENATE(AA$68,$B85,"W")))/(COUNTIFS(Database!$F:$I,CONCATENATE($B85,AA$68,"L"))+COUNTIFS(Database!$F:$I,CONCATENATE(AA$68,$B85,"L"))+COUNTIFS(Database!$F:$I,CONCATENATE($B85,AA$68,"W"))+COUNTIFS(Database!$F:$I,CONCATENATE(AA$68,$B85,"W"))),"-")</f>
        <v>1</v>
      </c>
      <c r="AB85" s="122">
        <f>IFERROR((COUNTIFS(Database!$F:$I,CONCATENATE($B85,AB$68,"W"))+COUNTIFS(Database!$F:$I,CONCATENATE(AB$68,$B85,"W")))/(COUNTIFS(Database!$F:$I,CONCATENATE($B85,AB$68,"L"))+COUNTIFS(Database!$F:$I,CONCATENATE(AB$68,$B85,"L"))+COUNTIFS(Database!$F:$I,CONCATENATE($B85,AB$68,"W"))+COUNTIFS(Database!$F:$I,CONCATENATE(AB$68,$B85,"W"))),"-")</f>
        <v>0.5</v>
      </c>
      <c r="AC85" s="122">
        <f>IFERROR((COUNTIFS(Database!$F:$I,CONCATENATE($B85,AC$68,"W"))+COUNTIFS(Database!$F:$I,CONCATENATE(AC$68,$B85,"W")))/(COUNTIFS(Database!$F:$I,CONCATENATE($B85,AC$68,"L"))+COUNTIFS(Database!$F:$I,CONCATENATE(AC$68,$B85,"L"))+COUNTIFS(Database!$F:$I,CONCATENATE($B85,AC$68,"W"))+COUNTIFS(Database!$F:$I,CONCATENATE(AC$68,$B85,"W"))),"-")</f>
        <v>0</v>
      </c>
      <c r="AD85" s="122" t="str">
        <f>IFERROR((COUNTIFS(Database!$F:$I,CONCATENATE($B85,AD$68,"W"))+COUNTIFS(Database!$F:$I,CONCATENATE(AD$68,$B85,"W")))/(COUNTIFS(Database!$F:$I,CONCATENATE($B85,AD$68,"L"))+COUNTIFS(Database!$F:$I,CONCATENATE(AD$68,$B85,"L"))+COUNTIFS(Database!$F:$I,CONCATENATE($B85,AD$68,"W"))+COUNTIFS(Database!$F:$I,CONCATENATE(AD$68,$B85,"W"))),"-")</f>
        <v>-</v>
      </c>
      <c r="AE85" s="122" t="str">
        <f>IFERROR((COUNTIFS(Database!$F:$I,CONCATENATE($B85,AE$68,"W"))+COUNTIFS(Database!$F:$I,CONCATENATE(AE$68,$B85,"W")))/(COUNTIFS(Database!$F:$I,CONCATENATE($B85,AE$68,"L"))+COUNTIFS(Database!$F:$I,CONCATENATE(AE$68,$B85,"L"))+COUNTIFS(Database!$F:$I,CONCATENATE($B85,AE$68,"W"))+COUNTIFS(Database!$F:$I,CONCATENATE(AE$68,$B85,"W"))),"-")</f>
        <v>-</v>
      </c>
      <c r="AF85" s="122">
        <f>IFERROR((COUNTIFS(Database!$F:$I,CONCATENATE($B85,AF$68,"W"))+COUNTIFS(Database!$F:$I,CONCATENATE(AF$68,$B85,"W")))/(COUNTIFS(Database!$F:$I,CONCATENATE($B85,AF$68,"L"))+COUNTIFS(Database!$F:$I,CONCATENATE(AF$68,$B85,"L"))+COUNTIFS(Database!$F:$I,CONCATENATE($B85,AF$68,"W"))+COUNTIFS(Database!$F:$I,CONCATENATE(AF$68,$B85,"W"))),"-")</f>
        <v>0</v>
      </c>
      <c r="AG85" s="122" t="str">
        <f>IFERROR((COUNTIFS(Database!$F:$I,CONCATENATE($B85,AG$68,"W"))+COUNTIFS(Database!$F:$I,CONCATENATE(AG$68,$B85,"W")))/(COUNTIFS(Database!$F:$I,CONCATENATE($B85,AG$68,"L"))+COUNTIFS(Database!$F:$I,CONCATENATE(AG$68,$B85,"L"))+COUNTIFS(Database!$F:$I,CONCATENATE($B85,AG$68,"W"))+COUNTIFS(Database!$F:$I,CONCATENATE(AG$68,$B85,"W"))),"-")</f>
        <v>-</v>
      </c>
      <c r="AH85" s="122" t="str">
        <f>IFERROR((COUNTIFS(Database!$F:$I,CONCATENATE($B85,AH$68,"W"))+COUNTIFS(Database!$F:$I,CONCATENATE(AH$68,$B85,"W")))/(COUNTIFS(Database!$F:$I,CONCATENATE($B85,AH$68,"L"))+COUNTIFS(Database!$F:$I,CONCATENATE(AH$68,$B85,"L"))+COUNTIFS(Database!$F:$I,CONCATENATE($B85,AH$68,"W"))+COUNTIFS(Database!$F:$I,CONCATENATE(AH$68,$B85,"W"))),"-")</f>
        <v>-</v>
      </c>
      <c r="AI85" s="122">
        <f>IFERROR((COUNTIFS(Database!$F:$I,CONCATENATE($B85,AI$68,"W"))+COUNTIFS(Database!$F:$I,CONCATENATE(AI$68,$B85,"W")))/(COUNTIFS(Database!$F:$I,CONCATENATE($B85,AI$68,"L"))+COUNTIFS(Database!$F:$I,CONCATENATE(AI$68,$B85,"L"))+COUNTIFS(Database!$F:$I,CONCATENATE($B85,AI$68,"W"))+COUNTIFS(Database!$F:$I,CONCATENATE(AI$68,$B85,"W"))),"-")</f>
        <v>0</v>
      </c>
      <c r="AJ85" s="122">
        <f>IFERROR((COUNTIFS(Database!$F:$I,CONCATENATE($B85,AJ$68,"W"))+COUNTIFS(Database!$F:$I,CONCATENATE(AJ$68,$B85,"W")))/(COUNTIFS(Database!$F:$I,CONCATENATE($B85,AJ$68,"L"))+COUNTIFS(Database!$F:$I,CONCATENATE(AJ$68,$B85,"L"))+COUNTIFS(Database!$F:$I,CONCATENATE($B85,AJ$68,"W"))+COUNTIFS(Database!$F:$I,CONCATENATE(AJ$68,$B85,"W"))),"-")</f>
        <v>0</v>
      </c>
      <c r="AK85" s="122">
        <f>IFERROR((COUNTIFS(Database!$F:$I,CONCATENATE($B85,AK$68,"W"))+COUNTIFS(Database!$F:$I,CONCATENATE(AK$68,$B85,"W")))/(COUNTIFS(Database!$F:$I,CONCATENATE($B85,AK$68,"L"))+COUNTIFS(Database!$F:$I,CONCATENATE(AK$68,$B85,"L"))+COUNTIFS(Database!$F:$I,CONCATENATE($B85,AK$68,"W"))+COUNTIFS(Database!$F:$I,CONCATENATE(AK$68,$B85,"W"))),"-")</f>
        <v>0.33333333333333331</v>
      </c>
      <c r="AL85" s="122" t="str">
        <f>IFERROR((COUNTIFS(Database!$F:$I,CONCATENATE($B85,AL$68,"W"))+COUNTIFS(Database!$F:$I,CONCATENATE(AL$68,$B85,"W")))/(COUNTIFS(Database!$F:$I,CONCATENATE($B85,AL$68,"L"))+COUNTIFS(Database!$F:$I,CONCATENATE(AL$68,$B85,"L"))+COUNTIFS(Database!$F:$I,CONCATENATE($B85,AL$68,"W"))+COUNTIFS(Database!$F:$I,CONCATENATE(AL$68,$B85,"W"))),"-")</f>
        <v>-</v>
      </c>
      <c r="AM85" s="122" t="str">
        <f>IFERROR((COUNTIFS(Database!$F:$I,CONCATENATE($B85,AM$68,"W"))+COUNTIFS(Database!$F:$I,CONCATENATE(AM$68,$B85,"W")))/(COUNTIFS(Database!$F:$I,CONCATENATE($B85,AM$68,"L"))+COUNTIFS(Database!$F:$I,CONCATENATE(AM$68,$B85,"L"))+COUNTIFS(Database!$F:$I,CONCATENATE($B85,AM$68,"W"))+COUNTIFS(Database!$F:$I,CONCATENATE(AM$68,$B85,"W"))),"-")</f>
        <v>-</v>
      </c>
      <c r="AN85" s="122">
        <f>IFERROR((COUNTIFS(Database!$F:$I,CONCATENATE($B85,AN$68,"W"))+COUNTIFS(Database!$F:$I,CONCATENATE(AN$68,$B85,"W")))/(COUNTIFS(Database!$F:$I,CONCATENATE($B85,AN$68,"L"))+COUNTIFS(Database!$F:$I,CONCATENATE(AN$68,$B85,"L"))+COUNTIFS(Database!$F:$I,CONCATENATE($B85,AN$68,"W"))+COUNTIFS(Database!$F:$I,CONCATENATE(AN$68,$B85,"W"))),"-")</f>
        <v>0</v>
      </c>
      <c r="AO85" s="122">
        <f>IFERROR((COUNTIFS(Database!$F:$I,CONCATENATE($B85,AO$68,"W"))+COUNTIFS(Database!$F:$I,CONCATENATE(AO$68,$B85,"W")))/(COUNTIFS(Database!$F:$I,CONCATENATE($B85,AO$68,"L"))+COUNTIFS(Database!$F:$I,CONCATENATE(AO$68,$B85,"L"))+COUNTIFS(Database!$F:$I,CONCATENATE($B85,AO$68,"W"))+COUNTIFS(Database!$F:$I,CONCATENATE(AO$68,$B85,"W"))),"-")</f>
        <v>0.33333333333333331</v>
      </c>
      <c r="AP85" s="122" t="str">
        <f>IFERROR((COUNTIFS(Database!$F:$I,CONCATENATE($B85,AP$68,"W"))+COUNTIFS(Database!$F:$I,CONCATENATE(AP$68,$B85,"W")))/(COUNTIFS(Database!$F:$I,CONCATENATE($B85,AP$68,"L"))+COUNTIFS(Database!$F:$I,CONCATENATE(AP$68,$B85,"L"))+COUNTIFS(Database!$F:$I,CONCATENATE($B85,AP$68,"W"))+COUNTIFS(Database!$F:$I,CONCATENATE(AP$68,$B85,"W"))),"-")</f>
        <v>-</v>
      </c>
      <c r="AQ85" s="122" t="str">
        <f>IFERROR((COUNTIFS(Database!$F:$I,CONCATENATE($B85,AQ$68,"W"))+COUNTIFS(Database!$F:$I,CONCATENATE(AQ$68,$B85,"W")))/(COUNTIFS(Database!$F:$I,CONCATENATE($B85,AQ$68,"L"))+COUNTIFS(Database!$F:$I,CONCATENATE(AQ$68,$B85,"L"))+COUNTIFS(Database!$F:$I,CONCATENATE($B85,AQ$68,"W"))+COUNTIFS(Database!$F:$I,CONCATENATE(AQ$68,$B85,"W"))),"-")</f>
        <v>-</v>
      </c>
      <c r="AR85" s="122">
        <f>IFERROR((COUNTIFS(Database!$F:$I,CONCATENATE($B85,AR$68,"W"))+COUNTIFS(Database!$F:$I,CONCATENATE(AR$68,$B85,"W")))/(COUNTIFS(Database!$F:$I,CONCATENATE($B85,AR$68,"L"))+COUNTIFS(Database!$F:$I,CONCATENATE(AR$68,$B85,"L"))+COUNTIFS(Database!$F:$I,CONCATENATE($B85,AR$68,"W"))+COUNTIFS(Database!$F:$I,CONCATENATE(AR$68,$B85,"W"))),"-")</f>
        <v>1</v>
      </c>
      <c r="AS85" s="122" t="str">
        <f>IFERROR((COUNTIFS(Database!$F:$I,CONCATENATE($B85,AS$68,"W"))+COUNTIFS(Database!$F:$I,CONCATENATE(AS$68,$B85,"W")))/(COUNTIFS(Database!$F:$I,CONCATENATE($B85,AS$68,"L"))+COUNTIFS(Database!$F:$I,CONCATENATE(AS$68,$B85,"L"))+COUNTIFS(Database!$F:$I,CONCATENATE($B85,AS$68,"W"))+COUNTIFS(Database!$F:$I,CONCATENATE(AS$68,$B85,"W"))),"-")</f>
        <v>-</v>
      </c>
      <c r="AT85" s="122" t="str">
        <f>IFERROR((COUNTIFS(Database!$F:$I,CONCATENATE($B85,AT$68,"W"))+COUNTIFS(Database!$F:$I,CONCATENATE(AT$68,$B85,"W")))/(COUNTIFS(Database!$F:$I,CONCATENATE($B85,AT$68,"L"))+COUNTIFS(Database!$F:$I,CONCATENATE(AT$68,$B85,"L"))+COUNTIFS(Database!$F:$I,CONCATENATE($B85,AT$68,"W"))+COUNTIFS(Database!$F:$I,CONCATENATE(AT$68,$B85,"W"))),"-")</f>
        <v>-</v>
      </c>
      <c r="AU85" s="122">
        <f>IFERROR((COUNTIFS(Database!$F:$I,CONCATENATE($B85,AU$68,"W"))+COUNTIFS(Database!$F:$I,CONCATENATE(AU$68,$B85,"W")))/(COUNTIFS(Database!$F:$I,CONCATENATE($B85,AU$68,"L"))+COUNTIFS(Database!$F:$I,CONCATENATE(AU$68,$B85,"L"))+COUNTIFS(Database!$F:$I,CONCATENATE($B85,AU$68,"W"))+COUNTIFS(Database!$F:$I,CONCATENATE(AU$68,$B85,"W"))),"-")</f>
        <v>1</v>
      </c>
      <c r="AV85" s="122" t="str">
        <f>IFERROR((COUNTIFS(Database!$F:$I,CONCATENATE($B85,AV$68,"W"))+COUNTIFS(Database!$F:$I,CONCATENATE(AV$68,$B85,"W")))/(COUNTIFS(Database!$F:$I,CONCATENATE($B85,AV$68,"L"))+COUNTIFS(Database!$F:$I,CONCATENATE(AV$68,$B85,"L"))+COUNTIFS(Database!$F:$I,CONCATENATE($B85,AV$68,"W"))+COUNTIFS(Database!$F:$I,CONCATENATE(AV$68,$B85,"W"))),"-")</f>
        <v>-</v>
      </c>
      <c r="AW85" s="122" t="str">
        <f>IFERROR((COUNTIFS(Database!$F:$I,CONCATENATE($B85,AW$68,"W"))+COUNTIFS(Database!$F:$I,CONCATENATE(AW$68,$B85,"W")))/(COUNTIFS(Database!$F:$I,CONCATENATE($B85,AW$68,"L"))+COUNTIFS(Database!$F:$I,CONCATENATE(AW$68,$B85,"L"))+COUNTIFS(Database!$F:$I,CONCATENATE($B85,AW$68,"W"))+COUNTIFS(Database!$F:$I,CONCATENATE(AW$68,$B85,"W"))),"-")</f>
        <v>-</v>
      </c>
      <c r="AX85" s="122" t="str">
        <f>IFERROR((COUNTIFS(Database!$F:$I,CONCATENATE($B85,AX$68,"W"))+COUNTIFS(Database!$F:$I,CONCATENATE(AX$68,$B85,"W")))/(COUNTIFS(Database!$F:$I,CONCATENATE($B85,AX$68,"L"))+COUNTIFS(Database!$F:$I,CONCATENATE(AX$68,$B85,"L"))+COUNTIFS(Database!$F:$I,CONCATENATE($B85,AX$68,"W"))+COUNTIFS(Database!$F:$I,CONCATENATE(AX$68,$B85,"W"))),"-")</f>
        <v>-</v>
      </c>
      <c r="AY85" s="122">
        <f>IFERROR((COUNTIFS(Database!$F:$I,CONCATENATE($B85,AY$68,"W"))+COUNTIFS(Database!$F:$I,CONCATENATE(AY$68,$B85,"W")))/(COUNTIFS(Database!$F:$I,CONCATENATE($B85,AY$68,"L"))+COUNTIFS(Database!$F:$I,CONCATENATE(AY$68,$B85,"L"))+COUNTIFS(Database!$F:$I,CONCATENATE($B85,AY$68,"W"))+COUNTIFS(Database!$F:$I,CONCATENATE(AY$68,$B85,"W"))),"-")</f>
        <v>1</v>
      </c>
    </row>
    <row r="86" spans="2:51" x14ac:dyDescent="0.25">
      <c r="B86" s="120" t="s">
        <v>33</v>
      </c>
      <c r="C86" s="122">
        <f>IFERROR((COUNTIFS(Database!$F:$I,CONCATENATE($B86,C$68,"W"))+COUNTIFS(Database!$F:$I,CONCATENATE(C$68,$B86,"W")))/(COUNTIFS(Database!$F:$I,CONCATENATE($B86,C$68,"L"))+COUNTIFS(Database!$F:$I,CONCATENATE(C$68,$B86,"L"))+COUNTIFS(Database!$F:$I,CONCATENATE($B86,C$68,"W"))+COUNTIFS(Database!$F:$I,CONCATENATE(C$68,$B86,"W"))),"-")</f>
        <v>0</v>
      </c>
      <c r="D86" s="122" t="str">
        <f>IFERROR((COUNTIFS(Database!$F:$I,CONCATENATE($B86,D$68,"W"))+COUNTIFS(Database!$F:$I,CONCATENATE(D$68,$B86,"W")))/(COUNTIFS(Database!$F:$I,CONCATENATE($B86,D$68,"L"))+COUNTIFS(Database!$F:$I,CONCATENATE(D$68,$B86,"L"))+COUNTIFS(Database!$F:$I,CONCATENATE($B86,D$68,"W"))+COUNTIFS(Database!$F:$I,CONCATENATE(D$68,$B86,"W"))),"-")</f>
        <v>-</v>
      </c>
      <c r="E86" s="122">
        <f>IFERROR((COUNTIFS(Database!$F:$I,CONCATENATE($B86,E$68,"W"))+COUNTIFS(Database!$F:$I,CONCATENATE(E$68,$B86,"W")))/(COUNTIFS(Database!$F:$I,CONCATENATE($B86,E$68,"L"))+COUNTIFS(Database!$F:$I,CONCATENATE(E$68,$B86,"L"))+COUNTIFS(Database!$F:$I,CONCATENATE($B86,E$68,"W"))+COUNTIFS(Database!$F:$I,CONCATENATE(E$68,$B86,"W"))),"-")</f>
        <v>1</v>
      </c>
      <c r="F86" s="122">
        <f>IFERROR((COUNTIFS(Database!$F:$I,CONCATENATE($B86,F$68,"W"))+COUNTIFS(Database!$F:$I,CONCATENATE(F$68,$B86,"W")))/(COUNTIFS(Database!$F:$I,CONCATENATE($B86,F$68,"L"))+COUNTIFS(Database!$F:$I,CONCATENATE(F$68,$B86,"L"))+COUNTIFS(Database!$F:$I,CONCATENATE($B86,F$68,"W"))+COUNTIFS(Database!$F:$I,CONCATENATE(F$68,$B86,"W"))),"-")</f>
        <v>0.2857142857142857</v>
      </c>
      <c r="G86" s="122" t="str">
        <f>IFERROR((COUNTIFS(Database!$F:$I,CONCATENATE($B86,G$68,"W"))+COUNTIFS(Database!$F:$I,CONCATENATE(G$68,$B86,"W")))/(COUNTIFS(Database!$F:$I,CONCATENATE($B86,G$68,"L"))+COUNTIFS(Database!$F:$I,CONCATENATE(G$68,$B86,"L"))+COUNTIFS(Database!$F:$I,CONCATENATE($B86,G$68,"W"))+COUNTIFS(Database!$F:$I,CONCATENATE(G$68,$B86,"W"))),"-")</f>
        <v>-</v>
      </c>
      <c r="H86" s="122" t="str">
        <f>IFERROR((COUNTIFS(Database!$F:$I,CONCATENATE($B86,H$68,"W"))+COUNTIFS(Database!$F:$I,CONCATENATE(H$68,$B86,"W")))/(COUNTIFS(Database!$F:$I,CONCATENATE($B86,H$68,"L"))+COUNTIFS(Database!$F:$I,CONCATENATE(H$68,$B86,"L"))+COUNTIFS(Database!$F:$I,CONCATENATE($B86,H$68,"W"))+COUNTIFS(Database!$F:$I,CONCATENATE(H$68,$B86,"W"))),"-")</f>
        <v>-</v>
      </c>
      <c r="I86" s="122">
        <f>IFERROR((COUNTIFS(Database!$F:$I,CONCATENATE($B86,I$68,"W"))+COUNTIFS(Database!$F:$I,CONCATENATE(I$68,$B86,"W")))/(COUNTIFS(Database!$F:$I,CONCATENATE($B86,I$68,"L"))+COUNTIFS(Database!$F:$I,CONCATENATE(I$68,$B86,"L"))+COUNTIFS(Database!$F:$I,CONCATENATE($B86,I$68,"W"))+COUNTIFS(Database!$F:$I,CONCATENATE(I$68,$B86,"W"))),"-")</f>
        <v>1</v>
      </c>
      <c r="J86" s="122">
        <f>IFERROR((COUNTIFS(Database!$F:$I,CONCATENATE($B86,J$68,"W"))+COUNTIFS(Database!$F:$I,CONCATENATE(J$68,$B86,"W")))/(COUNTIFS(Database!$F:$I,CONCATENATE($B86,J$68,"L"))+COUNTIFS(Database!$F:$I,CONCATENATE(J$68,$B86,"L"))+COUNTIFS(Database!$F:$I,CONCATENATE($B86,J$68,"W"))+COUNTIFS(Database!$F:$I,CONCATENATE(J$68,$B86,"W"))),"-")</f>
        <v>0.33333333333333331</v>
      </c>
      <c r="K86" s="122">
        <f>IFERROR((COUNTIFS(Database!$F:$I,CONCATENATE($B86,K$68,"W"))+COUNTIFS(Database!$F:$I,CONCATENATE(K$68,$B86,"W")))/(COUNTIFS(Database!$F:$I,CONCATENATE($B86,K$68,"L"))+COUNTIFS(Database!$F:$I,CONCATENATE(K$68,$B86,"L"))+COUNTIFS(Database!$F:$I,CONCATENATE($B86,K$68,"W"))+COUNTIFS(Database!$F:$I,CONCATENATE(K$68,$B86,"W"))),"-")</f>
        <v>1</v>
      </c>
      <c r="L86" s="122" t="str">
        <f>IFERROR((COUNTIFS(Database!$F:$I,CONCATENATE($B86,L$68,"W"))+COUNTIFS(Database!$F:$I,CONCATENATE(L$68,$B86,"W")))/(COUNTIFS(Database!$F:$I,CONCATENATE($B86,L$68,"L"))+COUNTIFS(Database!$F:$I,CONCATENATE(L$68,$B86,"L"))+COUNTIFS(Database!$F:$I,CONCATENATE($B86,L$68,"W"))+COUNTIFS(Database!$F:$I,CONCATENATE(L$68,$B86,"W"))),"-")</f>
        <v>-</v>
      </c>
      <c r="M86" s="122" t="str">
        <f>IFERROR((COUNTIFS(Database!$F:$I,CONCATENATE($B86,M$68,"W"))+COUNTIFS(Database!$F:$I,CONCATENATE(M$68,$B86,"W")))/(COUNTIFS(Database!$F:$I,CONCATENATE($B86,M$68,"L"))+COUNTIFS(Database!$F:$I,CONCATENATE(M$68,$B86,"L"))+COUNTIFS(Database!$F:$I,CONCATENATE($B86,M$68,"W"))+COUNTIFS(Database!$F:$I,CONCATENATE(M$68,$B86,"W"))),"-")</f>
        <v>-</v>
      </c>
      <c r="N86" s="122">
        <f>IFERROR((COUNTIFS(Database!$F:$I,CONCATENATE($B86,N$68,"W"))+COUNTIFS(Database!$F:$I,CONCATENATE(N$68,$B86,"W")))/(COUNTIFS(Database!$F:$I,CONCATENATE($B86,N$68,"L"))+COUNTIFS(Database!$F:$I,CONCATENATE(N$68,$B86,"L"))+COUNTIFS(Database!$F:$I,CONCATENATE($B86,N$68,"W"))+COUNTIFS(Database!$F:$I,CONCATENATE(N$68,$B86,"W"))),"-")</f>
        <v>0</v>
      </c>
      <c r="O86" s="122">
        <f>IFERROR((COUNTIFS(Database!$F:$I,CONCATENATE($B86,O$68,"W"))+COUNTIFS(Database!$F:$I,CONCATENATE(O$68,$B86,"W")))/(COUNTIFS(Database!$F:$I,CONCATENATE($B86,O$68,"L"))+COUNTIFS(Database!$F:$I,CONCATENATE(O$68,$B86,"L"))+COUNTIFS(Database!$F:$I,CONCATENATE($B86,O$68,"W"))+COUNTIFS(Database!$F:$I,CONCATENATE(O$68,$B86,"W"))),"-")</f>
        <v>0.66666666666666663</v>
      </c>
      <c r="P86" s="122">
        <f>IFERROR((COUNTIFS(Database!$F:$I,CONCATENATE($B86,P$68,"W"))+COUNTIFS(Database!$F:$I,CONCATENATE(P$68,$B86,"W")))/(COUNTIFS(Database!$F:$I,CONCATENATE($B86,P$68,"L"))+COUNTIFS(Database!$F:$I,CONCATENATE(P$68,$B86,"L"))+COUNTIFS(Database!$F:$I,CONCATENATE($B86,P$68,"W"))+COUNTIFS(Database!$F:$I,CONCATENATE(P$68,$B86,"W"))),"-")</f>
        <v>1</v>
      </c>
      <c r="Q86" s="122" t="str">
        <f>IFERROR((COUNTIFS(Database!$F:$I,CONCATENATE($B86,Q$68,"W"))+COUNTIFS(Database!$F:$I,CONCATENATE(Q$68,$B86,"W")))/(COUNTIFS(Database!$F:$I,CONCATENATE($B86,Q$68,"L"))+COUNTIFS(Database!$F:$I,CONCATENATE(Q$68,$B86,"L"))+COUNTIFS(Database!$F:$I,CONCATENATE($B86,Q$68,"W"))+COUNTIFS(Database!$F:$I,CONCATENATE(Q$68,$B86,"W"))),"-")</f>
        <v>-</v>
      </c>
      <c r="R86" s="122" t="str">
        <f>IFERROR((COUNTIFS(Database!$F:$I,CONCATENATE($B86,R$68,"W"))+COUNTIFS(Database!$F:$I,CONCATENATE(R$68,$B86,"W")))/(COUNTIFS(Database!$F:$I,CONCATENATE($B86,R$68,"L"))+COUNTIFS(Database!$F:$I,CONCATENATE(R$68,$B86,"L"))+COUNTIFS(Database!$F:$I,CONCATENATE($B86,R$68,"W"))+COUNTIFS(Database!$F:$I,CONCATENATE(R$68,$B86,"W"))),"-")</f>
        <v>-</v>
      </c>
      <c r="S86" s="122" t="str">
        <f>IFERROR((COUNTIFS(Database!$F:$I,CONCATENATE($B86,S$68,"W"))+COUNTIFS(Database!$F:$I,CONCATENATE(S$68,$B86,"W")))/(COUNTIFS(Database!$F:$I,CONCATENATE($B86,S$68,"L"))+COUNTIFS(Database!$F:$I,CONCATENATE(S$68,$B86,"L"))+COUNTIFS(Database!$F:$I,CONCATENATE($B86,S$68,"W"))+COUNTIFS(Database!$F:$I,CONCATENATE(S$68,$B86,"W"))),"-")</f>
        <v>-</v>
      </c>
      <c r="T86" s="122" t="str">
        <f>IFERROR((COUNTIFS(Database!$F:$I,CONCATENATE($B86,T$68,"W"))+COUNTIFS(Database!$F:$I,CONCATENATE(T$68,$B86,"W")))/(COUNTIFS(Database!$F:$I,CONCATENATE($B86,T$68,"L"))+COUNTIFS(Database!$F:$I,CONCATENATE(T$68,$B86,"L"))+COUNTIFS(Database!$F:$I,CONCATENATE($B86,T$68,"W"))+COUNTIFS(Database!$F:$I,CONCATENATE(T$68,$B86,"W"))),"-")</f>
        <v>-</v>
      </c>
      <c r="U86" s="122" t="str">
        <f>IFERROR((COUNTIFS(Database!$F:$I,CONCATENATE($B86,U$68,"W"))+COUNTIFS(Database!$F:$I,CONCATENATE(U$68,$B86,"W")))/(COUNTIFS(Database!$F:$I,CONCATENATE($B86,U$68,"L"))+COUNTIFS(Database!$F:$I,CONCATENATE(U$68,$B86,"L"))+COUNTIFS(Database!$F:$I,CONCATENATE($B86,U$68,"W"))+COUNTIFS(Database!$F:$I,CONCATENATE(U$68,$B86,"W"))),"-")</f>
        <v>-</v>
      </c>
      <c r="V86" s="122" t="str">
        <f>IFERROR((COUNTIFS(Database!$F:$I,CONCATENATE($B86,V$68,"W"))+COUNTIFS(Database!$F:$I,CONCATENATE(V$68,$B86,"W")))/(COUNTIFS(Database!$F:$I,CONCATENATE($B86,V$68,"L"))+COUNTIFS(Database!$F:$I,CONCATENATE(V$68,$B86,"L"))+COUNTIFS(Database!$F:$I,CONCATENATE($B86,V$68,"W"))+COUNTIFS(Database!$F:$I,CONCATENATE(V$68,$B86,"W"))),"-")</f>
        <v>-</v>
      </c>
      <c r="W86" s="122">
        <f>IFERROR((COUNTIFS(Database!$F:$I,CONCATENATE($B86,W$68,"W"))+COUNTIFS(Database!$F:$I,CONCATENATE(W$68,$B86,"W")))/(COUNTIFS(Database!$F:$I,CONCATENATE($B86,W$68,"L"))+COUNTIFS(Database!$F:$I,CONCATENATE(W$68,$B86,"L"))+COUNTIFS(Database!$F:$I,CONCATENATE($B86,W$68,"W"))+COUNTIFS(Database!$F:$I,CONCATENATE(W$68,$B86,"W"))),"-")</f>
        <v>1</v>
      </c>
      <c r="X86" s="122" t="str">
        <f>IFERROR((COUNTIFS(Database!$F:$I,CONCATENATE($B86,X$68,"W"))+COUNTIFS(Database!$F:$I,CONCATENATE(X$68,$B86,"W")))/(COUNTIFS(Database!$F:$I,CONCATENATE($B86,X$68,"L"))+COUNTIFS(Database!$F:$I,CONCATENATE(X$68,$B86,"L"))+COUNTIFS(Database!$F:$I,CONCATENATE($B86,X$68,"W"))+COUNTIFS(Database!$F:$I,CONCATENATE(X$68,$B86,"W"))),"-")</f>
        <v>-</v>
      </c>
      <c r="Y86" s="122">
        <f>IFERROR((COUNTIFS(Database!$F:$I,CONCATENATE($B86,Y$68,"W"))+COUNTIFS(Database!$F:$I,CONCATENATE(Y$68,$B86,"W")))/(COUNTIFS(Database!$F:$I,CONCATENATE($B86,Y$68,"L"))+COUNTIFS(Database!$F:$I,CONCATENATE(Y$68,$B86,"L"))+COUNTIFS(Database!$F:$I,CONCATENATE($B86,Y$68,"W"))+COUNTIFS(Database!$F:$I,CONCATENATE(Y$68,$B86,"W"))),"-")</f>
        <v>0</v>
      </c>
      <c r="Z86" s="122" t="str">
        <f>IFERROR((COUNTIFS(Database!$F:$I,CONCATENATE($B86,Z$68,"W"))+COUNTIFS(Database!$F:$I,CONCATENATE(Z$68,$B86,"W")))/(COUNTIFS(Database!$F:$I,CONCATENATE($B86,Z$68,"L"))+COUNTIFS(Database!$F:$I,CONCATENATE(Z$68,$B86,"L"))+COUNTIFS(Database!$F:$I,CONCATENATE($B86,Z$68,"W"))+COUNTIFS(Database!$F:$I,CONCATENATE(Z$68,$B86,"W"))),"-")</f>
        <v>-</v>
      </c>
      <c r="AA86" s="122">
        <f>IFERROR((COUNTIFS(Database!$F:$I,CONCATENATE($B86,AA$68,"W"))+COUNTIFS(Database!$F:$I,CONCATENATE(AA$68,$B86,"W")))/(COUNTIFS(Database!$F:$I,CONCATENATE($B86,AA$68,"L"))+COUNTIFS(Database!$F:$I,CONCATENATE(AA$68,$B86,"L"))+COUNTIFS(Database!$F:$I,CONCATENATE($B86,AA$68,"W"))+COUNTIFS(Database!$F:$I,CONCATENATE(AA$68,$B86,"W"))),"-")</f>
        <v>0</v>
      </c>
      <c r="AB86" s="122">
        <f>IFERROR((COUNTIFS(Database!$F:$I,CONCATENATE($B86,AB$68,"W"))+COUNTIFS(Database!$F:$I,CONCATENATE(AB$68,$B86,"W")))/(COUNTIFS(Database!$F:$I,CONCATENATE($B86,AB$68,"L"))+COUNTIFS(Database!$F:$I,CONCATENATE(AB$68,$B86,"L"))+COUNTIFS(Database!$F:$I,CONCATENATE($B86,AB$68,"W"))+COUNTIFS(Database!$F:$I,CONCATENATE(AB$68,$B86,"W"))),"-")</f>
        <v>0.5</v>
      </c>
      <c r="AC86" s="122">
        <f>IFERROR((COUNTIFS(Database!$F:$I,CONCATENATE($B86,AC$68,"W"))+COUNTIFS(Database!$F:$I,CONCATENATE(AC$68,$B86,"W")))/(COUNTIFS(Database!$F:$I,CONCATENATE($B86,AC$68,"L"))+COUNTIFS(Database!$F:$I,CONCATENATE(AC$68,$B86,"L"))+COUNTIFS(Database!$F:$I,CONCATENATE($B86,AC$68,"W"))+COUNTIFS(Database!$F:$I,CONCATENATE(AC$68,$B86,"W"))),"-")</f>
        <v>0.5</v>
      </c>
      <c r="AD86" s="122">
        <f>IFERROR((COUNTIFS(Database!$F:$I,CONCATENATE($B86,AD$68,"W"))+COUNTIFS(Database!$F:$I,CONCATENATE(AD$68,$B86,"W")))/(COUNTIFS(Database!$F:$I,CONCATENATE($B86,AD$68,"L"))+COUNTIFS(Database!$F:$I,CONCATENATE(AD$68,$B86,"L"))+COUNTIFS(Database!$F:$I,CONCATENATE($B86,AD$68,"W"))+COUNTIFS(Database!$F:$I,CONCATENATE(AD$68,$B86,"W"))),"-")</f>
        <v>1</v>
      </c>
      <c r="AE86" s="122" t="str">
        <f>IFERROR((COUNTIFS(Database!$F:$I,CONCATENATE($B86,AE$68,"W"))+COUNTIFS(Database!$F:$I,CONCATENATE(AE$68,$B86,"W")))/(COUNTIFS(Database!$F:$I,CONCATENATE($B86,AE$68,"L"))+COUNTIFS(Database!$F:$I,CONCATENATE(AE$68,$B86,"L"))+COUNTIFS(Database!$F:$I,CONCATENATE($B86,AE$68,"W"))+COUNTIFS(Database!$F:$I,CONCATENATE(AE$68,$B86,"W"))),"-")</f>
        <v>-</v>
      </c>
      <c r="AF86" s="122" t="str">
        <f>IFERROR((COUNTIFS(Database!$F:$I,CONCATENATE($B86,AF$68,"W"))+COUNTIFS(Database!$F:$I,CONCATENATE(AF$68,$B86,"W")))/(COUNTIFS(Database!$F:$I,CONCATENATE($B86,AF$68,"L"))+COUNTIFS(Database!$F:$I,CONCATENATE(AF$68,$B86,"L"))+COUNTIFS(Database!$F:$I,CONCATENATE($B86,AF$68,"W"))+COUNTIFS(Database!$F:$I,CONCATENATE(AF$68,$B86,"W"))),"-")</f>
        <v>-</v>
      </c>
      <c r="AG86" s="122" t="str">
        <f>IFERROR((COUNTIFS(Database!$F:$I,CONCATENATE($B86,AG$68,"W"))+COUNTIFS(Database!$F:$I,CONCATENATE(AG$68,$B86,"W")))/(COUNTIFS(Database!$F:$I,CONCATENATE($B86,AG$68,"L"))+COUNTIFS(Database!$F:$I,CONCATENATE(AG$68,$B86,"L"))+COUNTIFS(Database!$F:$I,CONCATENATE($B86,AG$68,"W"))+COUNTIFS(Database!$F:$I,CONCATENATE(AG$68,$B86,"W"))),"-")</f>
        <v>-</v>
      </c>
      <c r="AH86" s="122" t="str">
        <f>IFERROR((COUNTIFS(Database!$F:$I,CONCATENATE($B86,AH$68,"W"))+COUNTIFS(Database!$F:$I,CONCATENATE(AH$68,$B86,"W")))/(COUNTIFS(Database!$F:$I,CONCATENATE($B86,AH$68,"L"))+COUNTIFS(Database!$F:$I,CONCATENATE(AH$68,$B86,"L"))+COUNTIFS(Database!$F:$I,CONCATENATE($B86,AH$68,"W"))+COUNTIFS(Database!$F:$I,CONCATENATE(AH$68,$B86,"W"))),"-")</f>
        <v>-</v>
      </c>
      <c r="AI86" s="122">
        <f>IFERROR((COUNTIFS(Database!$F:$I,CONCATENATE($B86,AI$68,"W"))+COUNTIFS(Database!$F:$I,CONCATENATE(AI$68,$B86,"W")))/(COUNTIFS(Database!$F:$I,CONCATENATE($B86,AI$68,"L"))+COUNTIFS(Database!$F:$I,CONCATENATE(AI$68,$B86,"L"))+COUNTIFS(Database!$F:$I,CONCATENATE($B86,AI$68,"W"))+COUNTIFS(Database!$F:$I,CONCATENATE(AI$68,$B86,"W"))),"-")</f>
        <v>1</v>
      </c>
      <c r="AJ86" s="122" t="str">
        <f>IFERROR((COUNTIFS(Database!$F:$I,CONCATENATE($B86,AJ$68,"W"))+COUNTIFS(Database!$F:$I,CONCATENATE(AJ$68,$B86,"W")))/(COUNTIFS(Database!$F:$I,CONCATENATE($B86,AJ$68,"L"))+COUNTIFS(Database!$F:$I,CONCATENATE(AJ$68,$B86,"L"))+COUNTIFS(Database!$F:$I,CONCATENATE($B86,AJ$68,"W"))+COUNTIFS(Database!$F:$I,CONCATENATE(AJ$68,$B86,"W"))),"-")</f>
        <v>-</v>
      </c>
      <c r="AK86" s="122">
        <f>IFERROR((COUNTIFS(Database!$F:$I,CONCATENATE($B86,AK$68,"W"))+COUNTIFS(Database!$F:$I,CONCATENATE(AK$68,$B86,"W")))/(COUNTIFS(Database!$F:$I,CONCATENATE($B86,AK$68,"L"))+COUNTIFS(Database!$F:$I,CONCATENATE(AK$68,$B86,"L"))+COUNTIFS(Database!$F:$I,CONCATENATE($B86,AK$68,"W"))+COUNTIFS(Database!$F:$I,CONCATENATE(AK$68,$B86,"W"))),"-")</f>
        <v>1</v>
      </c>
      <c r="AL86" s="122" t="str">
        <f>IFERROR((COUNTIFS(Database!$F:$I,CONCATENATE($B86,AL$68,"W"))+COUNTIFS(Database!$F:$I,CONCATENATE(AL$68,$B86,"W")))/(COUNTIFS(Database!$F:$I,CONCATENATE($B86,AL$68,"L"))+COUNTIFS(Database!$F:$I,CONCATENATE(AL$68,$B86,"L"))+COUNTIFS(Database!$F:$I,CONCATENATE($B86,AL$68,"W"))+COUNTIFS(Database!$F:$I,CONCATENATE(AL$68,$B86,"W"))),"-")</f>
        <v>-</v>
      </c>
      <c r="AM86" s="122" t="str">
        <f>IFERROR((COUNTIFS(Database!$F:$I,CONCATENATE($B86,AM$68,"W"))+COUNTIFS(Database!$F:$I,CONCATENATE(AM$68,$B86,"W")))/(COUNTIFS(Database!$F:$I,CONCATENATE($B86,AM$68,"L"))+COUNTIFS(Database!$F:$I,CONCATENATE(AM$68,$B86,"L"))+COUNTIFS(Database!$F:$I,CONCATENATE($B86,AM$68,"W"))+COUNTIFS(Database!$F:$I,CONCATENATE(AM$68,$B86,"W"))),"-")</f>
        <v>-</v>
      </c>
      <c r="AN86" s="122" t="str">
        <f>IFERROR((COUNTIFS(Database!$F:$I,CONCATENATE($B86,AN$68,"W"))+COUNTIFS(Database!$F:$I,CONCATENATE(AN$68,$B86,"W")))/(COUNTIFS(Database!$F:$I,CONCATENATE($B86,AN$68,"L"))+COUNTIFS(Database!$F:$I,CONCATENATE(AN$68,$B86,"L"))+COUNTIFS(Database!$F:$I,CONCATENATE($B86,AN$68,"W"))+COUNTIFS(Database!$F:$I,CONCATENATE(AN$68,$B86,"W"))),"-")</f>
        <v>-</v>
      </c>
      <c r="AO86" s="122">
        <f>IFERROR((COUNTIFS(Database!$F:$I,CONCATENATE($B86,AO$68,"W"))+COUNTIFS(Database!$F:$I,CONCATENATE(AO$68,$B86,"W")))/(COUNTIFS(Database!$F:$I,CONCATENATE($B86,AO$68,"L"))+COUNTIFS(Database!$F:$I,CONCATENATE(AO$68,$B86,"L"))+COUNTIFS(Database!$F:$I,CONCATENATE($B86,AO$68,"W"))+COUNTIFS(Database!$F:$I,CONCATENATE(AO$68,$B86,"W"))),"-")</f>
        <v>0.33333333333333331</v>
      </c>
      <c r="AP86" s="122" t="str">
        <f>IFERROR((COUNTIFS(Database!$F:$I,CONCATENATE($B86,AP$68,"W"))+COUNTIFS(Database!$F:$I,CONCATENATE(AP$68,$B86,"W")))/(COUNTIFS(Database!$F:$I,CONCATENATE($B86,AP$68,"L"))+COUNTIFS(Database!$F:$I,CONCATENATE(AP$68,$B86,"L"))+COUNTIFS(Database!$F:$I,CONCATENATE($B86,AP$68,"W"))+COUNTIFS(Database!$F:$I,CONCATENATE(AP$68,$B86,"W"))),"-")</f>
        <v>-</v>
      </c>
      <c r="AQ86" s="122">
        <f>IFERROR((COUNTIFS(Database!$F:$I,CONCATENATE($B86,AQ$68,"W"))+COUNTIFS(Database!$F:$I,CONCATENATE(AQ$68,$B86,"W")))/(COUNTIFS(Database!$F:$I,CONCATENATE($B86,AQ$68,"L"))+COUNTIFS(Database!$F:$I,CONCATENATE(AQ$68,$B86,"L"))+COUNTIFS(Database!$F:$I,CONCATENATE($B86,AQ$68,"W"))+COUNTIFS(Database!$F:$I,CONCATENATE(AQ$68,$B86,"W"))),"-")</f>
        <v>0.25</v>
      </c>
      <c r="AR86" s="122">
        <f>IFERROR((COUNTIFS(Database!$F:$I,CONCATENATE($B86,AR$68,"W"))+COUNTIFS(Database!$F:$I,CONCATENATE(AR$68,$B86,"W")))/(COUNTIFS(Database!$F:$I,CONCATENATE($B86,AR$68,"L"))+COUNTIFS(Database!$F:$I,CONCATENATE(AR$68,$B86,"L"))+COUNTIFS(Database!$F:$I,CONCATENATE($B86,AR$68,"W"))+COUNTIFS(Database!$F:$I,CONCATENATE(AR$68,$B86,"W"))),"-")</f>
        <v>0.25</v>
      </c>
      <c r="AS86" s="122" t="str">
        <f>IFERROR((COUNTIFS(Database!$F:$I,CONCATENATE($B86,AS$68,"W"))+COUNTIFS(Database!$F:$I,CONCATENATE(AS$68,$B86,"W")))/(COUNTIFS(Database!$F:$I,CONCATENATE($B86,AS$68,"L"))+COUNTIFS(Database!$F:$I,CONCATENATE(AS$68,$B86,"L"))+COUNTIFS(Database!$F:$I,CONCATENATE($B86,AS$68,"W"))+COUNTIFS(Database!$F:$I,CONCATENATE(AS$68,$B86,"W"))),"-")</f>
        <v>-</v>
      </c>
      <c r="AT86" s="122" t="str">
        <f>IFERROR((COUNTIFS(Database!$F:$I,CONCATENATE($B86,AT$68,"W"))+COUNTIFS(Database!$F:$I,CONCATENATE(AT$68,$B86,"W")))/(COUNTIFS(Database!$F:$I,CONCATENATE($B86,AT$68,"L"))+COUNTIFS(Database!$F:$I,CONCATENATE(AT$68,$B86,"L"))+COUNTIFS(Database!$F:$I,CONCATENATE($B86,AT$68,"W"))+COUNTIFS(Database!$F:$I,CONCATENATE(AT$68,$B86,"W"))),"-")</f>
        <v>-</v>
      </c>
      <c r="AU86" s="122" t="str">
        <f>IFERROR((COUNTIFS(Database!$F:$I,CONCATENATE($B86,AU$68,"W"))+COUNTIFS(Database!$F:$I,CONCATENATE(AU$68,$B86,"W")))/(COUNTIFS(Database!$F:$I,CONCATENATE($B86,AU$68,"L"))+COUNTIFS(Database!$F:$I,CONCATENATE(AU$68,$B86,"L"))+COUNTIFS(Database!$F:$I,CONCATENATE($B86,AU$68,"W"))+COUNTIFS(Database!$F:$I,CONCATENATE(AU$68,$B86,"W"))),"-")</f>
        <v>-</v>
      </c>
      <c r="AV86" s="122">
        <f>IFERROR((COUNTIFS(Database!$F:$I,CONCATENATE($B86,AV$68,"W"))+COUNTIFS(Database!$F:$I,CONCATENATE(AV$68,$B86,"W")))/(COUNTIFS(Database!$F:$I,CONCATENATE($B86,AV$68,"L"))+COUNTIFS(Database!$F:$I,CONCATENATE(AV$68,$B86,"L"))+COUNTIFS(Database!$F:$I,CONCATENATE($B86,AV$68,"W"))+COUNTIFS(Database!$F:$I,CONCATENATE(AV$68,$B86,"W"))),"-")</f>
        <v>0.5</v>
      </c>
      <c r="AW86" s="122">
        <f>IFERROR((COUNTIFS(Database!$F:$I,CONCATENATE($B86,AW$68,"W"))+COUNTIFS(Database!$F:$I,CONCATENATE(AW$68,$B86,"W")))/(COUNTIFS(Database!$F:$I,CONCATENATE($B86,AW$68,"L"))+COUNTIFS(Database!$F:$I,CONCATENATE(AW$68,$B86,"L"))+COUNTIFS(Database!$F:$I,CONCATENATE($B86,AW$68,"W"))+COUNTIFS(Database!$F:$I,CONCATENATE(AW$68,$B86,"W"))),"-")</f>
        <v>1</v>
      </c>
      <c r="AX86" s="122" t="str">
        <f>IFERROR((COUNTIFS(Database!$F:$I,CONCATENATE($B86,AX$68,"W"))+COUNTIFS(Database!$F:$I,CONCATENATE(AX$68,$B86,"W")))/(COUNTIFS(Database!$F:$I,CONCATENATE($B86,AX$68,"L"))+COUNTIFS(Database!$F:$I,CONCATENATE(AX$68,$B86,"L"))+COUNTIFS(Database!$F:$I,CONCATENATE($B86,AX$68,"W"))+COUNTIFS(Database!$F:$I,CONCATENATE(AX$68,$B86,"W"))),"-")</f>
        <v>-</v>
      </c>
      <c r="AY86" s="122">
        <f>IFERROR((COUNTIFS(Database!$F:$I,CONCATENATE($B86,AY$68,"W"))+COUNTIFS(Database!$F:$I,CONCATENATE(AY$68,$B86,"W")))/(COUNTIFS(Database!$F:$I,CONCATENATE($B86,AY$68,"L"))+COUNTIFS(Database!$F:$I,CONCATENATE(AY$68,$B86,"L"))+COUNTIFS(Database!$F:$I,CONCATENATE($B86,AY$68,"W"))+COUNTIFS(Database!$F:$I,CONCATENATE(AY$68,$B86,"W"))),"-")</f>
        <v>1</v>
      </c>
    </row>
    <row r="87" spans="2:51" x14ac:dyDescent="0.25">
      <c r="B87" s="120" t="s">
        <v>30</v>
      </c>
      <c r="C87" s="122">
        <f>IFERROR((COUNTIFS(Database!$F:$I,CONCATENATE($B87,C$68,"W"))+COUNTIFS(Database!$F:$I,CONCATENATE(C$68,$B87,"W")))/(COUNTIFS(Database!$F:$I,CONCATENATE($B87,C$68,"L"))+COUNTIFS(Database!$F:$I,CONCATENATE(C$68,$B87,"L"))+COUNTIFS(Database!$F:$I,CONCATENATE($B87,C$68,"W"))+COUNTIFS(Database!$F:$I,CONCATENATE(C$68,$B87,"W"))),"-")</f>
        <v>0</v>
      </c>
      <c r="D87" s="122" t="str">
        <f>IFERROR((COUNTIFS(Database!$F:$I,CONCATENATE($B87,D$68,"W"))+COUNTIFS(Database!$F:$I,CONCATENATE(D$68,$B87,"W")))/(COUNTIFS(Database!$F:$I,CONCATENATE($B87,D$68,"L"))+COUNTIFS(Database!$F:$I,CONCATENATE(D$68,$B87,"L"))+COUNTIFS(Database!$F:$I,CONCATENATE($B87,D$68,"W"))+COUNTIFS(Database!$F:$I,CONCATENATE(D$68,$B87,"W"))),"-")</f>
        <v>-</v>
      </c>
      <c r="E87" s="122" t="str">
        <f>IFERROR((COUNTIFS(Database!$F:$I,CONCATENATE($B87,E$68,"W"))+COUNTIFS(Database!$F:$I,CONCATENATE(E$68,$B87,"W")))/(COUNTIFS(Database!$F:$I,CONCATENATE($B87,E$68,"L"))+COUNTIFS(Database!$F:$I,CONCATENATE(E$68,$B87,"L"))+COUNTIFS(Database!$F:$I,CONCATENATE($B87,E$68,"W"))+COUNTIFS(Database!$F:$I,CONCATENATE(E$68,$B87,"W"))),"-")</f>
        <v>-</v>
      </c>
      <c r="F87" s="122" t="str">
        <f>IFERROR((COUNTIFS(Database!$F:$I,CONCATENATE($B87,F$68,"W"))+COUNTIFS(Database!$F:$I,CONCATENATE(F$68,$B87,"W")))/(COUNTIFS(Database!$F:$I,CONCATENATE($B87,F$68,"L"))+COUNTIFS(Database!$F:$I,CONCATENATE(F$68,$B87,"L"))+COUNTIFS(Database!$F:$I,CONCATENATE($B87,F$68,"W"))+COUNTIFS(Database!$F:$I,CONCATENATE(F$68,$B87,"W"))),"-")</f>
        <v>-</v>
      </c>
      <c r="G87" s="122" t="str">
        <f>IFERROR((COUNTIFS(Database!$F:$I,CONCATENATE($B87,G$68,"W"))+COUNTIFS(Database!$F:$I,CONCATENATE(G$68,$B87,"W")))/(COUNTIFS(Database!$F:$I,CONCATENATE($B87,G$68,"L"))+COUNTIFS(Database!$F:$I,CONCATENATE(G$68,$B87,"L"))+COUNTIFS(Database!$F:$I,CONCATENATE($B87,G$68,"W"))+COUNTIFS(Database!$F:$I,CONCATENATE(G$68,$B87,"W"))),"-")</f>
        <v>-</v>
      </c>
      <c r="H87" s="122" t="str">
        <f>IFERROR((COUNTIFS(Database!$F:$I,CONCATENATE($B87,H$68,"W"))+COUNTIFS(Database!$F:$I,CONCATENATE(H$68,$B87,"W")))/(COUNTIFS(Database!$F:$I,CONCATENATE($B87,H$68,"L"))+COUNTIFS(Database!$F:$I,CONCATENATE(H$68,$B87,"L"))+COUNTIFS(Database!$F:$I,CONCATENATE($B87,H$68,"W"))+COUNTIFS(Database!$F:$I,CONCATENATE(H$68,$B87,"W"))),"-")</f>
        <v>-</v>
      </c>
      <c r="I87" s="122" t="str">
        <f>IFERROR((COUNTIFS(Database!$F:$I,CONCATENATE($B87,I$68,"W"))+COUNTIFS(Database!$F:$I,CONCATENATE(I$68,$B87,"W")))/(COUNTIFS(Database!$F:$I,CONCATENATE($B87,I$68,"L"))+COUNTIFS(Database!$F:$I,CONCATENATE(I$68,$B87,"L"))+COUNTIFS(Database!$F:$I,CONCATENATE($B87,I$68,"W"))+COUNTIFS(Database!$F:$I,CONCATENATE(I$68,$B87,"W"))),"-")</f>
        <v>-</v>
      </c>
      <c r="J87" s="122" t="str">
        <f>IFERROR((COUNTIFS(Database!$F:$I,CONCATENATE($B87,J$68,"W"))+COUNTIFS(Database!$F:$I,CONCATENATE(J$68,$B87,"W")))/(COUNTIFS(Database!$F:$I,CONCATENATE($B87,J$68,"L"))+COUNTIFS(Database!$F:$I,CONCATENATE(J$68,$B87,"L"))+COUNTIFS(Database!$F:$I,CONCATENATE($B87,J$68,"W"))+COUNTIFS(Database!$F:$I,CONCATENATE(J$68,$B87,"W"))),"-")</f>
        <v>-</v>
      </c>
      <c r="K87" s="122" t="str">
        <f>IFERROR((COUNTIFS(Database!$F:$I,CONCATENATE($B87,K$68,"W"))+COUNTIFS(Database!$F:$I,CONCATENATE(K$68,$B87,"W")))/(COUNTIFS(Database!$F:$I,CONCATENATE($B87,K$68,"L"))+COUNTIFS(Database!$F:$I,CONCATENATE(K$68,$B87,"L"))+COUNTIFS(Database!$F:$I,CONCATENATE($B87,K$68,"W"))+COUNTIFS(Database!$F:$I,CONCATENATE(K$68,$B87,"W"))),"-")</f>
        <v>-</v>
      </c>
      <c r="L87" s="122" t="str">
        <f>IFERROR((COUNTIFS(Database!$F:$I,CONCATENATE($B87,L$68,"W"))+COUNTIFS(Database!$F:$I,CONCATENATE(L$68,$B87,"W")))/(COUNTIFS(Database!$F:$I,CONCATENATE($B87,L$68,"L"))+COUNTIFS(Database!$F:$I,CONCATENATE(L$68,$B87,"L"))+COUNTIFS(Database!$F:$I,CONCATENATE($B87,L$68,"W"))+COUNTIFS(Database!$F:$I,CONCATENATE(L$68,$B87,"W"))),"-")</f>
        <v>-</v>
      </c>
      <c r="M87" s="122" t="str">
        <f>IFERROR((COUNTIFS(Database!$F:$I,CONCATENATE($B87,M$68,"W"))+COUNTIFS(Database!$F:$I,CONCATENATE(M$68,$B87,"W")))/(COUNTIFS(Database!$F:$I,CONCATENATE($B87,M$68,"L"))+COUNTIFS(Database!$F:$I,CONCATENATE(M$68,$B87,"L"))+COUNTIFS(Database!$F:$I,CONCATENATE($B87,M$68,"W"))+COUNTIFS(Database!$F:$I,CONCATENATE(M$68,$B87,"W"))),"-")</f>
        <v>-</v>
      </c>
      <c r="N87" s="122" t="str">
        <f>IFERROR((COUNTIFS(Database!$F:$I,CONCATENATE($B87,N$68,"W"))+COUNTIFS(Database!$F:$I,CONCATENATE(N$68,$B87,"W")))/(COUNTIFS(Database!$F:$I,CONCATENATE($B87,N$68,"L"))+COUNTIFS(Database!$F:$I,CONCATENATE(N$68,$B87,"L"))+COUNTIFS(Database!$F:$I,CONCATENATE($B87,N$68,"W"))+COUNTIFS(Database!$F:$I,CONCATENATE(N$68,$B87,"W"))),"-")</f>
        <v>-</v>
      </c>
      <c r="O87" s="122" t="str">
        <f>IFERROR((COUNTIFS(Database!$F:$I,CONCATENATE($B87,O$68,"W"))+COUNTIFS(Database!$F:$I,CONCATENATE(O$68,$B87,"W")))/(COUNTIFS(Database!$F:$I,CONCATENATE($B87,O$68,"L"))+COUNTIFS(Database!$F:$I,CONCATENATE(O$68,$B87,"L"))+COUNTIFS(Database!$F:$I,CONCATENATE($B87,O$68,"W"))+COUNTIFS(Database!$F:$I,CONCATENATE(O$68,$B87,"W"))),"-")</f>
        <v>-</v>
      </c>
      <c r="P87" s="122" t="str">
        <f>IFERROR((COUNTIFS(Database!$F:$I,CONCATENATE($B87,P$68,"W"))+COUNTIFS(Database!$F:$I,CONCATENATE(P$68,$B87,"W")))/(COUNTIFS(Database!$F:$I,CONCATENATE($B87,P$68,"L"))+COUNTIFS(Database!$F:$I,CONCATENATE(P$68,$B87,"L"))+COUNTIFS(Database!$F:$I,CONCATENATE($B87,P$68,"W"))+COUNTIFS(Database!$F:$I,CONCATENATE(P$68,$B87,"W"))),"-")</f>
        <v>-</v>
      </c>
      <c r="Q87" s="122" t="str">
        <f>IFERROR((COUNTIFS(Database!$F:$I,CONCATENATE($B87,Q$68,"W"))+COUNTIFS(Database!$F:$I,CONCATENATE(Q$68,$B87,"W")))/(COUNTIFS(Database!$F:$I,CONCATENATE($B87,Q$68,"L"))+COUNTIFS(Database!$F:$I,CONCATENATE(Q$68,$B87,"L"))+COUNTIFS(Database!$F:$I,CONCATENATE($B87,Q$68,"W"))+COUNTIFS(Database!$F:$I,CONCATENATE(Q$68,$B87,"W"))),"-")</f>
        <v>-</v>
      </c>
      <c r="R87" s="122" t="str">
        <f>IFERROR((COUNTIFS(Database!$F:$I,CONCATENATE($B87,R$68,"W"))+COUNTIFS(Database!$F:$I,CONCATENATE(R$68,$B87,"W")))/(COUNTIFS(Database!$F:$I,CONCATENATE($B87,R$68,"L"))+COUNTIFS(Database!$F:$I,CONCATENATE(R$68,$B87,"L"))+COUNTIFS(Database!$F:$I,CONCATENATE($B87,R$68,"W"))+COUNTIFS(Database!$F:$I,CONCATENATE(R$68,$B87,"W"))),"-")</f>
        <v>-</v>
      </c>
      <c r="S87" s="122" t="str">
        <f>IFERROR((COUNTIFS(Database!$F:$I,CONCATENATE($B87,S$68,"W"))+COUNTIFS(Database!$F:$I,CONCATENATE(S$68,$B87,"W")))/(COUNTIFS(Database!$F:$I,CONCATENATE($B87,S$68,"L"))+COUNTIFS(Database!$F:$I,CONCATENATE(S$68,$B87,"L"))+COUNTIFS(Database!$F:$I,CONCATENATE($B87,S$68,"W"))+COUNTIFS(Database!$F:$I,CONCATENATE(S$68,$B87,"W"))),"-")</f>
        <v>-</v>
      </c>
      <c r="T87" s="122" t="str">
        <f>IFERROR((COUNTIFS(Database!$F:$I,CONCATENATE($B87,T$68,"W"))+COUNTIFS(Database!$F:$I,CONCATENATE(T$68,$B87,"W")))/(COUNTIFS(Database!$F:$I,CONCATENATE($B87,T$68,"L"))+COUNTIFS(Database!$F:$I,CONCATENATE(T$68,$B87,"L"))+COUNTIFS(Database!$F:$I,CONCATENATE($B87,T$68,"W"))+COUNTIFS(Database!$F:$I,CONCATENATE(T$68,$B87,"W"))),"-")</f>
        <v>-</v>
      </c>
      <c r="U87" s="122" t="str">
        <f>IFERROR((COUNTIFS(Database!$F:$I,CONCATENATE($B87,U$68,"W"))+COUNTIFS(Database!$F:$I,CONCATENATE(U$68,$B87,"W")))/(COUNTIFS(Database!$F:$I,CONCATENATE($B87,U$68,"L"))+COUNTIFS(Database!$F:$I,CONCATENATE(U$68,$B87,"L"))+COUNTIFS(Database!$F:$I,CONCATENATE($B87,U$68,"W"))+COUNTIFS(Database!$F:$I,CONCATENATE(U$68,$B87,"W"))),"-")</f>
        <v>-</v>
      </c>
      <c r="V87" s="122">
        <f>IFERROR((COUNTIFS(Database!$F:$I,CONCATENATE($B87,V$68,"W"))+COUNTIFS(Database!$F:$I,CONCATENATE(V$68,$B87,"W")))/(COUNTIFS(Database!$F:$I,CONCATENATE($B87,V$68,"L"))+COUNTIFS(Database!$F:$I,CONCATENATE(V$68,$B87,"L"))+COUNTIFS(Database!$F:$I,CONCATENATE($B87,V$68,"W"))+COUNTIFS(Database!$F:$I,CONCATENATE(V$68,$B87,"W"))),"-")</f>
        <v>0</v>
      </c>
      <c r="W87" s="122">
        <f>IFERROR((COUNTIFS(Database!$F:$I,CONCATENATE($B87,W$68,"W"))+COUNTIFS(Database!$F:$I,CONCATENATE(W$68,$B87,"W")))/(COUNTIFS(Database!$F:$I,CONCATENATE($B87,W$68,"L"))+COUNTIFS(Database!$F:$I,CONCATENATE(W$68,$B87,"L"))+COUNTIFS(Database!$F:$I,CONCATENATE($B87,W$68,"W"))+COUNTIFS(Database!$F:$I,CONCATENATE(W$68,$B87,"W"))),"-")</f>
        <v>0</v>
      </c>
      <c r="X87" s="122" t="str">
        <f>IFERROR((COUNTIFS(Database!$F:$I,CONCATENATE($B87,X$68,"W"))+COUNTIFS(Database!$F:$I,CONCATENATE(X$68,$B87,"W")))/(COUNTIFS(Database!$F:$I,CONCATENATE($B87,X$68,"L"))+COUNTIFS(Database!$F:$I,CONCATENATE(X$68,$B87,"L"))+COUNTIFS(Database!$F:$I,CONCATENATE($B87,X$68,"W"))+COUNTIFS(Database!$F:$I,CONCATENATE(X$68,$B87,"W"))),"-")</f>
        <v>-</v>
      </c>
      <c r="Y87" s="122" t="str">
        <f>IFERROR((COUNTIFS(Database!$F:$I,CONCATENATE($B87,Y$68,"W"))+COUNTIFS(Database!$F:$I,CONCATENATE(Y$68,$B87,"W")))/(COUNTIFS(Database!$F:$I,CONCATENATE($B87,Y$68,"L"))+COUNTIFS(Database!$F:$I,CONCATENATE(Y$68,$B87,"L"))+COUNTIFS(Database!$F:$I,CONCATENATE($B87,Y$68,"W"))+COUNTIFS(Database!$F:$I,CONCATENATE(Y$68,$B87,"W"))),"-")</f>
        <v>-</v>
      </c>
      <c r="Z87" s="122" t="str">
        <f>IFERROR((COUNTIFS(Database!$F:$I,CONCATENATE($B87,Z$68,"W"))+COUNTIFS(Database!$F:$I,CONCATENATE(Z$68,$B87,"W")))/(COUNTIFS(Database!$F:$I,CONCATENATE($B87,Z$68,"L"))+COUNTIFS(Database!$F:$I,CONCATENATE(Z$68,$B87,"L"))+COUNTIFS(Database!$F:$I,CONCATENATE($B87,Z$68,"W"))+COUNTIFS(Database!$F:$I,CONCATENATE(Z$68,$B87,"W"))),"-")</f>
        <v>-</v>
      </c>
      <c r="AA87" s="122" t="str">
        <f>IFERROR((COUNTIFS(Database!$F:$I,CONCATENATE($B87,AA$68,"W"))+COUNTIFS(Database!$F:$I,CONCATENATE(AA$68,$B87,"W")))/(COUNTIFS(Database!$F:$I,CONCATENATE($B87,AA$68,"L"))+COUNTIFS(Database!$F:$I,CONCATENATE(AA$68,$B87,"L"))+COUNTIFS(Database!$F:$I,CONCATENATE($B87,AA$68,"W"))+COUNTIFS(Database!$F:$I,CONCATENATE(AA$68,$B87,"W"))),"-")</f>
        <v>-</v>
      </c>
      <c r="AB87" s="122" t="str">
        <f>IFERROR((COUNTIFS(Database!$F:$I,CONCATENATE($B87,AB$68,"W"))+COUNTIFS(Database!$F:$I,CONCATENATE(AB$68,$B87,"W")))/(COUNTIFS(Database!$F:$I,CONCATENATE($B87,AB$68,"L"))+COUNTIFS(Database!$F:$I,CONCATENATE(AB$68,$B87,"L"))+COUNTIFS(Database!$F:$I,CONCATENATE($B87,AB$68,"W"))+COUNTIFS(Database!$F:$I,CONCATENATE(AB$68,$B87,"W"))),"-")</f>
        <v>-</v>
      </c>
      <c r="AC87" s="122">
        <f>IFERROR((COUNTIFS(Database!$F:$I,CONCATENATE($B87,AC$68,"W"))+COUNTIFS(Database!$F:$I,CONCATENATE(AC$68,$B87,"W")))/(COUNTIFS(Database!$F:$I,CONCATENATE($B87,AC$68,"L"))+COUNTIFS(Database!$F:$I,CONCATENATE(AC$68,$B87,"L"))+COUNTIFS(Database!$F:$I,CONCATENATE($B87,AC$68,"W"))+COUNTIFS(Database!$F:$I,CONCATENATE(AC$68,$B87,"W"))),"-")</f>
        <v>0</v>
      </c>
      <c r="AD87" s="122" t="str">
        <f>IFERROR((COUNTIFS(Database!$F:$I,CONCATENATE($B87,AD$68,"W"))+COUNTIFS(Database!$F:$I,CONCATENATE(AD$68,$B87,"W")))/(COUNTIFS(Database!$F:$I,CONCATENATE($B87,AD$68,"L"))+COUNTIFS(Database!$F:$I,CONCATENATE(AD$68,$B87,"L"))+COUNTIFS(Database!$F:$I,CONCATENATE($B87,AD$68,"W"))+COUNTIFS(Database!$F:$I,CONCATENATE(AD$68,$B87,"W"))),"-")</f>
        <v>-</v>
      </c>
      <c r="AE87" s="122" t="str">
        <f>IFERROR((COUNTIFS(Database!$F:$I,CONCATENATE($B87,AE$68,"W"))+COUNTIFS(Database!$F:$I,CONCATENATE(AE$68,$B87,"W")))/(COUNTIFS(Database!$F:$I,CONCATENATE($B87,AE$68,"L"))+COUNTIFS(Database!$F:$I,CONCATENATE(AE$68,$B87,"L"))+COUNTIFS(Database!$F:$I,CONCATENATE($B87,AE$68,"W"))+COUNTIFS(Database!$F:$I,CONCATENATE(AE$68,$B87,"W"))),"-")</f>
        <v>-</v>
      </c>
      <c r="AF87" s="122" t="str">
        <f>IFERROR((COUNTIFS(Database!$F:$I,CONCATENATE($B87,AF$68,"W"))+COUNTIFS(Database!$F:$I,CONCATENATE(AF$68,$B87,"W")))/(COUNTIFS(Database!$F:$I,CONCATENATE($B87,AF$68,"L"))+COUNTIFS(Database!$F:$I,CONCATENATE(AF$68,$B87,"L"))+COUNTIFS(Database!$F:$I,CONCATENATE($B87,AF$68,"W"))+COUNTIFS(Database!$F:$I,CONCATENATE(AF$68,$B87,"W"))),"-")</f>
        <v>-</v>
      </c>
      <c r="AG87" s="122" t="str">
        <f>IFERROR((COUNTIFS(Database!$F:$I,CONCATENATE($B87,AG$68,"W"))+COUNTIFS(Database!$F:$I,CONCATENATE(AG$68,$B87,"W")))/(COUNTIFS(Database!$F:$I,CONCATENATE($B87,AG$68,"L"))+COUNTIFS(Database!$F:$I,CONCATENATE(AG$68,$B87,"L"))+COUNTIFS(Database!$F:$I,CONCATENATE($B87,AG$68,"W"))+COUNTIFS(Database!$F:$I,CONCATENATE(AG$68,$B87,"W"))),"-")</f>
        <v>-</v>
      </c>
      <c r="AH87" s="122" t="str">
        <f>IFERROR((COUNTIFS(Database!$F:$I,CONCATENATE($B87,AH$68,"W"))+COUNTIFS(Database!$F:$I,CONCATENATE(AH$68,$B87,"W")))/(COUNTIFS(Database!$F:$I,CONCATENATE($B87,AH$68,"L"))+COUNTIFS(Database!$F:$I,CONCATENATE(AH$68,$B87,"L"))+COUNTIFS(Database!$F:$I,CONCATENATE($B87,AH$68,"W"))+COUNTIFS(Database!$F:$I,CONCATENATE(AH$68,$B87,"W"))),"-")</f>
        <v>-</v>
      </c>
      <c r="AI87" s="122" t="str">
        <f>IFERROR((COUNTIFS(Database!$F:$I,CONCATENATE($B87,AI$68,"W"))+COUNTIFS(Database!$F:$I,CONCATENATE(AI$68,$B87,"W")))/(COUNTIFS(Database!$F:$I,CONCATENATE($B87,AI$68,"L"))+COUNTIFS(Database!$F:$I,CONCATENATE(AI$68,$B87,"L"))+COUNTIFS(Database!$F:$I,CONCATENATE($B87,AI$68,"W"))+COUNTIFS(Database!$F:$I,CONCATENATE(AI$68,$B87,"W"))),"-")</f>
        <v>-</v>
      </c>
      <c r="AJ87" s="122" t="str">
        <f>IFERROR((COUNTIFS(Database!$F:$I,CONCATENATE($B87,AJ$68,"W"))+COUNTIFS(Database!$F:$I,CONCATENATE(AJ$68,$B87,"W")))/(COUNTIFS(Database!$F:$I,CONCATENATE($B87,AJ$68,"L"))+COUNTIFS(Database!$F:$I,CONCATENATE(AJ$68,$B87,"L"))+COUNTIFS(Database!$F:$I,CONCATENATE($B87,AJ$68,"W"))+COUNTIFS(Database!$F:$I,CONCATENATE(AJ$68,$B87,"W"))),"-")</f>
        <v>-</v>
      </c>
      <c r="AK87" s="122">
        <f>IFERROR((COUNTIFS(Database!$F:$I,CONCATENATE($B87,AK$68,"W"))+COUNTIFS(Database!$F:$I,CONCATENATE(AK$68,$B87,"W")))/(COUNTIFS(Database!$F:$I,CONCATENATE($B87,AK$68,"L"))+COUNTIFS(Database!$F:$I,CONCATENATE(AK$68,$B87,"L"))+COUNTIFS(Database!$F:$I,CONCATENATE($B87,AK$68,"W"))+COUNTIFS(Database!$F:$I,CONCATENATE(AK$68,$B87,"W"))),"-")</f>
        <v>0</v>
      </c>
      <c r="AL87" s="122" t="str">
        <f>IFERROR((COUNTIFS(Database!$F:$I,CONCATENATE($B87,AL$68,"W"))+COUNTIFS(Database!$F:$I,CONCATENATE(AL$68,$B87,"W")))/(COUNTIFS(Database!$F:$I,CONCATENATE($B87,AL$68,"L"))+COUNTIFS(Database!$F:$I,CONCATENATE(AL$68,$B87,"L"))+COUNTIFS(Database!$F:$I,CONCATENATE($B87,AL$68,"W"))+COUNTIFS(Database!$F:$I,CONCATENATE(AL$68,$B87,"W"))),"-")</f>
        <v>-</v>
      </c>
      <c r="AM87" s="122" t="str">
        <f>IFERROR((COUNTIFS(Database!$F:$I,CONCATENATE($B87,AM$68,"W"))+COUNTIFS(Database!$F:$I,CONCATENATE(AM$68,$B87,"W")))/(COUNTIFS(Database!$F:$I,CONCATENATE($B87,AM$68,"L"))+COUNTIFS(Database!$F:$I,CONCATENATE(AM$68,$B87,"L"))+COUNTIFS(Database!$F:$I,CONCATENATE($B87,AM$68,"W"))+COUNTIFS(Database!$F:$I,CONCATENATE(AM$68,$B87,"W"))),"-")</f>
        <v>-</v>
      </c>
      <c r="AN87" s="122" t="str">
        <f>IFERROR((COUNTIFS(Database!$F:$I,CONCATENATE($B87,AN$68,"W"))+COUNTIFS(Database!$F:$I,CONCATENATE(AN$68,$B87,"W")))/(COUNTIFS(Database!$F:$I,CONCATENATE($B87,AN$68,"L"))+COUNTIFS(Database!$F:$I,CONCATENATE(AN$68,$B87,"L"))+COUNTIFS(Database!$F:$I,CONCATENATE($B87,AN$68,"W"))+COUNTIFS(Database!$F:$I,CONCATENATE(AN$68,$B87,"W"))),"-")</f>
        <v>-</v>
      </c>
      <c r="AO87" s="122" t="str">
        <f>IFERROR((COUNTIFS(Database!$F:$I,CONCATENATE($B87,AO$68,"W"))+COUNTIFS(Database!$F:$I,CONCATENATE(AO$68,$B87,"W")))/(COUNTIFS(Database!$F:$I,CONCATENATE($B87,AO$68,"L"))+COUNTIFS(Database!$F:$I,CONCATENATE(AO$68,$B87,"L"))+COUNTIFS(Database!$F:$I,CONCATENATE($B87,AO$68,"W"))+COUNTIFS(Database!$F:$I,CONCATENATE(AO$68,$B87,"W"))),"-")</f>
        <v>-</v>
      </c>
      <c r="AP87" s="122" t="str">
        <f>IFERROR((COUNTIFS(Database!$F:$I,CONCATENATE($B87,AP$68,"W"))+COUNTIFS(Database!$F:$I,CONCATENATE(AP$68,$B87,"W")))/(COUNTIFS(Database!$F:$I,CONCATENATE($B87,AP$68,"L"))+COUNTIFS(Database!$F:$I,CONCATENATE(AP$68,$B87,"L"))+COUNTIFS(Database!$F:$I,CONCATENATE($B87,AP$68,"W"))+COUNTIFS(Database!$F:$I,CONCATENATE(AP$68,$B87,"W"))),"-")</f>
        <v>-</v>
      </c>
      <c r="AQ87" s="122">
        <f>IFERROR((COUNTIFS(Database!$F:$I,CONCATENATE($B87,AQ$68,"W"))+COUNTIFS(Database!$F:$I,CONCATENATE(AQ$68,$B87,"W")))/(COUNTIFS(Database!$F:$I,CONCATENATE($B87,AQ$68,"L"))+COUNTIFS(Database!$F:$I,CONCATENATE(AQ$68,$B87,"L"))+COUNTIFS(Database!$F:$I,CONCATENATE($B87,AQ$68,"W"))+COUNTIFS(Database!$F:$I,CONCATENATE(AQ$68,$B87,"W"))),"-")</f>
        <v>0</v>
      </c>
      <c r="AR87" s="122" t="str">
        <f>IFERROR((COUNTIFS(Database!$F:$I,CONCATENATE($B87,AR$68,"W"))+COUNTIFS(Database!$F:$I,CONCATENATE(AR$68,$B87,"W")))/(COUNTIFS(Database!$F:$I,CONCATENATE($B87,AR$68,"L"))+COUNTIFS(Database!$F:$I,CONCATENATE(AR$68,$B87,"L"))+COUNTIFS(Database!$F:$I,CONCATENATE($B87,AR$68,"W"))+COUNTIFS(Database!$F:$I,CONCATENATE(AR$68,$B87,"W"))),"-")</f>
        <v>-</v>
      </c>
      <c r="AS87" s="122" t="str">
        <f>IFERROR((COUNTIFS(Database!$F:$I,CONCATENATE($B87,AS$68,"W"))+COUNTIFS(Database!$F:$I,CONCATENATE(AS$68,$B87,"W")))/(COUNTIFS(Database!$F:$I,CONCATENATE($B87,AS$68,"L"))+COUNTIFS(Database!$F:$I,CONCATENATE(AS$68,$B87,"L"))+COUNTIFS(Database!$F:$I,CONCATENATE($B87,AS$68,"W"))+COUNTIFS(Database!$F:$I,CONCATENATE(AS$68,$B87,"W"))),"-")</f>
        <v>-</v>
      </c>
      <c r="AT87" s="122" t="str">
        <f>IFERROR((COUNTIFS(Database!$F:$I,CONCATENATE($B87,AT$68,"W"))+COUNTIFS(Database!$F:$I,CONCATENATE(AT$68,$B87,"W")))/(COUNTIFS(Database!$F:$I,CONCATENATE($B87,AT$68,"L"))+COUNTIFS(Database!$F:$I,CONCATENATE(AT$68,$B87,"L"))+COUNTIFS(Database!$F:$I,CONCATENATE($B87,AT$68,"W"))+COUNTIFS(Database!$F:$I,CONCATENATE(AT$68,$B87,"W"))),"-")</f>
        <v>-</v>
      </c>
      <c r="AU87" s="122" t="str">
        <f>IFERROR((COUNTIFS(Database!$F:$I,CONCATENATE($B87,AU$68,"W"))+COUNTIFS(Database!$F:$I,CONCATENATE(AU$68,$B87,"W")))/(COUNTIFS(Database!$F:$I,CONCATENATE($B87,AU$68,"L"))+COUNTIFS(Database!$F:$I,CONCATENATE(AU$68,$B87,"L"))+COUNTIFS(Database!$F:$I,CONCATENATE($B87,AU$68,"W"))+COUNTIFS(Database!$F:$I,CONCATENATE(AU$68,$B87,"W"))),"-")</f>
        <v>-</v>
      </c>
      <c r="AV87" s="122" t="str">
        <f>IFERROR((COUNTIFS(Database!$F:$I,CONCATENATE($B87,AV$68,"W"))+COUNTIFS(Database!$F:$I,CONCATENATE(AV$68,$B87,"W")))/(COUNTIFS(Database!$F:$I,CONCATENATE($B87,AV$68,"L"))+COUNTIFS(Database!$F:$I,CONCATENATE(AV$68,$B87,"L"))+COUNTIFS(Database!$F:$I,CONCATENATE($B87,AV$68,"W"))+COUNTIFS(Database!$F:$I,CONCATENATE(AV$68,$B87,"W"))),"-")</f>
        <v>-</v>
      </c>
      <c r="AW87" s="122">
        <f>IFERROR((COUNTIFS(Database!$F:$I,CONCATENATE($B87,AW$68,"W"))+COUNTIFS(Database!$F:$I,CONCATENATE(AW$68,$B87,"W")))/(COUNTIFS(Database!$F:$I,CONCATENATE($B87,AW$68,"L"))+COUNTIFS(Database!$F:$I,CONCATENATE(AW$68,$B87,"L"))+COUNTIFS(Database!$F:$I,CONCATENATE($B87,AW$68,"W"))+COUNTIFS(Database!$F:$I,CONCATENATE(AW$68,$B87,"W"))),"-")</f>
        <v>0</v>
      </c>
      <c r="AX87" s="122" t="str">
        <f>IFERROR((COUNTIFS(Database!$F:$I,CONCATENATE($B87,AX$68,"W"))+COUNTIFS(Database!$F:$I,CONCATENATE(AX$68,$B87,"W")))/(COUNTIFS(Database!$F:$I,CONCATENATE($B87,AX$68,"L"))+COUNTIFS(Database!$F:$I,CONCATENATE(AX$68,$B87,"L"))+COUNTIFS(Database!$F:$I,CONCATENATE($B87,AX$68,"W"))+COUNTIFS(Database!$F:$I,CONCATENATE(AX$68,$B87,"W"))),"-")</f>
        <v>-</v>
      </c>
      <c r="AY87" s="122" t="str">
        <f>IFERROR((COUNTIFS(Database!$F:$I,CONCATENATE($B87,AY$68,"W"))+COUNTIFS(Database!$F:$I,CONCATENATE(AY$68,$B87,"W")))/(COUNTIFS(Database!$F:$I,CONCATENATE($B87,AY$68,"L"))+COUNTIFS(Database!$F:$I,CONCATENATE(AY$68,$B87,"L"))+COUNTIFS(Database!$F:$I,CONCATENATE($B87,AY$68,"W"))+COUNTIFS(Database!$F:$I,CONCATENATE(AY$68,$B87,"W"))),"-")</f>
        <v>-</v>
      </c>
    </row>
    <row r="88" spans="2:51" x14ac:dyDescent="0.25">
      <c r="B88" s="120" t="s">
        <v>56</v>
      </c>
      <c r="C88" s="122">
        <f>IFERROR((COUNTIFS(Database!$F:$I,CONCATENATE($B88,C$68,"W"))+COUNTIFS(Database!$F:$I,CONCATENATE(C$68,$B88,"W")))/(COUNTIFS(Database!$F:$I,CONCATENATE($B88,C$68,"L"))+COUNTIFS(Database!$F:$I,CONCATENATE(C$68,$B88,"L"))+COUNTIFS(Database!$F:$I,CONCATENATE($B88,C$68,"W"))+COUNTIFS(Database!$F:$I,CONCATENATE(C$68,$B88,"W"))),"-")</f>
        <v>0</v>
      </c>
      <c r="D88" s="122" t="str">
        <f>IFERROR((COUNTIFS(Database!$F:$I,CONCATENATE($B88,D$68,"W"))+COUNTIFS(Database!$F:$I,CONCATENATE(D$68,$B88,"W")))/(COUNTIFS(Database!$F:$I,CONCATENATE($B88,D$68,"L"))+COUNTIFS(Database!$F:$I,CONCATENATE(D$68,$B88,"L"))+COUNTIFS(Database!$F:$I,CONCATENATE($B88,D$68,"W"))+COUNTIFS(Database!$F:$I,CONCATENATE(D$68,$B88,"W"))),"-")</f>
        <v>-</v>
      </c>
      <c r="E88" s="122">
        <f>IFERROR((COUNTIFS(Database!$F:$I,CONCATENATE($B88,E$68,"W"))+COUNTIFS(Database!$F:$I,CONCATENATE(E$68,$B88,"W")))/(COUNTIFS(Database!$F:$I,CONCATENATE($B88,E$68,"L"))+COUNTIFS(Database!$F:$I,CONCATENATE(E$68,$B88,"L"))+COUNTIFS(Database!$F:$I,CONCATENATE($B88,E$68,"W"))+COUNTIFS(Database!$F:$I,CONCATENATE(E$68,$B88,"W"))),"-")</f>
        <v>0</v>
      </c>
      <c r="F88" s="122" t="str">
        <f>IFERROR((COUNTIFS(Database!$F:$I,CONCATENATE($B88,F$68,"W"))+COUNTIFS(Database!$F:$I,CONCATENATE(F$68,$B88,"W")))/(COUNTIFS(Database!$F:$I,CONCATENATE($B88,F$68,"L"))+COUNTIFS(Database!$F:$I,CONCATENATE(F$68,$B88,"L"))+COUNTIFS(Database!$F:$I,CONCATENATE($B88,F$68,"W"))+COUNTIFS(Database!$F:$I,CONCATENATE(F$68,$B88,"W"))),"-")</f>
        <v>-</v>
      </c>
      <c r="G88" s="122" t="str">
        <f>IFERROR((COUNTIFS(Database!$F:$I,CONCATENATE($B88,G$68,"W"))+COUNTIFS(Database!$F:$I,CONCATENATE(G$68,$B88,"W")))/(COUNTIFS(Database!$F:$I,CONCATENATE($B88,G$68,"L"))+COUNTIFS(Database!$F:$I,CONCATENATE(G$68,$B88,"L"))+COUNTIFS(Database!$F:$I,CONCATENATE($B88,G$68,"W"))+COUNTIFS(Database!$F:$I,CONCATENATE(G$68,$B88,"W"))),"-")</f>
        <v>-</v>
      </c>
      <c r="H88" s="122" t="str">
        <f>IFERROR((COUNTIFS(Database!$F:$I,CONCATENATE($B88,H$68,"W"))+COUNTIFS(Database!$F:$I,CONCATENATE(H$68,$B88,"W")))/(COUNTIFS(Database!$F:$I,CONCATENATE($B88,H$68,"L"))+COUNTIFS(Database!$F:$I,CONCATENATE(H$68,$B88,"L"))+COUNTIFS(Database!$F:$I,CONCATENATE($B88,H$68,"W"))+COUNTIFS(Database!$F:$I,CONCATENATE(H$68,$B88,"W"))),"-")</f>
        <v>-</v>
      </c>
      <c r="I88" s="122" t="str">
        <f>IFERROR((COUNTIFS(Database!$F:$I,CONCATENATE($B88,I$68,"W"))+COUNTIFS(Database!$F:$I,CONCATENATE(I$68,$B88,"W")))/(COUNTIFS(Database!$F:$I,CONCATENATE($B88,I$68,"L"))+COUNTIFS(Database!$F:$I,CONCATENATE(I$68,$B88,"L"))+COUNTIFS(Database!$F:$I,CONCATENATE($B88,I$68,"W"))+COUNTIFS(Database!$F:$I,CONCATENATE(I$68,$B88,"W"))),"-")</f>
        <v>-</v>
      </c>
      <c r="J88" s="122">
        <f>IFERROR((COUNTIFS(Database!$F:$I,CONCATENATE($B88,J$68,"W"))+COUNTIFS(Database!$F:$I,CONCATENATE(J$68,$B88,"W")))/(COUNTIFS(Database!$F:$I,CONCATENATE($B88,J$68,"L"))+COUNTIFS(Database!$F:$I,CONCATENATE(J$68,$B88,"L"))+COUNTIFS(Database!$F:$I,CONCATENATE($B88,J$68,"W"))+COUNTIFS(Database!$F:$I,CONCATENATE(J$68,$B88,"W"))),"-")</f>
        <v>1</v>
      </c>
      <c r="K88" s="122" t="str">
        <f>IFERROR((COUNTIFS(Database!$F:$I,CONCATENATE($B88,K$68,"W"))+COUNTIFS(Database!$F:$I,CONCATENATE(K$68,$B88,"W")))/(COUNTIFS(Database!$F:$I,CONCATENATE($B88,K$68,"L"))+COUNTIFS(Database!$F:$I,CONCATENATE(K$68,$B88,"L"))+COUNTIFS(Database!$F:$I,CONCATENATE($B88,K$68,"W"))+COUNTIFS(Database!$F:$I,CONCATENATE(K$68,$B88,"W"))),"-")</f>
        <v>-</v>
      </c>
      <c r="L88" s="122" t="str">
        <f>IFERROR((COUNTIFS(Database!$F:$I,CONCATENATE($B88,L$68,"W"))+COUNTIFS(Database!$F:$I,CONCATENATE(L$68,$B88,"W")))/(COUNTIFS(Database!$F:$I,CONCATENATE($B88,L$68,"L"))+COUNTIFS(Database!$F:$I,CONCATENATE(L$68,$B88,"L"))+COUNTIFS(Database!$F:$I,CONCATENATE($B88,L$68,"W"))+COUNTIFS(Database!$F:$I,CONCATENATE(L$68,$B88,"W"))),"-")</f>
        <v>-</v>
      </c>
      <c r="M88" s="122" t="str">
        <f>IFERROR((COUNTIFS(Database!$F:$I,CONCATENATE($B88,M$68,"W"))+COUNTIFS(Database!$F:$I,CONCATENATE(M$68,$B88,"W")))/(COUNTIFS(Database!$F:$I,CONCATENATE($B88,M$68,"L"))+COUNTIFS(Database!$F:$I,CONCATENATE(M$68,$B88,"L"))+COUNTIFS(Database!$F:$I,CONCATENATE($B88,M$68,"W"))+COUNTIFS(Database!$F:$I,CONCATENATE(M$68,$B88,"W"))),"-")</f>
        <v>-</v>
      </c>
      <c r="N88" s="122" t="str">
        <f>IFERROR((COUNTIFS(Database!$F:$I,CONCATENATE($B88,N$68,"W"))+COUNTIFS(Database!$F:$I,CONCATENATE(N$68,$B88,"W")))/(COUNTIFS(Database!$F:$I,CONCATENATE($B88,N$68,"L"))+COUNTIFS(Database!$F:$I,CONCATENATE(N$68,$B88,"L"))+COUNTIFS(Database!$F:$I,CONCATENATE($B88,N$68,"W"))+COUNTIFS(Database!$F:$I,CONCATENATE(N$68,$B88,"W"))),"-")</f>
        <v>-</v>
      </c>
      <c r="O88" s="122" t="str">
        <f>IFERROR((COUNTIFS(Database!$F:$I,CONCATENATE($B88,O$68,"W"))+COUNTIFS(Database!$F:$I,CONCATENATE(O$68,$B88,"W")))/(COUNTIFS(Database!$F:$I,CONCATENATE($B88,O$68,"L"))+COUNTIFS(Database!$F:$I,CONCATENATE(O$68,$B88,"L"))+COUNTIFS(Database!$F:$I,CONCATENATE($B88,O$68,"W"))+COUNTIFS(Database!$F:$I,CONCATENATE(O$68,$B88,"W"))),"-")</f>
        <v>-</v>
      </c>
      <c r="P88" s="122" t="str">
        <f>IFERROR((COUNTIFS(Database!$F:$I,CONCATENATE($B88,P$68,"W"))+COUNTIFS(Database!$F:$I,CONCATENATE(P$68,$B88,"W")))/(COUNTIFS(Database!$F:$I,CONCATENATE($B88,P$68,"L"))+COUNTIFS(Database!$F:$I,CONCATENATE(P$68,$B88,"L"))+COUNTIFS(Database!$F:$I,CONCATENATE($B88,P$68,"W"))+COUNTIFS(Database!$F:$I,CONCATENATE(P$68,$B88,"W"))),"-")</f>
        <v>-</v>
      </c>
      <c r="Q88" s="122" t="str">
        <f>IFERROR((COUNTIFS(Database!$F:$I,CONCATENATE($B88,Q$68,"W"))+COUNTIFS(Database!$F:$I,CONCATENATE(Q$68,$B88,"W")))/(COUNTIFS(Database!$F:$I,CONCATENATE($B88,Q$68,"L"))+COUNTIFS(Database!$F:$I,CONCATENATE(Q$68,$B88,"L"))+COUNTIFS(Database!$F:$I,CONCATENATE($B88,Q$68,"W"))+COUNTIFS(Database!$F:$I,CONCATENATE(Q$68,$B88,"W"))),"-")</f>
        <v>-</v>
      </c>
      <c r="R88" s="122" t="str">
        <f>IFERROR((COUNTIFS(Database!$F:$I,CONCATENATE($B88,R$68,"W"))+COUNTIFS(Database!$F:$I,CONCATENATE(R$68,$B88,"W")))/(COUNTIFS(Database!$F:$I,CONCATENATE($B88,R$68,"L"))+COUNTIFS(Database!$F:$I,CONCATENATE(R$68,$B88,"L"))+COUNTIFS(Database!$F:$I,CONCATENATE($B88,R$68,"W"))+COUNTIFS(Database!$F:$I,CONCATENATE(R$68,$B88,"W"))),"-")</f>
        <v>-</v>
      </c>
      <c r="S88" s="122">
        <f>IFERROR((COUNTIFS(Database!$F:$I,CONCATENATE($B88,S$68,"W"))+COUNTIFS(Database!$F:$I,CONCATENATE(S$68,$B88,"W")))/(COUNTIFS(Database!$F:$I,CONCATENATE($B88,S$68,"L"))+COUNTIFS(Database!$F:$I,CONCATENATE(S$68,$B88,"L"))+COUNTIFS(Database!$F:$I,CONCATENATE($B88,S$68,"W"))+COUNTIFS(Database!$F:$I,CONCATENATE(S$68,$B88,"W"))),"-")</f>
        <v>0</v>
      </c>
      <c r="T88" s="122" t="str">
        <f>IFERROR((COUNTIFS(Database!$F:$I,CONCATENATE($B88,T$68,"W"))+COUNTIFS(Database!$F:$I,CONCATENATE(T$68,$B88,"W")))/(COUNTIFS(Database!$F:$I,CONCATENATE($B88,T$68,"L"))+COUNTIFS(Database!$F:$I,CONCATENATE(T$68,$B88,"L"))+COUNTIFS(Database!$F:$I,CONCATENATE($B88,T$68,"W"))+COUNTIFS(Database!$F:$I,CONCATENATE(T$68,$B88,"W"))),"-")</f>
        <v>-</v>
      </c>
      <c r="U88" s="122">
        <f>IFERROR((COUNTIFS(Database!$F:$I,CONCATENATE($B88,U$68,"W"))+COUNTIFS(Database!$F:$I,CONCATENATE(U$68,$B88,"W")))/(COUNTIFS(Database!$F:$I,CONCATENATE($B88,U$68,"L"))+COUNTIFS(Database!$F:$I,CONCATENATE(U$68,$B88,"L"))+COUNTIFS(Database!$F:$I,CONCATENATE($B88,U$68,"W"))+COUNTIFS(Database!$F:$I,CONCATENATE(U$68,$B88,"W"))),"-")</f>
        <v>0</v>
      </c>
      <c r="V88" s="122" t="str">
        <f>IFERROR((COUNTIFS(Database!$F:$I,CONCATENATE($B88,V$68,"W"))+COUNTIFS(Database!$F:$I,CONCATENATE(V$68,$B88,"W")))/(COUNTIFS(Database!$F:$I,CONCATENATE($B88,V$68,"L"))+COUNTIFS(Database!$F:$I,CONCATENATE(V$68,$B88,"L"))+COUNTIFS(Database!$F:$I,CONCATENATE($B88,V$68,"W"))+COUNTIFS(Database!$F:$I,CONCATENATE(V$68,$B88,"W"))),"-")</f>
        <v>-</v>
      </c>
      <c r="W88" s="122">
        <f>IFERROR((COUNTIFS(Database!$F:$I,CONCATENATE($B88,W$68,"W"))+COUNTIFS(Database!$F:$I,CONCATENATE(W$68,$B88,"W")))/(COUNTIFS(Database!$F:$I,CONCATENATE($B88,W$68,"L"))+COUNTIFS(Database!$F:$I,CONCATENATE(W$68,$B88,"L"))+COUNTIFS(Database!$F:$I,CONCATENATE($B88,W$68,"W"))+COUNTIFS(Database!$F:$I,CONCATENATE(W$68,$B88,"W"))),"-")</f>
        <v>0</v>
      </c>
      <c r="X88" s="122" t="str">
        <f>IFERROR((COUNTIFS(Database!$F:$I,CONCATENATE($B88,X$68,"W"))+COUNTIFS(Database!$F:$I,CONCATENATE(X$68,$B88,"W")))/(COUNTIFS(Database!$F:$I,CONCATENATE($B88,X$68,"L"))+COUNTIFS(Database!$F:$I,CONCATENATE(X$68,$B88,"L"))+COUNTIFS(Database!$F:$I,CONCATENATE($B88,X$68,"W"))+COUNTIFS(Database!$F:$I,CONCATENATE(X$68,$B88,"W"))),"-")</f>
        <v>-</v>
      </c>
      <c r="Y88" s="122" t="str">
        <f>IFERROR((COUNTIFS(Database!$F:$I,CONCATENATE($B88,Y$68,"W"))+COUNTIFS(Database!$F:$I,CONCATENATE(Y$68,$B88,"W")))/(COUNTIFS(Database!$F:$I,CONCATENATE($B88,Y$68,"L"))+COUNTIFS(Database!$F:$I,CONCATENATE(Y$68,$B88,"L"))+COUNTIFS(Database!$F:$I,CONCATENATE($B88,Y$68,"W"))+COUNTIFS(Database!$F:$I,CONCATENATE(Y$68,$B88,"W"))),"-")</f>
        <v>-</v>
      </c>
      <c r="Z88" s="122" t="str">
        <f>IFERROR((COUNTIFS(Database!$F:$I,CONCATENATE($B88,Z$68,"W"))+COUNTIFS(Database!$F:$I,CONCATENATE(Z$68,$B88,"W")))/(COUNTIFS(Database!$F:$I,CONCATENATE($B88,Z$68,"L"))+COUNTIFS(Database!$F:$I,CONCATENATE(Z$68,$B88,"L"))+COUNTIFS(Database!$F:$I,CONCATENATE($B88,Z$68,"W"))+COUNTIFS(Database!$F:$I,CONCATENATE(Z$68,$B88,"W"))),"-")</f>
        <v>-</v>
      </c>
      <c r="AA88" s="122" t="str">
        <f>IFERROR((COUNTIFS(Database!$F:$I,CONCATENATE($B88,AA$68,"W"))+COUNTIFS(Database!$F:$I,CONCATENATE(AA$68,$B88,"W")))/(COUNTIFS(Database!$F:$I,CONCATENATE($B88,AA$68,"L"))+COUNTIFS(Database!$F:$I,CONCATENATE(AA$68,$B88,"L"))+COUNTIFS(Database!$F:$I,CONCATENATE($B88,AA$68,"W"))+COUNTIFS(Database!$F:$I,CONCATENATE(AA$68,$B88,"W"))),"-")</f>
        <v>-</v>
      </c>
      <c r="AB88" s="122" t="str">
        <f>IFERROR((COUNTIFS(Database!$F:$I,CONCATENATE($B88,AB$68,"W"))+COUNTIFS(Database!$F:$I,CONCATENATE(AB$68,$B88,"W")))/(COUNTIFS(Database!$F:$I,CONCATENATE($B88,AB$68,"L"))+COUNTIFS(Database!$F:$I,CONCATENATE(AB$68,$B88,"L"))+COUNTIFS(Database!$F:$I,CONCATENATE($B88,AB$68,"W"))+COUNTIFS(Database!$F:$I,CONCATENATE(AB$68,$B88,"W"))),"-")</f>
        <v>-</v>
      </c>
      <c r="AC88" s="122">
        <f>IFERROR((COUNTIFS(Database!$F:$I,CONCATENATE($B88,AC$68,"W"))+COUNTIFS(Database!$F:$I,CONCATENATE(AC$68,$B88,"W")))/(COUNTIFS(Database!$F:$I,CONCATENATE($B88,AC$68,"L"))+COUNTIFS(Database!$F:$I,CONCATENATE(AC$68,$B88,"L"))+COUNTIFS(Database!$F:$I,CONCATENATE($B88,AC$68,"W"))+COUNTIFS(Database!$F:$I,CONCATENATE(AC$68,$B88,"W"))),"-")</f>
        <v>0</v>
      </c>
      <c r="AD88" s="122">
        <f>IFERROR((COUNTIFS(Database!$F:$I,CONCATENATE($B88,AD$68,"W"))+COUNTIFS(Database!$F:$I,CONCATENATE(AD$68,$B88,"W")))/(COUNTIFS(Database!$F:$I,CONCATENATE($B88,AD$68,"L"))+COUNTIFS(Database!$F:$I,CONCATENATE(AD$68,$B88,"L"))+COUNTIFS(Database!$F:$I,CONCATENATE($B88,AD$68,"W"))+COUNTIFS(Database!$F:$I,CONCATENATE(AD$68,$B88,"W"))),"-")</f>
        <v>1</v>
      </c>
      <c r="AE88" s="122" t="str">
        <f>IFERROR((COUNTIFS(Database!$F:$I,CONCATENATE($B88,AE$68,"W"))+COUNTIFS(Database!$F:$I,CONCATENATE(AE$68,$B88,"W")))/(COUNTIFS(Database!$F:$I,CONCATENATE($B88,AE$68,"L"))+COUNTIFS(Database!$F:$I,CONCATENATE(AE$68,$B88,"L"))+COUNTIFS(Database!$F:$I,CONCATENATE($B88,AE$68,"W"))+COUNTIFS(Database!$F:$I,CONCATENATE(AE$68,$B88,"W"))),"-")</f>
        <v>-</v>
      </c>
      <c r="AF88" s="122" t="str">
        <f>IFERROR((COUNTIFS(Database!$F:$I,CONCATENATE($B88,AF$68,"W"))+COUNTIFS(Database!$F:$I,CONCATENATE(AF$68,$B88,"W")))/(COUNTIFS(Database!$F:$I,CONCATENATE($B88,AF$68,"L"))+COUNTIFS(Database!$F:$I,CONCATENATE(AF$68,$B88,"L"))+COUNTIFS(Database!$F:$I,CONCATENATE($B88,AF$68,"W"))+COUNTIFS(Database!$F:$I,CONCATENATE(AF$68,$B88,"W"))),"-")</f>
        <v>-</v>
      </c>
      <c r="AG88" s="122" t="str">
        <f>IFERROR((COUNTIFS(Database!$F:$I,CONCATENATE($B88,AG$68,"W"))+COUNTIFS(Database!$F:$I,CONCATENATE(AG$68,$B88,"W")))/(COUNTIFS(Database!$F:$I,CONCATENATE($B88,AG$68,"L"))+COUNTIFS(Database!$F:$I,CONCATENATE(AG$68,$B88,"L"))+COUNTIFS(Database!$F:$I,CONCATENATE($B88,AG$68,"W"))+COUNTIFS(Database!$F:$I,CONCATENATE(AG$68,$B88,"W"))),"-")</f>
        <v>-</v>
      </c>
      <c r="AH88" s="122" t="str">
        <f>IFERROR((COUNTIFS(Database!$F:$I,CONCATENATE($B88,AH$68,"W"))+COUNTIFS(Database!$F:$I,CONCATENATE(AH$68,$B88,"W")))/(COUNTIFS(Database!$F:$I,CONCATENATE($B88,AH$68,"L"))+COUNTIFS(Database!$F:$I,CONCATENATE(AH$68,$B88,"L"))+COUNTIFS(Database!$F:$I,CONCATENATE($B88,AH$68,"W"))+COUNTIFS(Database!$F:$I,CONCATENATE(AH$68,$B88,"W"))),"-")</f>
        <v>-</v>
      </c>
      <c r="AI88" s="122" t="str">
        <f>IFERROR((COUNTIFS(Database!$F:$I,CONCATENATE($B88,AI$68,"W"))+COUNTIFS(Database!$F:$I,CONCATENATE(AI$68,$B88,"W")))/(COUNTIFS(Database!$F:$I,CONCATENATE($B88,AI$68,"L"))+COUNTIFS(Database!$F:$I,CONCATENATE(AI$68,$B88,"L"))+COUNTIFS(Database!$F:$I,CONCATENATE($B88,AI$68,"W"))+COUNTIFS(Database!$F:$I,CONCATENATE(AI$68,$B88,"W"))),"-")</f>
        <v>-</v>
      </c>
      <c r="AJ88" s="122" t="str">
        <f>IFERROR((COUNTIFS(Database!$F:$I,CONCATENATE($B88,AJ$68,"W"))+COUNTIFS(Database!$F:$I,CONCATENATE(AJ$68,$B88,"W")))/(COUNTIFS(Database!$F:$I,CONCATENATE($B88,AJ$68,"L"))+COUNTIFS(Database!$F:$I,CONCATENATE(AJ$68,$B88,"L"))+COUNTIFS(Database!$F:$I,CONCATENATE($B88,AJ$68,"W"))+COUNTIFS(Database!$F:$I,CONCATENATE(AJ$68,$B88,"W"))),"-")</f>
        <v>-</v>
      </c>
      <c r="AK88" s="122">
        <f>IFERROR((COUNTIFS(Database!$F:$I,CONCATENATE($B88,AK$68,"W"))+COUNTIFS(Database!$F:$I,CONCATENATE(AK$68,$B88,"W")))/(COUNTIFS(Database!$F:$I,CONCATENATE($B88,AK$68,"L"))+COUNTIFS(Database!$F:$I,CONCATENATE(AK$68,$B88,"L"))+COUNTIFS(Database!$F:$I,CONCATENATE($B88,AK$68,"W"))+COUNTIFS(Database!$F:$I,CONCATENATE(AK$68,$B88,"W"))),"-")</f>
        <v>0.5</v>
      </c>
      <c r="AL88" s="122" t="str">
        <f>IFERROR((COUNTIFS(Database!$F:$I,CONCATENATE($B88,AL$68,"W"))+COUNTIFS(Database!$F:$I,CONCATENATE(AL$68,$B88,"W")))/(COUNTIFS(Database!$F:$I,CONCATENATE($B88,AL$68,"L"))+COUNTIFS(Database!$F:$I,CONCATENATE(AL$68,$B88,"L"))+COUNTIFS(Database!$F:$I,CONCATENATE($B88,AL$68,"W"))+COUNTIFS(Database!$F:$I,CONCATENATE(AL$68,$B88,"W"))),"-")</f>
        <v>-</v>
      </c>
      <c r="AM88" s="122" t="str">
        <f>IFERROR((COUNTIFS(Database!$F:$I,CONCATENATE($B88,AM$68,"W"))+COUNTIFS(Database!$F:$I,CONCATENATE(AM$68,$B88,"W")))/(COUNTIFS(Database!$F:$I,CONCATENATE($B88,AM$68,"L"))+COUNTIFS(Database!$F:$I,CONCATENATE(AM$68,$B88,"L"))+COUNTIFS(Database!$F:$I,CONCATENATE($B88,AM$68,"W"))+COUNTIFS(Database!$F:$I,CONCATENATE(AM$68,$B88,"W"))),"-")</f>
        <v>-</v>
      </c>
      <c r="AN88" s="122">
        <f>IFERROR((COUNTIFS(Database!$F:$I,CONCATENATE($B88,AN$68,"W"))+COUNTIFS(Database!$F:$I,CONCATENATE(AN$68,$B88,"W")))/(COUNTIFS(Database!$F:$I,CONCATENATE($B88,AN$68,"L"))+COUNTIFS(Database!$F:$I,CONCATENATE(AN$68,$B88,"L"))+COUNTIFS(Database!$F:$I,CONCATENATE($B88,AN$68,"W"))+COUNTIFS(Database!$F:$I,CONCATENATE(AN$68,$B88,"W"))),"-")</f>
        <v>0</v>
      </c>
      <c r="AO88" s="122" t="str">
        <f>IFERROR((COUNTIFS(Database!$F:$I,CONCATENATE($B88,AO$68,"W"))+COUNTIFS(Database!$F:$I,CONCATENATE(AO$68,$B88,"W")))/(COUNTIFS(Database!$F:$I,CONCATENATE($B88,AO$68,"L"))+COUNTIFS(Database!$F:$I,CONCATENATE(AO$68,$B88,"L"))+COUNTIFS(Database!$F:$I,CONCATENATE($B88,AO$68,"W"))+COUNTIFS(Database!$F:$I,CONCATENATE(AO$68,$B88,"W"))),"-")</f>
        <v>-</v>
      </c>
      <c r="AP88" s="122" t="str">
        <f>IFERROR((COUNTIFS(Database!$F:$I,CONCATENATE($B88,AP$68,"W"))+COUNTIFS(Database!$F:$I,CONCATENATE(AP$68,$B88,"W")))/(COUNTIFS(Database!$F:$I,CONCATENATE($B88,AP$68,"L"))+COUNTIFS(Database!$F:$I,CONCATENATE(AP$68,$B88,"L"))+COUNTIFS(Database!$F:$I,CONCATENATE($B88,AP$68,"W"))+COUNTIFS(Database!$F:$I,CONCATENATE(AP$68,$B88,"W"))),"-")</f>
        <v>-</v>
      </c>
      <c r="AQ88" s="122">
        <f>IFERROR((COUNTIFS(Database!$F:$I,CONCATENATE($B88,AQ$68,"W"))+COUNTIFS(Database!$F:$I,CONCATENATE(AQ$68,$B88,"W")))/(COUNTIFS(Database!$F:$I,CONCATENATE($B88,AQ$68,"L"))+COUNTIFS(Database!$F:$I,CONCATENATE(AQ$68,$B88,"L"))+COUNTIFS(Database!$F:$I,CONCATENATE($B88,AQ$68,"W"))+COUNTIFS(Database!$F:$I,CONCATENATE(AQ$68,$B88,"W"))),"-")</f>
        <v>0</v>
      </c>
      <c r="AR88" s="122">
        <f>IFERROR((COUNTIFS(Database!$F:$I,CONCATENATE($B88,AR$68,"W"))+COUNTIFS(Database!$F:$I,CONCATENATE(AR$68,$B88,"W")))/(COUNTIFS(Database!$F:$I,CONCATENATE($B88,AR$68,"L"))+COUNTIFS(Database!$F:$I,CONCATENATE(AR$68,$B88,"L"))+COUNTIFS(Database!$F:$I,CONCATENATE($B88,AR$68,"W"))+COUNTIFS(Database!$F:$I,CONCATENATE(AR$68,$B88,"W"))),"-")</f>
        <v>0.5</v>
      </c>
      <c r="AS88" s="122" t="str">
        <f>IFERROR((COUNTIFS(Database!$F:$I,CONCATENATE($B88,AS$68,"W"))+COUNTIFS(Database!$F:$I,CONCATENATE(AS$68,$B88,"W")))/(COUNTIFS(Database!$F:$I,CONCATENATE($B88,AS$68,"L"))+COUNTIFS(Database!$F:$I,CONCATENATE(AS$68,$B88,"L"))+COUNTIFS(Database!$F:$I,CONCATENATE($B88,AS$68,"W"))+COUNTIFS(Database!$F:$I,CONCATENATE(AS$68,$B88,"W"))),"-")</f>
        <v>-</v>
      </c>
      <c r="AT88" s="122" t="str">
        <f>IFERROR((COUNTIFS(Database!$F:$I,CONCATENATE($B88,AT$68,"W"))+COUNTIFS(Database!$F:$I,CONCATENATE(AT$68,$B88,"W")))/(COUNTIFS(Database!$F:$I,CONCATENATE($B88,AT$68,"L"))+COUNTIFS(Database!$F:$I,CONCATENATE(AT$68,$B88,"L"))+COUNTIFS(Database!$F:$I,CONCATENATE($B88,AT$68,"W"))+COUNTIFS(Database!$F:$I,CONCATENATE(AT$68,$B88,"W"))),"-")</f>
        <v>-</v>
      </c>
      <c r="AU88" s="122" t="str">
        <f>IFERROR((COUNTIFS(Database!$F:$I,CONCATENATE($B88,AU$68,"W"))+COUNTIFS(Database!$F:$I,CONCATENATE(AU$68,$B88,"W")))/(COUNTIFS(Database!$F:$I,CONCATENATE($B88,AU$68,"L"))+COUNTIFS(Database!$F:$I,CONCATENATE(AU$68,$B88,"L"))+COUNTIFS(Database!$F:$I,CONCATENATE($B88,AU$68,"W"))+COUNTIFS(Database!$F:$I,CONCATENATE(AU$68,$B88,"W"))),"-")</f>
        <v>-</v>
      </c>
      <c r="AV88" s="122" t="str">
        <f>IFERROR((COUNTIFS(Database!$F:$I,CONCATENATE($B88,AV$68,"W"))+COUNTIFS(Database!$F:$I,CONCATENATE(AV$68,$B88,"W")))/(COUNTIFS(Database!$F:$I,CONCATENATE($B88,AV$68,"L"))+COUNTIFS(Database!$F:$I,CONCATENATE(AV$68,$B88,"L"))+COUNTIFS(Database!$F:$I,CONCATENATE($B88,AV$68,"W"))+COUNTIFS(Database!$F:$I,CONCATENATE(AV$68,$B88,"W"))),"-")</f>
        <v>-</v>
      </c>
      <c r="AW88" s="122" t="str">
        <f>IFERROR((COUNTIFS(Database!$F:$I,CONCATENATE($B88,AW$68,"W"))+COUNTIFS(Database!$F:$I,CONCATENATE(AW$68,$B88,"W")))/(COUNTIFS(Database!$F:$I,CONCATENATE($B88,AW$68,"L"))+COUNTIFS(Database!$F:$I,CONCATENATE(AW$68,$B88,"L"))+COUNTIFS(Database!$F:$I,CONCATENATE($B88,AW$68,"W"))+COUNTIFS(Database!$F:$I,CONCATENATE(AW$68,$B88,"W"))),"-")</f>
        <v>-</v>
      </c>
      <c r="AX88" s="122">
        <f>IFERROR((COUNTIFS(Database!$F:$I,CONCATENATE($B88,AX$68,"W"))+COUNTIFS(Database!$F:$I,CONCATENATE(AX$68,$B88,"W")))/(COUNTIFS(Database!$F:$I,CONCATENATE($B88,AX$68,"L"))+COUNTIFS(Database!$F:$I,CONCATENATE(AX$68,$B88,"L"))+COUNTIFS(Database!$F:$I,CONCATENATE($B88,AX$68,"W"))+COUNTIFS(Database!$F:$I,CONCATENATE(AX$68,$B88,"W"))),"-")</f>
        <v>0</v>
      </c>
      <c r="AY88" s="122">
        <f>IFERROR((COUNTIFS(Database!$F:$I,CONCATENATE($B88,AY$68,"W"))+COUNTIFS(Database!$F:$I,CONCATENATE(AY$68,$B88,"W")))/(COUNTIFS(Database!$F:$I,CONCATENATE($B88,AY$68,"L"))+COUNTIFS(Database!$F:$I,CONCATENATE(AY$68,$B88,"L"))+COUNTIFS(Database!$F:$I,CONCATENATE($B88,AY$68,"W"))+COUNTIFS(Database!$F:$I,CONCATENATE(AY$68,$B88,"W"))),"-")</f>
        <v>0</v>
      </c>
    </row>
    <row r="89" spans="2:51" x14ac:dyDescent="0.25">
      <c r="B89" s="120" t="s">
        <v>45</v>
      </c>
      <c r="C89" s="122">
        <f>IFERROR((COUNTIFS(Database!$F:$I,CONCATENATE($B89,C$68,"W"))+COUNTIFS(Database!$F:$I,CONCATENATE(C$68,$B89,"W")))/(COUNTIFS(Database!$F:$I,CONCATENATE($B89,C$68,"L"))+COUNTIFS(Database!$F:$I,CONCATENATE(C$68,$B89,"L"))+COUNTIFS(Database!$F:$I,CONCATENATE($B89,C$68,"W"))+COUNTIFS(Database!$F:$I,CONCATENATE(C$68,$B89,"W"))),"-")</f>
        <v>0.47058823529411764</v>
      </c>
      <c r="D89" s="122">
        <f>IFERROR((COUNTIFS(Database!$F:$I,CONCATENATE($B89,D$68,"W"))+COUNTIFS(Database!$F:$I,CONCATENATE(D$68,$B89,"W")))/(COUNTIFS(Database!$F:$I,CONCATENATE($B89,D$68,"L"))+COUNTIFS(Database!$F:$I,CONCATENATE(D$68,$B89,"L"))+COUNTIFS(Database!$F:$I,CONCATENATE($B89,D$68,"W"))+COUNTIFS(Database!$F:$I,CONCATENATE(D$68,$B89,"W"))),"-")</f>
        <v>1</v>
      </c>
      <c r="E89" s="122">
        <f>IFERROR((COUNTIFS(Database!$F:$I,CONCATENATE($B89,E$68,"W"))+COUNTIFS(Database!$F:$I,CONCATENATE(E$68,$B89,"W")))/(COUNTIFS(Database!$F:$I,CONCATENATE($B89,E$68,"L"))+COUNTIFS(Database!$F:$I,CONCATENATE(E$68,$B89,"L"))+COUNTIFS(Database!$F:$I,CONCATENATE($B89,E$68,"W"))+COUNTIFS(Database!$F:$I,CONCATENATE(E$68,$B89,"W"))),"-")</f>
        <v>0.5714285714285714</v>
      </c>
      <c r="F89" s="122">
        <f>IFERROR((COUNTIFS(Database!$F:$I,CONCATENATE($B89,F$68,"W"))+COUNTIFS(Database!$F:$I,CONCATENATE(F$68,$B89,"W")))/(COUNTIFS(Database!$F:$I,CONCATENATE($B89,F$68,"L"))+COUNTIFS(Database!$F:$I,CONCATENATE(F$68,$B89,"L"))+COUNTIFS(Database!$F:$I,CONCATENATE($B89,F$68,"W"))+COUNTIFS(Database!$F:$I,CONCATENATE(F$68,$B89,"W"))),"-")</f>
        <v>0.25</v>
      </c>
      <c r="G89" s="122">
        <f>IFERROR((COUNTIFS(Database!$F:$I,CONCATENATE($B89,G$68,"W"))+COUNTIFS(Database!$F:$I,CONCATENATE(G$68,$B89,"W")))/(COUNTIFS(Database!$F:$I,CONCATENATE($B89,G$68,"L"))+COUNTIFS(Database!$F:$I,CONCATENATE(G$68,$B89,"L"))+COUNTIFS(Database!$F:$I,CONCATENATE($B89,G$68,"W"))+COUNTIFS(Database!$F:$I,CONCATENATE(G$68,$B89,"W"))),"-")</f>
        <v>0</v>
      </c>
      <c r="H89" s="122" t="str">
        <f>IFERROR((COUNTIFS(Database!$F:$I,CONCATENATE($B89,H$68,"W"))+COUNTIFS(Database!$F:$I,CONCATENATE(H$68,$B89,"W")))/(COUNTIFS(Database!$F:$I,CONCATENATE($B89,H$68,"L"))+COUNTIFS(Database!$F:$I,CONCATENATE(H$68,$B89,"L"))+COUNTIFS(Database!$F:$I,CONCATENATE($B89,H$68,"W"))+COUNTIFS(Database!$F:$I,CONCATENATE(H$68,$B89,"W"))),"-")</f>
        <v>-</v>
      </c>
      <c r="I89" s="122">
        <f>IFERROR((COUNTIFS(Database!$F:$I,CONCATENATE($B89,I$68,"W"))+COUNTIFS(Database!$F:$I,CONCATENATE(I$68,$B89,"W")))/(COUNTIFS(Database!$F:$I,CONCATENATE($B89,I$68,"L"))+COUNTIFS(Database!$F:$I,CONCATENATE(I$68,$B89,"L"))+COUNTIFS(Database!$F:$I,CONCATENATE($B89,I$68,"W"))+COUNTIFS(Database!$F:$I,CONCATENATE(I$68,$B89,"W"))),"-")</f>
        <v>0</v>
      </c>
      <c r="J89" s="122">
        <f>IFERROR((COUNTIFS(Database!$F:$I,CONCATENATE($B89,J$68,"W"))+COUNTIFS(Database!$F:$I,CONCATENATE(J$68,$B89,"W")))/(COUNTIFS(Database!$F:$I,CONCATENATE($B89,J$68,"L"))+COUNTIFS(Database!$F:$I,CONCATENATE(J$68,$B89,"L"))+COUNTIFS(Database!$F:$I,CONCATENATE($B89,J$68,"W"))+COUNTIFS(Database!$F:$I,CONCATENATE(J$68,$B89,"W"))),"-")</f>
        <v>0</v>
      </c>
      <c r="K89" s="122">
        <f>IFERROR((COUNTIFS(Database!$F:$I,CONCATENATE($B89,K$68,"W"))+COUNTIFS(Database!$F:$I,CONCATENATE(K$68,$B89,"W")))/(COUNTIFS(Database!$F:$I,CONCATENATE($B89,K$68,"L"))+COUNTIFS(Database!$F:$I,CONCATENATE(K$68,$B89,"L"))+COUNTIFS(Database!$F:$I,CONCATENATE($B89,K$68,"W"))+COUNTIFS(Database!$F:$I,CONCATENATE(K$68,$B89,"W"))),"-")</f>
        <v>0.5</v>
      </c>
      <c r="L89" s="122">
        <f>IFERROR((COUNTIFS(Database!$F:$I,CONCATENATE($B89,L$68,"W"))+COUNTIFS(Database!$F:$I,CONCATENATE(L$68,$B89,"W")))/(COUNTIFS(Database!$F:$I,CONCATENATE($B89,L$68,"L"))+COUNTIFS(Database!$F:$I,CONCATENATE(L$68,$B89,"L"))+COUNTIFS(Database!$F:$I,CONCATENATE($B89,L$68,"W"))+COUNTIFS(Database!$F:$I,CONCATENATE(L$68,$B89,"W"))),"-")</f>
        <v>1</v>
      </c>
      <c r="M89" s="122" t="str">
        <f>IFERROR((COUNTIFS(Database!$F:$I,CONCATENATE($B89,M$68,"W"))+COUNTIFS(Database!$F:$I,CONCATENATE(M$68,$B89,"W")))/(COUNTIFS(Database!$F:$I,CONCATENATE($B89,M$68,"L"))+COUNTIFS(Database!$F:$I,CONCATENATE(M$68,$B89,"L"))+COUNTIFS(Database!$F:$I,CONCATENATE($B89,M$68,"W"))+COUNTIFS(Database!$F:$I,CONCATENATE(M$68,$B89,"W"))),"-")</f>
        <v>-</v>
      </c>
      <c r="N89" s="122">
        <f>IFERROR((COUNTIFS(Database!$F:$I,CONCATENATE($B89,N$68,"W"))+COUNTIFS(Database!$F:$I,CONCATENATE(N$68,$B89,"W")))/(COUNTIFS(Database!$F:$I,CONCATENATE($B89,N$68,"L"))+COUNTIFS(Database!$F:$I,CONCATENATE(N$68,$B89,"L"))+COUNTIFS(Database!$F:$I,CONCATENATE($B89,N$68,"W"))+COUNTIFS(Database!$F:$I,CONCATENATE(N$68,$B89,"W"))),"-")</f>
        <v>0.5</v>
      </c>
      <c r="O89" s="122">
        <f>IFERROR((COUNTIFS(Database!$F:$I,CONCATENATE($B89,O$68,"W"))+COUNTIFS(Database!$F:$I,CONCATENATE(O$68,$B89,"W")))/(COUNTIFS(Database!$F:$I,CONCATENATE($B89,O$68,"L"))+COUNTIFS(Database!$F:$I,CONCATENATE(O$68,$B89,"L"))+COUNTIFS(Database!$F:$I,CONCATENATE($B89,O$68,"W"))+COUNTIFS(Database!$F:$I,CONCATENATE(O$68,$B89,"W"))),"-")</f>
        <v>0.5</v>
      </c>
      <c r="P89" s="122">
        <f>IFERROR((COUNTIFS(Database!$F:$I,CONCATENATE($B89,P$68,"W"))+COUNTIFS(Database!$F:$I,CONCATENATE(P$68,$B89,"W")))/(COUNTIFS(Database!$F:$I,CONCATENATE($B89,P$68,"L"))+COUNTIFS(Database!$F:$I,CONCATENATE(P$68,$B89,"L"))+COUNTIFS(Database!$F:$I,CONCATENATE($B89,P$68,"W"))+COUNTIFS(Database!$F:$I,CONCATENATE(P$68,$B89,"W"))),"-")</f>
        <v>1</v>
      </c>
      <c r="Q89" s="122" t="str">
        <f>IFERROR((COUNTIFS(Database!$F:$I,CONCATENATE($B89,Q$68,"W"))+COUNTIFS(Database!$F:$I,CONCATENATE(Q$68,$B89,"W")))/(COUNTIFS(Database!$F:$I,CONCATENATE($B89,Q$68,"L"))+COUNTIFS(Database!$F:$I,CONCATENATE(Q$68,$B89,"L"))+COUNTIFS(Database!$F:$I,CONCATENATE($B89,Q$68,"W"))+COUNTIFS(Database!$F:$I,CONCATENATE(Q$68,$B89,"W"))),"-")</f>
        <v>-</v>
      </c>
      <c r="R89" s="122" t="str">
        <f>IFERROR((COUNTIFS(Database!$F:$I,CONCATENATE($B89,R$68,"W"))+COUNTIFS(Database!$F:$I,CONCATENATE(R$68,$B89,"W")))/(COUNTIFS(Database!$F:$I,CONCATENATE($B89,R$68,"L"))+COUNTIFS(Database!$F:$I,CONCATENATE(R$68,$B89,"L"))+COUNTIFS(Database!$F:$I,CONCATENATE($B89,R$68,"W"))+COUNTIFS(Database!$F:$I,CONCATENATE(R$68,$B89,"W"))),"-")</f>
        <v>-</v>
      </c>
      <c r="S89" s="122">
        <f>IFERROR((COUNTIFS(Database!$F:$I,CONCATENATE($B89,S$68,"W"))+COUNTIFS(Database!$F:$I,CONCATENATE(S$68,$B89,"W")))/(COUNTIFS(Database!$F:$I,CONCATENATE($B89,S$68,"L"))+COUNTIFS(Database!$F:$I,CONCATENATE(S$68,$B89,"L"))+COUNTIFS(Database!$F:$I,CONCATENATE($B89,S$68,"W"))+COUNTIFS(Database!$F:$I,CONCATENATE(S$68,$B89,"W"))),"-")</f>
        <v>0</v>
      </c>
      <c r="T89" s="122">
        <f>IFERROR((COUNTIFS(Database!$F:$I,CONCATENATE($B89,T$68,"W"))+COUNTIFS(Database!$F:$I,CONCATENATE(T$68,$B89,"W")))/(COUNTIFS(Database!$F:$I,CONCATENATE($B89,T$68,"L"))+COUNTIFS(Database!$F:$I,CONCATENATE(T$68,$B89,"L"))+COUNTIFS(Database!$F:$I,CONCATENATE($B89,T$68,"W"))+COUNTIFS(Database!$F:$I,CONCATENATE(T$68,$B89,"W"))),"-")</f>
        <v>1</v>
      </c>
      <c r="U89" s="122">
        <f>IFERROR((COUNTIFS(Database!$F:$I,CONCATENATE($B89,U$68,"W"))+COUNTIFS(Database!$F:$I,CONCATENATE(U$68,$B89,"W")))/(COUNTIFS(Database!$F:$I,CONCATENATE($B89,U$68,"L"))+COUNTIFS(Database!$F:$I,CONCATENATE(U$68,$B89,"L"))+COUNTIFS(Database!$F:$I,CONCATENATE($B89,U$68,"W"))+COUNTIFS(Database!$F:$I,CONCATENATE(U$68,$B89,"W"))),"-")</f>
        <v>0</v>
      </c>
      <c r="V89" s="122">
        <f>IFERROR((COUNTIFS(Database!$F:$I,CONCATENATE($B89,V$68,"W"))+COUNTIFS(Database!$F:$I,CONCATENATE(V$68,$B89,"W")))/(COUNTIFS(Database!$F:$I,CONCATENATE($B89,V$68,"L"))+COUNTIFS(Database!$F:$I,CONCATENATE(V$68,$B89,"L"))+COUNTIFS(Database!$F:$I,CONCATENATE($B89,V$68,"W"))+COUNTIFS(Database!$F:$I,CONCATENATE(V$68,$B89,"W"))),"-")</f>
        <v>0</v>
      </c>
      <c r="W89" s="122" t="str">
        <f>IFERROR((COUNTIFS(Database!$F:$I,CONCATENATE($B89,W$68,"W"))+COUNTIFS(Database!$F:$I,CONCATENATE(W$68,$B89,"W")))/(COUNTIFS(Database!$F:$I,CONCATENATE($B89,W$68,"L"))+COUNTIFS(Database!$F:$I,CONCATENATE(W$68,$B89,"L"))+COUNTIFS(Database!$F:$I,CONCATENATE($B89,W$68,"W"))+COUNTIFS(Database!$F:$I,CONCATENATE(W$68,$B89,"W"))),"-")</f>
        <v>-</v>
      </c>
      <c r="X89" s="122">
        <f>IFERROR((COUNTIFS(Database!$F:$I,CONCATENATE($B89,X$68,"W"))+COUNTIFS(Database!$F:$I,CONCATENATE(X$68,$B89,"W")))/(COUNTIFS(Database!$F:$I,CONCATENATE($B89,X$68,"L"))+COUNTIFS(Database!$F:$I,CONCATENATE(X$68,$B89,"L"))+COUNTIFS(Database!$F:$I,CONCATENATE($B89,X$68,"W"))+COUNTIFS(Database!$F:$I,CONCATENATE(X$68,$B89,"W"))),"-")</f>
        <v>0</v>
      </c>
      <c r="Y89" s="122">
        <f>IFERROR((COUNTIFS(Database!$F:$I,CONCATENATE($B89,Y$68,"W"))+COUNTIFS(Database!$F:$I,CONCATENATE(Y$68,$B89,"W")))/(COUNTIFS(Database!$F:$I,CONCATENATE($B89,Y$68,"L"))+COUNTIFS(Database!$F:$I,CONCATENATE(Y$68,$B89,"L"))+COUNTIFS(Database!$F:$I,CONCATENATE($B89,Y$68,"W"))+COUNTIFS(Database!$F:$I,CONCATENATE(Y$68,$B89,"W"))),"-")</f>
        <v>0</v>
      </c>
      <c r="Z89" s="122" t="str">
        <f>IFERROR((COUNTIFS(Database!$F:$I,CONCATENATE($B89,Z$68,"W"))+COUNTIFS(Database!$F:$I,CONCATENATE(Z$68,$B89,"W")))/(COUNTIFS(Database!$F:$I,CONCATENATE($B89,Z$68,"L"))+COUNTIFS(Database!$F:$I,CONCATENATE(Z$68,$B89,"L"))+COUNTIFS(Database!$F:$I,CONCATENATE($B89,Z$68,"W"))+COUNTIFS(Database!$F:$I,CONCATENATE(Z$68,$B89,"W"))),"-")</f>
        <v>-</v>
      </c>
      <c r="AA89" s="122">
        <f>IFERROR((COUNTIFS(Database!$F:$I,CONCATENATE($B89,AA$68,"W"))+COUNTIFS(Database!$F:$I,CONCATENATE(AA$68,$B89,"W")))/(COUNTIFS(Database!$F:$I,CONCATENATE($B89,AA$68,"L"))+COUNTIFS(Database!$F:$I,CONCATENATE(AA$68,$B89,"L"))+COUNTIFS(Database!$F:$I,CONCATENATE($B89,AA$68,"W"))+COUNTIFS(Database!$F:$I,CONCATENATE(AA$68,$B89,"W"))),"-")</f>
        <v>1</v>
      </c>
      <c r="AB89" s="122">
        <f>IFERROR((COUNTIFS(Database!$F:$I,CONCATENATE($B89,AB$68,"W"))+COUNTIFS(Database!$F:$I,CONCATENATE(AB$68,$B89,"W")))/(COUNTIFS(Database!$F:$I,CONCATENATE($B89,AB$68,"L"))+COUNTIFS(Database!$F:$I,CONCATENATE(AB$68,$B89,"L"))+COUNTIFS(Database!$F:$I,CONCATENATE($B89,AB$68,"W"))+COUNTIFS(Database!$F:$I,CONCATENATE(AB$68,$B89,"W"))),"-")</f>
        <v>0.5</v>
      </c>
      <c r="AC89" s="122">
        <f>IFERROR((COUNTIFS(Database!$F:$I,CONCATENATE($B89,AC$68,"W"))+COUNTIFS(Database!$F:$I,CONCATENATE(AC$68,$B89,"W")))/(COUNTIFS(Database!$F:$I,CONCATENATE($B89,AC$68,"L"))+COUNTIFS(Database!$F:$I,CONCATENATE(AC$68,$B89,"L"))+COUNTIFS(Database!$F:$I,CONCATENATE($B89,AC$68,"W"))+COUNTIFS(Database!$F:$I,CONCATENATE(AC$68,$B89,"W"))),"-")</f>
        <v>0.33333333333333331</v>
      </c>
      <c r="AD89" s="122" t="str">
        <f>IFERROR((COUNTIFS(Database!$F:$I,CONCATENATE($B89,AD$68,"W"))+COUNTIFS(Database!$F:$I,CONCATENATE(AD$68,$B89,"W")))/(COUNTIFS(Database!$F:$I,CONCATENATE($B89,AD$68,"L"))+COUNTIFS(Database!$F:$I,CONCATENATE(AD$68,$B89,"L"))+COUNTIFS(Database!$F:$I,CONCATENATE($B89,AD$68,"W"))+COUNTIFS(Database!$F:$I,CONCATENATE(AD$68,$B89,"W"))),"-")</f>
        <v>-</v>
      </c>
      <c r="AE89" s="122" t="str">
        <f>IFERROR((COUNTIFS(Database!$F:$I,CONCATENATE($B89,AE$68,"W"))+COUNTIFS(Database!$F:$I,CONCATENATE(AE$68,$B89,"W")))/(COUNTIFS(Database!$F:$I,CONCATENATE($B89,AE$68,"L"))+COUNTIFS(Database!$F:$I,CONCATENATE(AE$68,$B89,"L"))+COUNTIFS(Database!$F:$I,CONCATENATE($B89,AE$68,"W"))+COUNTIFS(Database!$F:$I,CONCATENATE(AE$68,$B89,"W"))),"-")</f>
        <v>-</v>
      </c>
      <c r="AF89" s="122">
        <f>IFERROR((COUNTIFS(Database!$F:$I,CONCATENATE($B89,AF$68,"W"))+COUNTIFS(Database!$F:$I,CONCATENATE(AF$68,$B89,"W")))/(COUNTIFS(Database!$F:$I,CONCATENATE($B89,AF$68,"L"))+COUNTIFS(Database!$F:$I,CONCATENATE(AF$68,$B89,"L"))+COUNTIFS(Database!$F:$I,CONCATENATE($B89,AF$68,"W"))+COUNTIFS(Database!$F:$I,CONCATENATE(AF$68,$B89,"W"))),"-")</f>
        <v>0.5</v>
      </c>
      <c r="AG89" s="122" t="str">
        <f>IFERROR((COUNTIFS(Database!$F:$I,CONCATENATE($B89,AG$68,"W"))+COUNTIFS(Database!$F:$I,CONCATENATE(AG$68,$B89,"W")))/(COUNTIFS(Database!$F:$I,CONCATENATE($B89,AG$68,"L"))+COUNTIFS(Database!$F:$I,CONCATENATE(AG$68,$B89,"L"))+COUNTIFS(Database!$F:$I,CONCATENATE($B89,AG$68,"W"))+COUNTIFS(Database!$F:$I,CONCATENATE(AG$68,$B89,"W"))),"-")</f>
        <v>-</v>
      </c>
      <c r="AH89" s="122" t="str">
        <f>IFERROR((COUNTIFS(Database!$F:$I,CONCATENATE($B89,AH$68,"W"))+COUNTIFS(Database!$F:$I,CONCATENATE(AH$68,$B89,"W")))/(COUNTIFS(Database!$F:$I,CONCATENATE($B89,AH$68,"L"))+COUNTIFS(Database!$F:$I,CONCATENATE(AH$68,$B89,"L"))+COUNTIFS(Database!$F:$I,CONCATENATE($B89,AH$68,"W"))+COUNTIFS(Database!$F:$I,CONCATENATE(AH$68,$B89,"W"))),"-")</f>
        <v>-</v>
      </c>
      <c r="AI89" s="122">
        <f>IFERROR((COUNTIFS(Database!$F:$I,CONCATENATE($B89,AI$68,"W"))+COUNTIFS(Database!$F:$I,CONCATENATE(AI$68,$B89,"W")))/(COUNTIFS(Database!$F:$I,CONCATENATE($B89,AI$68,"L"))+COUNTIFS(Database!$F:$I,CONCATENATE(AI$68,$B89,"L"))+COUNTIFS(Database!$F:$I,CONCATENATE($B89,AI$68,"W"))+COUNTIFS(Database!$F:$I,CONCATENATE(AI$68,$B89,"W"))),"-")</f>
        <v>0.5</v>
      </c>
      <c r="AJ89" s="122">
        <f>IFERROR((COUNTIFS(Database!$F:$I,CONCATENATE($B89,AJ$68,"W"))+COUNTIFS(Database!$F:$I,CONCATENATE(AJ$68,$B89,"W")))/(COUNTIFS(Database!$F:$I,CONCATENATE($B89,AJ$68,"L"))+COUNTIFS(Database!$F:$I,CONCATENATE(AJ$68,$B89,"L"))+COUNTIFS(Database!$F:$I,CONCATENATE($B89,AJ$68,"W"))+COUNTIFS(Database!$F:$I,CONCATENATE(AJ$68,$B89,"W"))),"-")</f>
        <v>0.25</v>
      </c>
      <c r="AK89" s="122">
        <f>IFERROR((COUNTIFS(Database!$F:$I,CONCATENATE($B89,AK$68,"W"))+COUNTIFS(Database!$F:$I,CONCATENATE(AK$68,$B89,"W")))/(COUNTIFS(Database!$F:$I,CONCATENATE($B89,AK$68,"L"))+COUNTIFS(Database!$F:$I,CONCATENATE(AK$68,$B89,"L"))+COUNTIFS(Database!$F:$I,CONCATENATE($B89,AK$68,"W"))+COUNTIFS(Database!$F:$I,CONCATENATE(AK$68,$B89,"W"))),"-")</f>
        <v>0.42857142857142855</v>
      </c>
      <c r="AL89" s="122">
        <f>IFERROR((COUNTIFS(Database!$F:$I,CONCATENATE($B89,AL$68,"W"))+COUNTIFS(Database!$F:$I,CONCATENATE(AL$68,$B89,"W")))/(COUNTIFS(Database!$F:$I,CONCATENATE($B89,AL$68,"L"))+COUNTIFS(Database!$F:$I,CONCATENATE(AL$68,$B89,"L"))+COUNTIFS(Database!$F:$I,CONCATENATE($B89,AL$68,"W"))+COUNTIFS(Database!$F:$I,CONCATENATE(AL$68,$B89,"W"))),"-")</f>
        <v>0</v>
      </c>
      <c r="AM89" s="122" t="str">
        <f>IFERROR((COUNTIFS(Database!$F:$I,CONCATENATE($B89,AM$68,"W"))+COUNTIFS(Database!$F:$I,CONCATENATE(AM$68,$B89,"W")))/(COUNTIFS(Database!$F:$I,CONCATENATE($B89,AM$68,"L"))+COUNTIFS(Database!$F:$I,CONCATENATE(AM$68,$B89,"L"))+COUNTIFS(Database!$F:$I,CONCATENATE($B89,AM$68,"W"))+COUNTIFS(Database!$F:$I,CONCATENATE(AM$68,$B89,"W"))),"-")</f>
        <v>-</v>
      </c>
      <c r="AN89" s="122">
        <f>IFERROR((COUNTIFS(Database!$F:$I,CONCATENATE($B89,AN$68,"W"))+COUNTIFS(Database!$F:$I,CONCATENATE(AN$68,$B89,"W")))/(COUNTIFS(Database!$F:$I,CONCATENATE($B89,AN$68,"L"))+COUNTIFS(Database!$F:$I,CONCATENATE(AN$68,$B89,"L"))+COUNTIFS(Database!$F:$I,CONCATENATE($B89,AN$68,"W"))+COUNTIFS(Database!$F:$I,CONCATENATE(AN$68,$B89,"W"))),"-")</f>
        <v>0</v>
      </c>
      <c r="AO89" s="122">
        <f>IFERROR((COUNTIFS(Database!$F:$I,CONCATENATE($B89,AO$68,"W"))+COUNTIFS(Database!$F:$I,CONCATENATE(AO$68,$B89,"W")))/(COUNTIFS(Database!$F:$I,CONCATENATE($B89,AO$68,"L"))+COUNTIFS(Database!$F:$I,CONCATENATE(AO$68,$B89,"L"))+COUNTIFS(Database!$F:$I,CONCATENATE($B89,AO$68,"W"))+COUNTIFS(Database!$F:$I,CONCATENATE(AO$68,$B89,"W"))),"-")</f>
        <v>0.66666666666666663</v>
      </c>
      <c r="AP89" s="122">
        <f>IFERROR((COUNTIFS(Database!$F:$I,CONCATENATE($B89,AP$68,"W"))+COUNTIFS(Database!$F:$I,CONCATENATE(AP$68,$B89,"W")))/(COUNTIFS(Database!$F:$I,CONCATENATE($B89,AP$68,"L"))+COUNTIFS(Database!$F:$I,CONCATENATE(AP$68,$B89,"L"))+COUNTIFS(Database!$F:$I,CONCATENATE($B89,AP$68,"W"))+COUNTIFS(Database!$F:$I,CONCATENATE(AP$68,$B89,"W"))),"-")</f>
        <v>0.5</v>
      </c>
      <c r="AQ89" s="122">
        <f>IFERROR((COUNTIFS(Database!$F:$I,CONCATENATE($B89,AQ$68,"W"))+COUNTIFS(Database!$F:$I,CONCATENATE(AQ$68,$B89,"W")))/(COUNTIFS(Database!$F:$I,CONCATENATE($B89,AQ$68,"L"))+COUNTIFS(Database!$F:$I,CONCATENATE(AQ$68,$B89,"L"))+COUNTIFS(Database!$F:$I,CONCATENATE($B89,AQ$68,"W"))+COUNTIFS(Database!$F:$I,CONCATENATE(AQ$68,$B89,"W"))),"-")</f>
        <v>0.33333333333333331</v>
      </c>
      <c r="AR89" s="122">
        <f>IFERROR((COUNTIFS(Database!$F:$I,CONCATENATE($B89,AR$68,"W"))+COUNTIFS(Database!$F:$I,CONCATENATE(AR$68,$B89,"W")))/(COUNTIFS(Database!$F:$I,CONCATENATE($B89,AR$68,"L"))+COUNTIFS(Database!$F:$I,CONCATENATE(AR$68,$B89,"L"))+COUNTIFS(Database!$F:$I,CONCATENATE($B89,AR$68,"W"))+COUNTIFS(Database!$F:$I,CONCATENATE(AR$68,$B89,"W"))),"-")</f>
        <v>0.44444444444444442</v>
      </c>
      <c r="AS89" s="122" t="str">
        <f>IFERROR((COUNTIFS(Database!$F:$I,CONCATENATE($B89,AS$68,"W"))+COUNTIFS(Database!$F:$I,CONCATENATE(AS$68,$B89,"W")))/(COUNTIFS(Database!$F:$I,CONCATENATE($B89,AS$68,"L"))+COUNTIFS(Database!$F:$I,CONCATENATE(AS$68,$B89,"L"))+COUNTIFS(Database!$F:$I,CONCATENATE($B89,AS$68,"W"))+COUNTIFS(Database!$F:$I,CONCATENATE(AS$68,$B89,"W"))),"-")</f>
        <v>-</v>
      </c>
      <c r="AT89" s="122" t="str">
        <f>IFERROR((COUNTIFS(Database!$F:$I,CONCATENATE($B89,AT$68,"W"))+COUNTIFS(Database!$F:$I,CONCATENATE(AT$68,$B89,"W")))/(COUNTIFS(Database!$F:$I,CONCATENATE($B89,AT$68,"L"))+COUNTIFS(Database!$F:$I,CONCATENATE(AT$68,$B89,"L"))+COUNTIFS(Database!$F:$I,CONCATENATE($B89,AT$68,"W"))+COUNTIFS(Database!$F:$I,CONCATENATE(AT$68,$B89,"W"))),"-")</f>
        <v>-</v>
      </c>
      <c r="AU89" s="122">
        <f>IFERROR((COUNTIFS(Database!$F:$I,CONCATENATE($B89,AU$68,"W"))+COUNTIFS(Database!$F:$I,CONCATENATE(AU$68,$B89,"W")))/(COUNTIFS(Database!$F:$I,CONCATENATE($B89,AU$68,"L"))+COUNTIFS(Database!$F:$I,CONCATENATE(AU$68,$B89,"L"))+COUNTIFS(Database!$F:$I,CONCATENATE($B89,AU$68,"W"))+COUNTIFS(Database!$F:$I,CONCATENATE(AU$68,$B89,"W"))),"-")</f>
        <v>0.5</v>
      </c>
      <c r="AV89" s="122">
        <f>IFERROR((COUNTIFS(Database!$F:$I,CONCATENATE($B89,AV$68,"W"))+COUNTIFS(Database!$F:$I,CONCATENATE(AV$68,$B89,"W")))/(COUNTIFS(Database!$F:$I,CONCATENATE($B89,AV$68,"L"))+COUNTIFS(Database!$F:$I,CONCATENATE(AV$68,$B89,"L"))+COUNTIFS(Database!$F:$I,CONCATENATE($B89,AV$68,"W"))+COUNTIFS(Database!$F:$I,CONCATENATE(AV$68,$B89,"W"))),"-")</f>
        <v>0.33333333333333331</v>
      </c>
      <c r="AW89" s="122">
        <f>IFERROR((COUNTIFS(Database!$F:$I,CONCATENATE($B89,AW$68,"W"))+COUNTIFS(Database!$F:$I,CONCATENATE(AW$68,$B89,"W")))/(COUNTIFS(Database!$F:$I,CONCATENATE($B89,AW$68,"L"))+COUNTIFS(Database!$F:$I,CONCATENATE(AW$68,$B89,"L"))+COUNTIFS(Database!$F:$I,CONCATENATE($B89,AW$68,"W"))+COUNTIFS(Database!$F:$I,CONCATENATE(AW$68,$B89,"W"))),"-")</f>
        <v>1</v>
      </c>
      <c r="AX89" s="122">
        <f>IFERROR((COUNTIFS(Database!$F:$I,CONCATENATE($B89,AX$68,"W"))+COUNTIFS(Database!$F:$I,CONCATENATE(AX$68,$B89,"W")))/(COUNTIFS(Database!$F:$I,CONCATENATE($B89,AX$68,"L"))+COUNTIFS(Database!$F:$I,CONCATENATE(AX$68,$B89,"L"))+COUNTIFS(Database!$F:$I,CONCATENATE($B89,AX$68,"W"))+COUNTIFS(Database!$F:$I,CONCATENATE(AX$68,$B89,"W"))),"-")</f>
        <v>0.5</v>
      </c>
      <c r="AY89" s="122">
        <f>IFERROR((COUNTIFS(Database!$F:$I,CONCATENATE($B89,AY$68,"W"))+COUNTIFS(Database!$F:$I,CONCATENATE(AY$68,$B89,"W")))/(COUNTIFS(Database!$F:$I,CONCATENATE($B89,AY$68,"L"))+COUNTIFS(Database!$F:$I,CONCATENATE(AY$68,$B89,"L"))+COUNTIFS(Database!$F:$I,CONCATENATE($B89,AY$68,"W"))+COUNTIFS(Database!$F:$I,CONCATENATE(AY$68,$B89,"W"))),"-")</f>
        <v>0.5</v>
      </c>
    </row>
    <row r="90" spans="2:51" x14ac:dyDescent="0.25">
      <c r="B90" s="120" t="s">
        <v>50</v>
      </c>
      <c r="C90" s="122">
        <f>IFERROR((COUNTIFS(Database!$F:$I,CONCATENATE($B90,C$68,"W"))+COUNTIFS(Database!$F:$I,CONCATENATE(C$68,$B90,"W")))/(COUNTIFS(Database!$F:$I,CONCATENATE($B90,C$68,"L"))+COUNTIFS(Database!$F:$I,CONCATENATE(C$68,$B90,"L"))+COUNTIFS(Database!$F:$I,CONCATENATE($B90,C$68,"W"))+COUNTIFS(Database!$F:$I,CONCATENATE(C$68,$B90,"W"))),"-")</f>
        <v>0</v>
      </c>
      <c r="D90" s="122" t="str">
        <f>IFERROR((COUNTIFS(Database!$F:$I,CONCATENATE($B90,D$68,"W"))+COUNTIFS(Database!$F:$I,CONCATENATE(D$68,$B90,"W")))/(COUNTIFS(Database!$F:$I,CONCATENATE($B90,D$68,"L"))+COUNTIFS(Database!$F:$I,CONCATENATE(D$68,$B90,"L"))+COUNTIFS(Database!$F:$I,CONCATENATE($B90,D$68,"W"))+COUNTIFS(Database!$F:$I,CONCATENATE(D$68,$B90,"W"))),"-")</f>
        <v>-</v>
      </c>
      <c r="E90" s="122" t="str">
        <f>IFERROR((COUNTIFS(Database!$F:$I,CONCATENATE($B90,E$68,"W"))+COUNTIFS(Database!$F:$I,CONCATENATE(E$68,$B90,"W")))/(COUNTIFS(Database!$F:$I,CONCATENATE($B90,E$68,"L"))+COUNTIFS(Database!$F:$I,CONCATENATE(E$68,$B90,"L"))+COUNTIFS(Database!$F:$I,CONCATENATE($B90,E$68,"W"))+COUNTIFS(Database!$F:$I,CONCATENATE(E$68,$B90,"W"))),"-")</f>
        <v>-</v>
      </c>
      <c r="F90" s="122" t="str">
        <f>IFERROR((COUNTIFS(Database!$F:$I,CONCATENATE($B90,F$68,"W"))+COUNTIFS(Database!$F:$I,CONCATENATE(F$68,$B90,"W")))/(COUNTIFS(Database!$F:$I,CONCATENATE($B90,F$68,"L"))+COUNTIFS(Database!$F:$I,CONCATENATE(F$68,$B90,"L"))+COUNTIFS(Database!$F:$I,CONCATENATE($B90,F$68,"W"))+COUNTIFS(Database!$F:$I,CONCATENATE(F$68,$B90,"W"))),"-")</f>
        <v>-</v>
      </c>
      <c r="G90" s="122" t="str">
        <f>IFERROR((COUNTIFS(Database!$F:$I,CONCATENATE($B90,G$68,"W"))+COUNTIFS(Database!$F:$I,CONCATENATE(G$68,$B90,"W")))/(COUNTIFS(Database!$F:$I,CONCATENATE($B90,G$68,"L"))+COUNTIFS(Database!$F:$I,CONCATENATE(G$68,$B90,"L"))+COUNTIFS(Database!$F:$I,CONCATENATE($B90,G$68,"W"))+COUNTIFS(Database!$F:$I,CONCATENATE(G$68,$B90,"W"))),"-")</f>
        <v>-</v>
      </c>
      <c r="H90" s="122" t="str">
        <f>IFERROR((COUNTIFS(Database!$F:$I,CONCATENATE($B90,H$68,"W"))+COUNTIFS(Database!$F:$I,CONCATENATE(H$68,$B90,"W")))/(COUNTIFS(Database!$F:$I,CONCATENATE($B90,H$68,"L"))+COUNTIFS(Database!$F:$I,CONCATENATE(H$68,$B90,"L"))+COUNTIFS(Database!$F:$I,CONCATENATE($B90,H$68,"W"))+COUNTIFS(Database!$F:$I,CONCATENATE(H$68,$B90,"W"))),"-")</f>
        <v>-</v>
      </c>
      <c r="I90" s="122" t="str">
        <f>IFERROR((COUNTIFS(Database!$F:$I,CONCATENATE($B90,I$68,"W"))+COUNTIFS(Database!$F:$I,CONCATENATE(I$68,$B90,"W")))/(COUNTIFS(Database!$F:$I,CONCATENATE($B90,I$68,"L"))+COUNTIFS(Database!$F:$I,CONCATENATE(I$68,$B90,"L"))+COUNTIFS(Database!$F:$I,CONCATENATE($B90,I$68,"W"))+COUNTIFS(Database!$F:$I,CONCATENATE(I$68,$B90,"W"))),"-")</f>
        <v>-</v>
      </c>
      <c r="J90" s="122" t="str">
        <f>IFERROR((COUNTIFS(Database!$F:$I,CONCATENATE($B90,J$68,"W"))+COUNTIFS(Database!$F:$I,CONCATENATE(J$68,$B90,"W")))/(COUNTIFS(Database!$F:$I,CONCATENATE($B90,J$68,"L"))+COUNTIFS(Database!$F:$I,CONCATENATE(J$68,$B90,"L"))+COUNTIFS(Database!$F:$I,CONCATENATE($B90,J$68,"W"))+COUNTIFS(Database!$F:$I,CONCATENATE(J$68,$B90,"W"))),"-")</f>
        <v>-</v>
      </c>
      <c r="K90" s="122" t="str">
        <f>IFERROR((COUNTIFS(Database!$F:$I,CONCATENATE($B90,K$68,"W"))+COUNTIFS(Database!$F:$I,CONCATENATE(K$68,$B90,"W")))/(COUNTIFS(Database!$F:$I,CONCATENATE($B90,K$68,"L"))+COUNTIFS(Database!$F:$I,CONCATENATE(K$68,$B90,"L"))+COUNTIFS(Database!$F:$I,CONCATENATE($B90,K$68,"W"))+COUNTIFS(Database!$F:$I,CONCATENATE(K$68,$B90,"W"))),"-")</f>
        <v>-</v>
      </c>
      <c r="L90" s="122" t="str">
        <f>IFERROR((COUNTIFS(Database!$F:$I,CONCATENATE($B90,L$68,"W"))+COUNTIFS(Database!$F:$I,CONCATENATE(L$68,$B90,"W")))/(COUNTIFS(Database!$F:$I,CONCATENATE($B90,L$68,"L"))+COUNTIFS(Database!$F:$I,CONCATENATE(L$68,$B90,"L"))+COUNTIFS(Database!$F:$I,CONCATENATE($B90,L$68,"W"))+COUNTIFS(Database!$F:$I,CONCATENATE(L$68,$B90,"W"))),"-")</f>
        <v>-</v>
      </c>
      <c r="M90" s="122" t="str">
        <f>IFERROR((COUNTIFS(Database!$F:$I,CONCATENATE($B90,M$68,"W"))+COUNTIFS(Database!$F:$I,CONCATENATE(M$68,$B90,"W")))/(COUNTIFS(Database!$F:$I,CONCATENATE($B90,M$68,"L"))+COUNTIFS(Database!$F:$I,CONCATENATE(M$68,$B90,"L"))+COUNTIFS(Database!$F:$I,CONCATENATE($B90,M$68,"W"))+COUNTIFS(Database!$F:$I,CONCATENATE(M$68,$B90,"W"))),"-")</f>
        <v>-</v>
      </c>
      <c r="N90" s="122" t="str">
        <f>IFERROR((COUNTIFS(Database!$F:$I,CONCATENATE($B90,N$68,"W"))+COUNTIFS(Database!$F:$I,CONCATENATE(N$68,$B90,"W")))/(COUNTIFS(Database!$F:$I,CONCATENATE($B90,N$68,"L"))+COUNTIFS(Database!$F:$I,CONCATENATE(N$68,$B90,"L"))+COUNTIFS(Database!$F:$I,CONCATENATE($B90,N$68,"W"))+COUNTIFS(Database!$F:$I,CONCATENATE(N$68,$B90,"W"))),"-")</f>
        <v>-</v>
      </c>
      <c r="O90" s="122" t="str">
        <f>IFERROR((COUNTIFS(Database!$F:$I,CONCATENATE($B90,O$68,"W"))+COUNTIFS(Database!$F:$I,CONCATENATE(O$68,$B90,"W")))/(COUNTIFS(Database!$F:$I,CONCATENATE($B90,O$68,"L"))+COUNTIFS(Database!$F:$I,CONCATENATE(O$68,$B90,"L"))+COUNTIFS(Database!$F:$I,CONCATENATE($B90,O$68,"W"))+COUNTIFS(Database!$F:$I,CONCATENATE(O$68,$B90,"W"))),"-")</f>
        <v>-</v>
      </c>
      <c r="P90" s="122" t="str">
        <f>IFERROR((COUNTIFS(Database!$F:$I,CONCATENATE($B90,P$68,"W"))+COUNTIFS(Database!$F:$I,CONCATENATE(P$68,$B90,"W")))/(COUNTIFS(Database!$F:$I,CONCATENATE($B90,P$68,"L"))+COUNTIFS(Database!$F:$I,CONCATENATE(P$68,$B90,"L"))+COUNTIFS(Database!$F:$I,CONCATENATE($B90,P$68,"W"))+COUNTIFS(Database!$F:$I,CONCATENATE(P$68,$B90,"W"))),"-")</f>
        <v>-</v>
      </c>
      <c r="Q90" s="122" t="str">
        <f>IFERROR((COUNTIFS(Database!$F:$I,CONCATENATE($B90,Q$68,"W"))+COUNTIFS(Database!$F:$I,CONCATENATE(Q$68,$B90,"W")))/(COUNTIFS(Database!$F:$I,CONCATENATE($B90,Q$68,"L"))+COUNTIFS(Database!$F:$I,CONCATENATE(Q$68,$B90,"L"))+COUNTIFS(Database!$F:$I,CONCATENATE($B90,Q$68,"W"))+COUNTIFS(Database!$F:$I,CONCATENATE(Q$68,$B90,"W"))),"-")</f>
        <v>-</v>
      </c>
      <c r="R90" s="122" t="str">
        <f>IFERROR((COUNTIFS(Database!$F:$I,CONCATENATE($B90,R$68,"W"))+COUNTIFS(Database!$F:$I,CONCATENATE(R$68,$B90,"W")))/(COUNTIFS(Database!$F:$I,CONCATENATE($B90,R$68,"L"))+COUNTIFS(Database!$F:$I,CONCATENATE(R$68,$B90,"L"))+COUNTIFS(Database!$F:$I,CONCATENATE($B90,R$68,"W"))+COUNTIFS(Database!$F:$I,CONCATENATE(R$68,$B90,"W"))),"-")</f>
        <v>-</v>
      </c>
      <c r="S90" s="122">
        <f>IFERROR((COUNTIFS(Database!$F:$I,CONCATENATE($B90,S$68,"W"))+COUNTIFS(Database!$F:$I,CONCATENATE(S$68,$B90,"W")))/(COUNTIFS(Database!$F:$I,CONCATENATE($B90,S$68,"L"))+COUNTIFS(Database!$F:$I,CONCATENATE(S$68,$B90,"L"))+COUNTIFS(Database!$F:$I,CONCATENATE($B90,S$68,"W"))+COUNTIFS(Database!$F:$I,CONCATENATE(S$68,$B90,"W"))),"-")</f>
        <v>0</v>
      </c>
      <c r="T90" s="122" t="str">
        <f>IFERROR((COUNTIFS(Database!$F:$I,CONCATENATE($B90,T$68,"W"))+COUNTIFS(Database!$F:$I,CONCATENATE(T$68,$B90,"W")))/(COUNTIFS(Database!$F:$I,CONCATENATE($B90,T$68,"L"))+COUNTIFS(Database!$F:$I,CONCATENATE(T$68,$B90,"L"))+COUNTIFS(Database!$F:$I,CONCATENATE($B90,T$68,"W"))+COUNTIFS(Database!$F:$I,CONCATENATE(T$68,$B90,"W"))),"-")</f>
        <v>-</v>
      </c>
      <c r="U90" s="122" t="str">
        <f>IFERROR((COUNTIFS(Database!$F:$I,CONCATENATE($B90,U$68,"W"))+COUNTIFS(Database!$F:$I,CONCATENATE(U$68,$B90,"W")))/(COUNTIFS(Database!$F:$I,CONCATENATE($B90,U$68,"L"))+COUNTIFS(Database!$F:$I,CONCATENATE(U$68,$B90,"L"))+COUNTIFS(Database!$F:$I,CONCATENATE($B90,U$68,"W"))+COUNTIFS(Database!$F:$I,CONCATENATE(U$68,$B90,"W"))),"-")</f>
        <v>-</v>
      </c>
      <c r="V90" s="122" t="str">
        <f>IFERROR((COUNTIFS(Database!$F:$I,CONCATENATE($B90,V$68,"W"))+COUNTIFS(Database!$F:$I,CONCATENATE(V$68,$B90,"W")))/(COUNTIFS(Database!$F:$I,CONCATENATE($B90,V$68,"L"))+COUNTIFS(Database!$F:$I,CONCATENATE(V$68,$B90,"L"))+COUNTIFS(Database!$F:$I,CONCATENATE($B90,V$68,"W"))+COUNTIFS(Database!$F:$I,CONCATENATE(V$68,$B90,"W"))),"-")</f>
        <v>-</v>
      </c>
      <c r="W90" s="122">
        <f>IFERROR((COUNTIFS(Database!$F:$I,CONCATENATE($B90,W$68,"W"))+COUNTIFS(Database!$F:$I,CONCATENATE(W$68,$B90,"W")))/(COUNTIFS(Database!$F:$I,CONCATENATE($B90,W$68,"L"))+COUNTIFS(Database!$F:$I,CONCATENATE(W$68,$B90,"L"))+COUNTIFS(Database!$F:$I,CONCATENATE($B90,W$68,"W"))+COUNTIFS(Database!$F:$I,CONCATENATE(W$68,$B90,"W"))),"-")</f>
        <v>0</v>
      </c>
      <c r="X90" s="122" t="str">
        <f>IFERROR((COUNTIFS(Database!$F:$I,CONCATENATE($B90,X$68,"W"))+COUNTIFS(Database!$F:$I,CONCATENATE(X$68,$B90,"W")))/(COUNTIFS(Database!$F:$I,CONCATENATE($B90,X$68,"L"))+COUNTIFS(Database!$F:$I,CONCATENATE(X$68,$B90,"L"))+COUNTIFS(Database!$F:$I,CONCATENATE($B90,X$68,"W"))+COUNTIFS(Database!$F:$I,CONCATENATE(X$68,$B90,"W"))),"-")</f>
        <v>-</v>
      </c>
      <c r="Y90" s="122" t="str">
        <f>IFERROR((COUNTIFS(Database!$F:$I,CONCATENATE($B90,Y$68,"W"))+COUNTIFS(Database!$F:$I,CONCATENATE(Y$68,$B90,"W")))/(COUNTIFS(Database!$F:$I,CONCATENATE($B90,Y$68,"L"))+COUNTIFS(Database!$F:$I,CONCATENATE(Y$68,$B90,"L"))+COUNTIFS(Database!$F:$I,CONCATENATE($B90,Y$68,"W"))+COUNTIFS(Database!$F:$I,CONCATENATE(Y$68,$B90,"W"))),"-")</f>
        <v>-</v>
      </c>
      <c r="Z90" s="122" t="str">
        <f>IFERROR((COUNTIFS(Database!$F:$I,CONCATENATE($B90,Z$68,"W"))+COUNTIFS(Database!$F:$I,CONCATENATE(Z$68,$B90,"W")))/(COUNTIFS(Database!$F:$I,CONCATENATE($B90,Z$68,"L"))+COUNTIFS(Database!$F:$I,CONCATENATE(Z$68,$B90,"L"))+COUNTIFS(Database!$F:$I,CONCATENATE($B90,Z$68,"W"))+COUNTIFS(Database!$F:$I,CONCATENATE(Z$68,$B90,"W"))),"-")</f>
        <v>-</v>
      </c>
      <c r="AA90" s="122">
        <f>IFERROR((COUNTIFS(Database!$F:$I,CONCATENATE($B90,AA$68,"W"))+COUNTIFS(Database!$F:$I,CONCATENATE(AA$68,$B90,"W")))/(COUNTIFS(Database!$F:$I,CONCATENATE($B90,AA$68,"L"))+COUNTIFS(Database!$F:$I,CONCATENATE(AA$68,$B90,"L"))+COUNTIFS(Database!$F:$I,CONCATENATE($B90,AA$68,"W"))+COUNTIFS(Database!$F:$I,CONCATENATE(AA$68,$B90,"W"))),"-")</f>
        <v>1</v>
      </c>
      <c r="AB90" s="122" t="str">
        <f>IFERROR((COUNTIFS(Database!$F:$I,CONCATENATE($B90,AB$68,"W"))+COUNTIFS(Database!$F:$I,CONCATENATE(AB$68,$B90,"W")))/(COUNTIFS(Database!$F:$I,CONCATENATE($B90,AB$68,"L"))+COUNTIFS(Database!$F:$I,CONCATENATE(AB$68,$B90,"L"))+COUNTIFS(Database!$F:$I,CONCATENATE($B90,AB$68,"W"))+COUNTIFS(Database!$F:$I,CONCATENATE(AB$68,$B90,"W"))),"-")</f>
        <v>-</v>
      </c>
      <c r="AC90" s="122">
        <f>IFERROR((COUNTIFS(Database!$F:$I,CONCATENATE($B90,AC$68,"W"))+COUNTIFS(Database!$F:$I,CONCATENATE(AC$68,$B90,"W")))/(COUNTIFS(Database!$F:$I,CONCATENATE($B90,AC$68,"L"))+COUNTIFS(Database!$F:$I,CONCATENATE(AC$68,$B90,"L"))+COUNTIFS(Database!$F:$I,CONCATENATE($B90,AC$68,"W"))+COUNTIFS(Database!$F:$I,CONCATENATE(AC$68,$B90,"W"))),"-")</f>
        <v>0.5</v>
      </c>
      <c r="AD90" s="122" t="str">
        <f>IFERROR((COUNTIFS(Database!$F:$I,CONCATENATE($B90,AD$68,"W"))+COUNTIFS(Database!$F:$I,CONCATENATE(AD$68,$B90,"W")))/(COUNTIFS(Database!$F:$I,CONCATENATE($B90,AD$68,"L"))+COUNTIFS(Database!$F:$I,CONCATENATE(AD$68,$B90,"L"))+COUNTIFS(Database!$F:$I,CONCATENATE($B90,AD$68,"W"))+COUNTIFS(Database!$F:$I,CONCATENATE(AD$68,$B90,"W"))),"-")</f>
        <v>-</v>
      </c>
      <c r="AE90" s="122" t="str">
        <f>IFERROR((COUNTIFS(Database!$F:$I,CONCATENATE($B90,AE$68,"W"))+COUNTIFS(Database!$F:$I,CONCATENATE(AE$68,$B90,"W")))/(COUNTIFS(Database!$F:$I,CONCATENATE($B90,AE$68,"L"))+COUNTIFS(Database!$F:$I,CONCATENATE(AE$68,$B90,"L"))+COUNTIFS(Database!$F:$I,CONCATENATE($B90,AE$68,"W"))+COUNTIFS(Database!$F:$I,CONCATENATE(AE$68,$B90,"W"))),"-")</f>
        <v>-</v>
      </c>
      <c r="AF90" s="122" t="str">
        <f>IFERROR((COUNTIFS(Database!$F:$I,CONCATENATE($B90,AF$68,"W"))+COUNTIFS(Database!$F:$I,CONCATENATE(AF$68,$B90,"W")))/(COUNTIFS(Database!$F:$I,CONCATENATE($B90,AF$68,"L"))+COUNTIFS(Database!$F:$I,CONCATENATE(AF$68,$B90,"L"))+COUNTIFS(Database!$F:$I,CONCATENATE($B90,AF$68,"W"))+COUNTIFS(Database!$F:$I,CONCATENATE(AF$68,$B90,"W"))),"-")</f>
        <v>-</v>
      </c>
      <c r="AG90" s="122" t="str">
        <f>IFERROR((COUNTIFS(Database!$F:$I,CONCATENATE($B90,AG$68,"W"))+COUNTIFS(Database!$F:$I,CONCATENATE(AG$68,$B90,"W")))/(COUNTIFS(Database!$F:$I,CONCATENATE($B90,AG$68,"L"))+COUNTIFS(Database!$F:$I,CONCATENATE(AG$68,$B90,"L"))+COUNTIFS(Database!$F:$I,CONCATENATE($B90,AG$68,"W"))+COUNTIFS(Database!$F:$I,CONCATENATE(AG$68,$B90,"W"))),"-")</f>
        <v>-</v>
      </c>
      <c r="AH90" s="122" t="str">
        <f>IFERROR((COUNTIFS(Database!$F:$I,CONCATENATE($B90,AH$68,"W"))+COUNTIFS(Database!$F:$I,CONCATENATE(AH$68,$B90,"W")))/(COUNTIFS(Database!$F:$I,CONCATENATE($B90,AH$68,"L"))+COUNTIFS(Database!$F:$I,CONCATENATE(AH$68,$B90,"L"))+COUNTIFS(Database!$F:$I,CONCATENATE($B90,AH$68,"W"))+COUNTIFS(Database!$F:$I,CONCATENATE(AH$68,$B90,"W"))),"-")</f>
        <v>-</v>
      </c>
      <c r="AI90" s="122">
        <f>IFERROR((COUNTIFS(Database!$F:$I,CONCATENATE($B90,AI$68,"W"))+COUNTIFS(Database!$F:$I,CONCATENATE(AI$68,$B90,"W")))/(COUNTIFS(Database!$F:$I,CONCATENATE($B90,AI$68,"L"))+COUNTIFS(Database!$F:$I,CONCATENATE(AI$68,$B90,"L"))+COUNTIFS(Database!$F:$I,CONCATENATE($B90,AI$68,"W"))+COUNTIFS(Database!$F:$I,CONCATENATE(AI$68,$B90,"W"))),"-")</f>
        <v>0</v>
      </c>
      <c r="AJ90" s="122">
        <f>IFERROR((COUNTIFS(Database!$F:$I,CONCATENATE($B90,AJ$68,"W"))+COUNTIFS(Database!$F:$I,CONCATENATE(AJ$68,$B90,"W")))/(COUNTIFS(Database!$F:$I,CONCATENATE($B90,AJ$68,"L"))+COUNTIFS(Database!$F:$I,CONCATENATE(AJ$68,$B90,"L"))+COUNTIFS(Database!$F:$I,CONCATENATE($B90,AJ$68,"W"))+COUNTIFS(Database!$F:$I,CONCATENATE(AJ$68,$B90,"W"))),"-")</f>
        <v>1</v>
      </c>
      <c r="AK90" s="122">
        <f>IFERROR((COUNTIFS(Database!$F:$I,CONCATENATE($B90,AK$68,"W"))+COUNTIFS(Database!$F:$I,CONCATENATE(AK$68,$B90,"W")))/(COUNTIFS(Database!$F:$I,CONCATENATE($B90,AK$68,"L"))+COUNTIFS(Database!$F:$I,CONCATENATE(AK$68,$B90,"L"))+COUNTIFS(Database!$F:$I,CONCATENATE($B90,AK$68,"W"))+COUNTIFS(Database!$F:$I,CONCATENATE(AK$68,$B90,"W"))),"-")</f>
        <v>0</v>
      </c>
      <c r="AL90" s="122" t="str">
        <f>IFERROR((COUNTIFS(Database!$F:$I,CONCATENATE($B90,AL$68,"W"))+COUNTIFS(Database!$F:$I,CONCATENATE(AL$68,$B90,"W")))/(COUNTIFS(Database!$F:$I,CONCATENATE($B90,AL$68,"L"))+COUNTIFS(Database!$F:$I,CONCATENATE(AL$68,$B90,"L"))+COUNTIFS(Database!$F:$I,CONCATENATE($B90,AL$68,"W"))+COUNTIFS(Database!$F:$I,CONCATENATE(AL$68,$B90,"W"))),"-")</f>
        <v>-</v>
      </c>
      <c r="AM90" s="122" t="str">
        <f>IFERROR((COUNTIFS(Database!$F:$I,CONCATENATE($B90,AM$68,"W"))+COUNTIFS(Database!$F:$I,CONCATENATE(AM$68,$B90,"W")))/(COUNTIFS(Database!$F:$I,CONCATENATE($B90,AM$68,"L"))+COUNTIFS(Database!$F:$I,CONCATENATE(AM$68,$B90,"L"))+COUNTIFS(Database!$F:$I,CONCATENATE($B90,AM$68,"W"))+COUNTIFS(Database!$F:$I,CONCATENATE(AM$68,$B90,"W"))),"-")</f>
        <v>-</v>
      </c>
      <c r="AN90" s="122" t="str">
        <f>IFERROR((COUNTIFS(Database!$F:$I,CONCATENATE($B90,AN$68,"W"))+COUNTIFS(Database!$F:$I,CONCATENATE(AN$68,$B90,"W")))/(COUNTIFS(Database!$F:$I,CONCATENATE($B90,AN$68,"L"))+COUNTIFS(Database!$F:$I,CONCATENATE(AN$68,$B90,"L"))+COUNTIFS(Database!$F:$I,CONCATENATE($B90,AN$68,"W"))+COUNTIFS(Database!$F:$I,CONCATENATE(AN$68,$B90,"W"))),"-")</f>
        <v>-</v>
      </c>
      <c r="AO90" s="122">
        <f>IFERROR((COUNTIFS(Database!$F:$I,CONCATENATE($B90,AO$68,"W"))+COUNTIFS(Database!$F:$I,CONCATENATE(AO$68,$B90,"W")))/(COUNTIFS(Database!$F:$I,CONCATENATE($B90,AO$68,"L"))+COUNTIFS(Database!$F:$I,CONCATENATE(AO$68,$B90,"L"))+COUNTIFS(Database!$F:$I,CONCATENATE($B90,AO$68,"W"))+COUNTIFS(Database!$F:$I,CONCATENATE(AO$68,$B90,"W"))),"-")</f>
        <v>0</v>
      </c>
      <c r="AP90" s="122" t="str">
        <f>IFERROR((COUNTIFS(Database!$F:$I,CONCATENATE($B90,AP$68,"W"))+COUNTIFS(Database!$F:$I,CONCATENATE(AP$68,$B90,"W")))/(COUNTIFS(Database!$F:$I,CONCATENATE($B90,AP$68,"L"))+COUNTIFS(Database!$F:$I,CONCATENATE(AP$68,$B90,"L"))+COUNTIFS(Database!$F:$I,CONCATENATE($B90,AP$68,"W"))+COUNTIFS(Database!$F:$I,CONCATENATE(AP$68,$B90,"W"))),"-")</f>
        <v>-</v>
      </c>
      <c r="AQ90" s="122" t="str">
        <f>IFERROR((COUNTIFS(Database!$F:$I,CONCATENATE($B90,AQ$68,"W"))+COUNTIFS(Database!$F:$I,CONCATENATE(AQ$68,$B90,"W")))/(COUNTIFS(Database!$F:$I,CONCATENATE($B90,AQ$68,"L"))+COUNTIFS(Database!$F:$I,CONCATENATE(AQ$68,$B90,"L"))+COUNTIFS(Database!$F:$I,CONCATENATE($B90,AQ$68,"W"))+COUNTIFS(Database!$F:$I,CONCATENATE(AQ$68,$B90,"W"))),"-")</f>
        <v>-</v>
      </c>
      <c r="AR90" s="122" t="str">
        <f>IFERROR((COUNTIFS(Database!$F:$I,CONCATENATE($B90,AR$68,"W"))+COUNTIFS(Database!$F:$I,CONCATENATE(AR$68,$B90,"W")))/(COUNTIFS(Database!$F:$I,CONCATENATE($B90,AR$68,"L"))+COUNTIFS(Database!$F:$I,CONCATENATE(AR$68,$B90,"L"))+COUNTIFS(Database!$F:$I,CONCATENATE($B90,AR$68,"W"))+COUNTIFS(Database!$F:$I,CONCATENATE(AR$68,$B90,"W"))),"-")</f>
        <v>-</v>
      </c>
      <c r="AS90" s="122" t="str">
        <f>IFERROR((COUNTIFS(Database!$F:$I,CONCATENATE($B90,AS$68,"W"))+COUNTIFS(Database!$F:$I,CONCATENATE(AS$68,$B90,"W")))/(COUNTIFS(Database!$F:$I,CONCATENATE($B90,AS$68,"L"))+COUNTIFS(Database!$F:$I,CONCATENATE(AS$68,$B90,"L"))+COUNTIFS(Database!$F:$I,CONCATENATE($B90,AS$68,"W"))+COUNTIFS(Database!$F:$I,CONCATENATE(AS$68,$B90,"W"))),"-")</f>
        <v>-</v>
      </c>
      <c r="AT90" s="122" t="str">
        <f>IFERROR((COUNTIFS(Database!$F:$I,CONCATENATE($B90,AT$68,"W"))+COUNTIFS(Database!$F:$I,CONCATENATE(AT$68,$B90,"W")))/(COUNTIFS(Database!$F:$I,CONCATENATE($B90,AT$68,"L"))+COUNTIFS(Database!$F:$I,CONCATENATE(AT$68,$B90,"L"))+COUNTIFS(Database!$F:$I,CONCATENATE($B90,AT$68,"W"))+COUNTIFS(Database!$F:$I,CONCATENATE(AT$68,$B90,"W"))),"-")</f>
        <v>-</v>
      </c>
      <c r="AU90" s="122" t="str">
        <f>IFERROR((COUNTIFS(Database!$F:$I,CONCATENATE($B90,AU$68,"W"))+COUNTIFS(Database!$F:$I,CONCATENATE(AU$68,$B90,"W")))/(COUNTIFS(Database!$F:$I,CONCATENATE($B90,AU$68,"L"))+COUNTIFS(Database!$F:$I,CONCATENATE(AU$68,$B90,"L"))+COUNTIFS(Database!$F:$I,CONCATENATE($B90,AU$68,"W"))+COUNTIFS(Database!$F:$I,CONCATENATE(AU$68,$B90,"W"))),"-")</f>
        <v>-</v>
      </c>
      <c r="AV90" s="122">
        <f>IFERROR((COUNTIFS(Database!$F:$I,CONCATENATE($B90,AV$68,"W"))+COUNTIFS(Database!$F:$I,CONCATENATE(AV$68,$B90,"W")))/(COUNTIFS(Database!$F:$I,CONCATENATE($B90,AV$68,"L"))+COUNTIFS(Database!$F:$I,CONCATENATE(AV$68,$B90,"L"))+COUNTIFS(Database!$F:$I,CONCATENATE($B90,AV$68,"W"))+COUNTIFS(Database!$F:$I,CONCATENATE(AV$68,$B90,"W"))),"-")</f>
        <v>0</v>
      </c>
      <c r="AW90" s="122">
        <f>IFERROR((COUNTIFS(Database!$F:$I,CONCATENATE($B90,AW$68,"W"))+COUNTIFS(Database!$F:$I,CONCATENATE(AW$68,$B90,"W")))/(COUNTIFS(Database!$F:$I,CONCATENATE($B90,AW$68,"L"))+COUNTIFS(Database!$F:$I,CONCATENATE(AW$68,$B90,"L"))+COUNTIFS(Database!$F:$I,CONCATENATE($B90,AW$68,"W"))+COUNTIFS(Database!$F:$I,CONCATENATE(AW$68,$B90,"W"))),"-")</f>
        <v>1</v>
      </c>
      <c r="AX90" s="122" t="str">
        <f>IFERROR((COUNTIFS(Database!$F:$I,CONCATENATE($B90,AX$68,"W"))+COUNTIFS(Database!$F:$I,CONCATENATE(AX$68,$B90,"W")))/(COUNTIFS(Database!$F:$I,CONCATENATE($B90,AX$68,"L"))+COUNTIFS(Database!$F:$I,CONCATENATE(AX$68,$B90,"L"))+COUNTIFS(Database!$F:$I,CONCATENATE($B90,AX$68,"W"))+COUNTIFS(Database!$F:$I,CONCATENATE(AX$68,$B90,"W"))),"-")</f>
        <v>-</v>
      </c>
      <c r="AY90" s="122" t="str">
        <f>IFERROR((COUNTIFS(Database!$F:$I,CONCATENATE($B90,AY$68,"W"))+COUNTIFS(Database!$F:$I,CONCATENATE(AY$68,$B90,"W")))/(COUNTIFS(Database!$F:$I,CONCATENATE($B90,AY$68,"L"))+COUNTIFS(Database!$F:$I,CONCATENATE(AY$68,$B90,"L"))+COUNTIFS(Database!$F:$I,CONCATENATE($B90,AY$68,"W"))+COUNTIFS(Database!$F:$I,CONCATENATE(AY$68,$B90,"W"))),"-")</f>
        <v>-</v>
      </c>
    </row>
    <row r="91" spans="2:51" x14ac:dyDescent="0.25">
      <c r="B91" s="120" t="s">
        <v>60</v>
      </c>
      <c r="C91" s="122">
        <f>IFERROR((COUNTIFS(Database!$F:$I,CONCATENATE($B91,C$68,"W"))+COUNTIFS(Database!$F:$I,CONCATENATE(C$68,$B91,"W")))/(COUNTIFS(Database!$F:$I,CONCATENATE($B91,C$68,"L"))+COUNTIFS(Database!$F:$I,CONCATENATE(C$68,$B91,"L"))+COUNTIFS(Database!$F:$I,CONCATENATE($B91,C$68,"W"))+COUNTIFS(Database!$F:$I,CONCATENATE(C$68,$B91,"W"))),"-")</f>
        <v>0.66666666666666663</v>
      </c>
      <c r="D91" s="122" t="str">
        <f>IFERROR((COUNTIFS(Database!$F:$I,CONCATENATE($B91,D$68,"W"))+COUNTIFS(Database!$F:$I,CONCATENATE(D$68,$B91,"W")))/(COUNTIFS(Database!$F:$I,CONCATENATE($B91,D$68,"L"))+COUNTIFS(Database!$F:$I,CONCATENATE(D$68,$B91,"L"))+COUNTIFS(Database!$F:$I,CONCATENATE($B91,D$68,"W"))+COUNTIFS(Database!$F:$I,CONCATENATE(D$68,$B91,"W"))),"-")</f>
        <v>-</v>
      </c>
      <c r="E91" s="122">
        <f>IFERROR((COUNTIFS(Database!$F:$I,CONCATENATE($B91,E$68,"W"))+COUNTIFS(Database!$F:$I,CONCATENATE(E$68,$B91,"W")))/(COUNTIFS(Database!$F:$I,CONCATENATE($B91,E$68,"L"))+COUNTIFS(Database!$F:$I,CONCATENATE(E$68,$B91,"L"))+COUNTIFS(Database!$F:$I,CONCATENATE($B91,E$68,"W"))+COUNTIFS(Database!$F:$I,CONCATENATE(E$68,$B91,"W"))),"-")</f>
        <v>0.5</v>
      </c>
      <c r="F91" s="122">
        <f>IFERROR((COUNTIFS(Database!$F:$I,CONCATENATE($B91,F$68,"W"))+COUNTIFS(Database!$F:$I,CONCATENATE(F$68,$B91,"W")))/(COUNTIFS(Database!$F:$I,CONCATENATE($B91,F$68,"L"))+COUNTIFS(Database!$F:$I,CONCATENATE(F$68,$B91,"L"))+COUNTIFS(Database!$F:$I,CONCATENATE($B91,F$68,"W"))+COUNTIFS(Database!$F:$I,CONCATENATE(F$68,$B91,"W"))),"-")</f>
        <v>0</v>
      </c>
      <c r="G91" s="122" t="str">
        <f>IFERROR((COUNTIFS(Database!$F:$I,CONCATENATE($B91,G$68,"W"))+COUNTIFS(Database!$F:$I,CONCATENATE(G$68,$B91,"W")))/(COUNTIFS(Database!$F:$I,CONCATENATE($B91,G$68,"L"))+COUNTIFS(Database!$F:$I,CONCATENATE(G$68,$B91,"L"))+COUNTIFS(Database!$F:$I,CONCATENATE($B91,G$68,"W"))+COUNTIFS(Database!$F:$I,CONCATENATE(G$68,$B91,"W"))),"-")</f>
        <v>-</v>
      </c>
      <c r="H91" s="122" t="str">
        <f>IFERROR((COUNTIFS(Database!$F:$I,CONCATENATE($B91,H$68,"W"))+COUNTIFS(Database!$F:$I,CONCATENATE(H$68,$B91,"W")))/(COUNTIFS(Database!$F:$I,CONCATENATE($B91,H$68,"L"))+COUNTIFS(Database!$F:$I,CONCATENATE(H$68,$B91,"L"))+COUNTIFS(Database!$F:$I,CONCATENATE($B91,H$68,"W"))+COUNTIFS(Database!$F:$I,CONCATENATE(H$68,$B91,"W"))),"-")</f>
        <v>-</v>
      </c>
      <c r="I91" s="122" t="str">
        <f>IFERROR((COUNTIFS(Database!$F:$I,CONCATENATE($B91,I$68,"W"))+COUNTIFS(Database!$F:$I,CONCATENATE(I$68,$B91,"W")))/(COUNTIFS(Database!$F:$I,CONCATENATE($B91,I$68,"L"))+COUNTIFS(Database!$F:$I,CONCATENATE(I$68,$B91,"L"))+COUNTIFS(Database!$F:$I,CONCATENATE($B91,I$68,"W"))+COUNTIFS(Database!$F:$I,CONCATENATE(I$68,$B91,"W"))),"-")</f>
        <v>-</v>
      </c>
      <c r="J91" s="122" t="str">
        <f>IFERROR((COUNTIFS(Database!$F:$I,CONCATENATE($B91,J$68,"W"))+COUNTIFS(Database!$F:$I,CONCATENATE(J$68,$B91,"W")))/(COUNTIFS(Database!$F:$I,CONCATENATE($B91,J$68,"L"))+COUNTIFS(Database!$F:$I,CONCATENATE(J$68,$B91,"L"))+COUNTIFS(Database!$F:$I,CONCATENATE($B91,J$68,"W"))+COUNTIFS(Database!$F:$I,CONCATENATE(J$68,$B91,"W"))),"-")</f>
        <v>-</v>
      </c>
      <c r="K91" s="122">
        <f>IFERROR((COUNTIFS(Database!$F:$I,CONCATENATE($B91,K$68,"W"))+COUNTIFS(Database!$F:$I,CONCATENATE(K$68,$B91,"W")))/(COUNTIFS(Database!$F:$I,CONCATENATE($B91,K$68,"L"))+COUNTIFS(Database!$F:$I,CONCATENATE(K$68,$B91,"L"))+COUNTIFS(Database!$F:$I,CONCATENATE($B91,K$68,"W"))+COUNTIFS(Database!$F:$I,CONCATENATE(K$68,$B91,"W"))),"-")</f>
        <v>0</v>
      </c>
      <c r="L91" s="122">
        <f>IFERROR((COUNTIFS(Database!$F:$I,CONCATENATE($B91,L$68,"W"))+COUNTIFS(Database!$F:$I,CONCATENATE(L$68,$B91,"W")))/(COUNTIFS(Database!$F:$I,CONCATENATE($B91,L$68,"L"))+COUNTIFS(Database!$F:$I,CONCATENATE(L$68,$B91,"L"))+COUNTIFS(Database!$F:$I,CONCATENATE($B91,L$68,"W"))+COUNTIFS(Database!$F:$I,CONCATENATE(L$68,$B91,"W"))),"-")</f>
        <v>0</v>
      </c>
      <c r="M91" s="122" t="str">
        <f>IFERROR((COUNTIFS(Database!$F:$I,CONCATENATE($B91,M$68,"W"))+COUNTIFS(Database!$F:$I,CONCATENATE(M$68,$B91,"W")))/(COUNTIFS(Database!$F:$I,CONCATENATE($B91,M$68,"L"))+COUNTIFS(Database!$F:$I,CONCATENATE(M$68,$B91,"L"))+COUNTIFS(Database!$F:$I,CONCATENATE($B91,M$68,"W"))+COUNTIFS(Database!$F:$I,CONCATENATE(M$68,$B91,"W"))),"-")</f>
        <v>-</v>
      </c>
      <c r="N91" s="122" t="str">
        <f>IFERROR((COUNTIFS(Database!$F:$I,CONCATENATE($B91,N$68,"W"))+COUNTIFS(Database!$F:$I,CONCATENATE(N$68,$B91,"W")))/(COUNTIFS(Database!$F:$I,CONCATENATE($B91,N$68,"L"))+COUNTIFS(Database!$F:$I,CONCATENATE(N$68,$B91,"L"))+COUNTIFS(Database!$F:$I,CONCATENATE($B91,N$68,"W"))+COUNTIFS(Database!$F:$I,CONCATENATE(N$68,$B91,"W"))),"-")</f>
        <v>-</v>
      </c>
      <c r="O91" s="122">
        <f>IFERROR((COUNTIFS(Database!$F:$I,CONCATENATE($B91,O$68,"W"))+COUNTIFS(Database!$F:$I,CONCATENATE(O$68,$B91,"W")))/(COUNTIFS(Database!$F:$I,CONCATENATE($B91,O$68,"L"))+COUNTIFS(Database!$F:$I,CONCATENATE(O$68,$B91,"L"))+COUNTIFS(Database!$F:$I,CONCATENATE($B91,O$68,"W"))+COUNTIFS(Database!$F:$I,CONCATENATE(O$68,$B91,"W"))),"-")</f>
        <v>0</v>
      </c>
      <c r="P91" s="122" t="str">
        <f>IFERROR((COUNTIFS(Database!$F:$I,CONCATENATE($B91,P$68,"W"))+COUNTIFS(Database!$F:$I,CONCATENATE(P$68,$B91,"W")))/(COUNTIFS(Database!$F:$I,CONCATENATE($B91,P$68,"L"))+COUNTIFS(Database!$F:$I,CONCATENATE(P$68,$B91,"L"))+COUNTIFS(Database!$F:$I,CONCATENATE($B91,P$68,"W"))+COUNTIFS(Database!$F:$I,CONCATENATE(P$68,$B91,"W"))),"-")</f>
        <v>-</v>
      </c>
      <c r="Q91" s="122" t="str">
        <f>IFERROR((COUNTIFS(Database!$F:$I,CONCATENATE($B91,Q$68,"W"))+COUNTIFS(Database!$F:$I,CONCATENATE(Q$68,$B91,"W")))/(COUNTIFS(Database!$F:$I,CONCATENATE($B91,Q$68,"L"))+COUNTIFS(Database!$F:$I,CONCATENATE(Q$68,$B91,"L"))+COUNTIFS(Database!$F:$I,CONCATENATE($B91,Q$68,"W"))+COUNTIFS(Database!$F:$I,CONCATENATE(Q$68,$B91,"W"))),"-")</f>
        <v>-</v>
      </c>
      <c r="R91" s="122" t="str">
        <f>IFERROR((COUNTIFS(Database!$F:$I,CONCATENATE($B91,R$68,"W"))+COUNTIFS(Database!$F:$I,CONCATENATE(R$68,$B91,"W")))/(COUNTIFS(Database!$F:$I,CONCATENATE($B91,R$68,"L"))+COUNTIFS(Database!$F:$I,CONCATENATE(R$68,$B91,"L"))+COUNTIFS(Database!$F:$I,CONCATENATE($B91,R$68,"W"))+COUNTIFS(Database!$F:$I,CONCATENATE(R$68,$B91,"W"))),"-")</f>
        <v>-</v>
      </c>
      <c r="S91" s="122" t="str">
        <f>IFERROR((COUNTIFS(Database!$F:$I,CONCATENATE($B91,S$68,"W"))+COUNTIFS(Database!$F:$I,CONCATENATE(S$68,$B91,"W")))/(COUNTIFS(Database!$F:$I,CONCATENATE($B91,S$68,"L"))+COUNTIFS(Database!$F:$I,CONCATENATE(S$68,$B91,"L"))+COUNTIFS(Database!$F:$I,CONCATENATE($B91,S$68,"W"))+COUNTIFS(Database!$F:$I,CONCATENATE(S$68,$B91,"W"))),"-")</f>
        <v>-</v>
      </c>
      <c r="T91" s="122">
        <f>IFERROR((COUNTIFS(Database!$F:$I,CONCATENATE($B91,T$68,"W"))+COUNTIFS(Database!$F:$I,CONCATENATE(T$68,$B91,"W")))/(COUNTIFS(Database!$F:$I,CONCATENATE($B91,T$68,"L"))+COUNTIFS(Database!$F:$I,CONCATENATE(T$68,$B91,"L"))+COUNTIFS(Database!$F:$I,CONCATENATE($B91,T$68,"W"))+COUNTIFS(Database!$F:$I,CONCATENATE(T$68,$B91,"W"))),"-")</f>
        <v>0</v>
      </c>
      <c r="U91" s="122" t="str">
        <f>IFERROR((COUNTIFS(Database!$F:$I,CONCATENATE($B91,U$68,"W"))+COUNTIFS(Database!$F:$I,CONCATENATE(U$68,$B91,"W")))/(COUNTIFS(Database!$F:$I,CONCATENATE($B91,U$68,"L"))+COUNTIFS(Database!$F:$I,CONCATENATE(U$68,$B91,"L"))+COUNTIFS(Database!$F:$I,CONCATENATE($B91,U$68,"W"))+COUNTIFS(Database!$F:$I,CONCATENATE(U$68,$B91,"W"))),"-")</f>
        <v>-</v>
      </c>
      <c r="V91" s="122" t="str">
        <f>IFERROR((COUNTIFS(Database!$F:$I,CONCATENATE($B91,V$68,"W"))+COUNTIFS(Database!$F:$I,CONCATENATE(V$68,$B91,"W")))/(COUNTIFS(Database!$F:$I,CONCATENATE($B91,V$68,"L"))+COUNTIFS(Database!$F:$I,CONCATENATE(V$68,$B91,"L"))+COUNTIFS(Database!$F:$I,CONCATENATE($B91,V$68,"W"))+COUNTIFS(Database!$F:$I,CONCATENATE(V$68,$B91,"W"))),"-")</f>
        <v>-</v>
      </c>
      <c r="W91" s="122">
        <f>IFERROR((COUNTIFS(Database!$F:$I,CONCATENATE($B91,W$68,"W"))+COUNTIFS(Database!$F:$I,CONCATENATE(W$68,$B91,"W")))/(COUNTIFS(Database!$F:$I,CONCATENATE($B91,W$68,"L"))+COUNTIFS(Database!$F:$I,CONCATENATE(W$68,$B91,"L"))+COUNTIFS(Database!$F:$I,CONCATENATE($B91,W$68,"W"))+COUNTIFS(Database!$F:$I,CONCATENATE(W$68,$B91,"W"))),"-")</f>
        <v>0</v>
      </c>
      <c r="X91" s="122" t="str">
        <f>IFERROR((COUNTIFS(Database!$F:$I,CONCATENATE($B91,X$68,"W"))+COUNTIFS(Database!$F:$I,CONCATENATE(X$68,$B91,"W")))/(COUNTIFS(Database!$F:$I,CONCATENATE($B91,X$68,"L"))+COUNTIFS(Database!$F:$I,CONCATENATE(X$68,$B91,"L"))+COUNTIFS(Database!$F:$I,CONCATENATE($B91,X$68,"W"))+COUNTIFS(Database!$F:$I,CONCATENATE(X$68,$B91,"W"))),"-")</f>
        <v>-</v>
      </c>
      <c r="Y91" s="122" t="str">
        <f>IFERROR((COUNTIFS(Database!$F:$I,CONCATENATE($B91,Y$68,"W"))+COUNTIFS(Database!$F:$I,CONCATENATE(Y$68,$B91,"W")))/(COUNTIFS(Database!$F:$I,CONCATENATE($B91,Y$68,"L"))+COUNTIFS(Database!$F:$I,CONCATENATE(Y$68,$B91,"L"))+COUNTIFS(Database!$F:$I,CONCATENATE($B91,Y$68,"W"))+COUNTIFS(Database!$F:$I,CONCATENATE(Y$68,$B91,"W"))),"-")</f>
        <v>-</v>
      </c>
      <c r="Z91" s="122" t="str">
        <f>IFERROR((COUNTIFS(Database!$F:$I,CONCATENATE($B91,Z$68,"W"))+COUNTIFS(Database!$F:$I,CONCATENATE(Z$68,$B91,"W")))/(COUNTIFS(Database!$F:$I,CONCATENATE($B91,Z$68,"L"))+COUNTIFS(Database!$F:$I,CONCATENATE(Z$68,$B91,"L"))+COUNTIFS(Database!$F:$I,CONCATENATE($B91,Z$68,"W"))+COUNTIFS(Database!$F:$I,CONCATENATE(Z$68,$B91,"W"))),"-")</f>
        <v>-</v>
      </c>
      <c r="AA91" s="122">
        <f>IFERROR((COUNTIFS(Database!$F:$I,CONCATENATE($B91,AA$68,"W"))+COUNTIFS(Database!$F:$I,CONCATENATE(AA$68,$B91,"W")))/(COUNTIFS(Database!$F:$I,CONCATENATE($B91,AA$68,"L"))+COUNTIFS(Database!$F:$I,CONCATENATE(AA$68,$B91,"L"))+COUNTIFS(Database!$F:$I,CONCATENATE($B91,AA$68,"W"))+COUNTIFS(Database!$F:$I,CONCATENATE(AA$68,$B91,"W"))),"-")</f>
        <v>0</v>
      </c>
      <c r="AB91" s="122">
        <f>IFERROR((COUNTIFS(Database!$F:$I,CONCATENATE($B91,AB$68,"W"))+COUNTIFS(Database!$F:$I,CONCATENATE(AB$68,$B91,"W")))/(COUNTIFS(Database!$F:$I,CONCATENATE($B91,AB$68,"L"))+COUNTIFS(Database!$F:$I,CONCATENATE(AB$68,$B91,"L"))+COUNTIFS(Database!$F:$I,CONCATENATE($B91,AB$68,"W"))+COUNTIFS(Database!$F:$I,CONCATENATE(AB$68,$B91,"W"))),"-")</f>
        <v>0</v>
      </c>
      <c r="AC91" s="122">
        <f>IFERROR((COUNTIFS(Database!$F:$I,CONCATENATE($B91,AC$68,"W"))+COUNTIFS(Database!$F:$I,CONCATENATE(AC$68,$B91,"W")))/(COUNTIFS(Database!$F:$I,CONCATENATE($B91,AC$68,"L"))+COUNTIFS(Database!$F:$I,CONCATENATE(AC$68,$B91,"L"))+COUNTIFS(Database!$F:$I,CONCATENATE($B91,AC$68,"W"))+COUNTIFS(Database!$F:$I,CONCATENATE(AC$68,$B91,"W"))),"-")</f>
        <v>0.25</v>
      </c>
      <c r="AD91" s="122" t="str">
        <f>IFERROR((COUNTIFS(Database!$F:$I,CONCATENATE($B91,AD$68,"W"))+COUNTIFS(Database!$F:$I,CONCATENATE(AD$68,$B91,"W")))/(COUNTIFS(Database!$F:$I,CONCATENATE($B91,AD$68,"L"))+COUNTIFS(Database!$F:$I,CONCATENATE(AD$68,$B91,"L"))+COUNTIFS(Database!$F:$I,CONCATENATE($B91,AD$68,"W"))+COUNTIFS(Database!$F:$I,CONCATENATE(AD$68,$B91,"W"))),"-")</f>
        <v>-</v>
      </c>
      <c r="AE91" s="122" t="str">
        <f>IFERROR((COUNTIFS(Database!$F:$I,CONCATENATE($B91,AE$68,"W"))+COUNTIFS(Database!$F:$I,CONCATENATE(AE$68,$B91,"W")))/(COUNTIFS(Database!$F:$I,CONCATENATE($B91,AE$68,"L"))+COUNTIFS(Database!$F:$I,CONCATENATE(AE$68,$B91,"L"))+COUNTIFS(Database!$F:$I,CONCATENATE($B91,AE$68,"W"))+COUNTIFS(Database!$F:$I,CONCATENATE(AE$68,$B91,"W"))),"-")</f>
        <v>-</v>
      </c>
      <c r="AF91" s="122" t="str">
        <f>IFERROR((COUNTIFS(Database!$F:$I,CONCATENATE($B91,AF$68,"W"))+COUNTIFS(Database!$F:$I,CONCATENATE(AF$68,$B91,"W")))/(COUNTIFS(Database!$F:$I,CONCATENATE($B91,AF$68,"L"))+COUNTIFS(Database!$F:$I,CONCATENATE(AF$68,$B91,"L"))+COUNTIFS(Database!$F:$I,CONCATENATE($B91,AF$68,"W"))+COUNTIFS(Database!$F:$I,CONCATENATE(AF$68,$B91,"W"))),"-")</f>
        <v>-</v>
      </c>
      <c r="AG91" s="122" t="str">
        <f>IFERROR((COUNTIFS(Database!$F:$I,CONCATENATE($B91,AG$68,"W"))+COUNTIFS(Database!$F:$I,CONCATENATE(AG$68,$B91,"W")))/(COUNTIFS(Database!$F:$I,CONCATENATE($B91,AG$68,"L"))+COUNTIFS(Database!$F:$I,CONCATENATE(AG$68,$B91,"L"))+COUNTIFS(Database!$F:$I,CONCATENATE($B91,AG$68,"W"))+COUNTIFS(Database!$F:$I,CONCATENATE(AG$68,$B91,"W"))),"-")</f>
        <v>-</v>
      </c>
      <c r="AH91" s="122" t="str">
        <f>IFERROR((COUNTIFS(Database!$F:$I,CONCATENATE($B91,AH$68,"W"))+COUNTIFS(Database!$F:$I,CONCATENATE(AH$68,$B91,"W")))/(COUNTIFS(Database!$F:$I,CONCATENATE($B91,AH$68,"L"))+COUNTIFS(Database!$F:$I,CONCATENATE(AH$68,$B91,"L"))+COUNTIFS(Database!$F:$I,CONCATENATE($B91,AH$68,"W"))+COUNTIFS(Database!$F:$I,CONCATENATE(AH$68,$B91,"W"))),"-")</f>
        <v>-</v>
      </c>
      <c r="AI91" s="122" t="str">
        <f>IFERROR((COUNTIFS(Database!$F:$I,CONCATENATE($B91,AI$68,"W"))+COUNTIFS(Database!$F:$I,CONCATENATE(AI$68,$B91,"W")))/(COUNTIFS(Database!$F:$I,CONCATENATE($B91,AI$68,"L"))+COUNTIFS(Database!$F:$I,CONCATENATE(AI$68,$B91,"L"))+COUNTIFS(Database!$F:$I,CONCATENATE($B91,AI$68,"W"))+COUNTIFS(Database!$F:$I,CONCATENATE(AI$68,$B91,"W"))),"-")</f>
        <v>-</v>
      </c>
      <c r="AJ91" s="122" t="str">
        <f>IFERROR((COUNTIFS(Database!$F:$I,CONCATENATE($B91,AJ$68,"W"))+COUNTIFS(Database!$F:$I,CONCATENATE(AJ$68,$B91,"W")))/(COUNTIFS(Database!$F:$I,CONCATENATE($B91,AJ$68,"L"))+COUNTIFS(Database!$F:$I,CONCATENATE(AJ$68,$B91,"L"))+COUNTIFS(Database!$F:$I,CONCATENATE($B91,AJ$68,"W"))+COUNTIFS(Database!$F:$I,CONCATENATE(AJ$68,$B91,"W"))),"-")</f>
        <v>-</v>
      </c>
      <c r="AK91" s="122">
        <f>IFERROR((COUNTIFS(Database!$F:$I,CONCATENATE($B91,AK$68,"W"))+COUNTIFS(Database!$F:$I,CONCATENATE(AK$68,$B91,"W")))/(COUNTIFS(Database!$F:$I,CONCATENATE($B91,AK$68,"L"))+COUNTIFS(Database!$F:$I,CONCATENATE(AK$68,$B91,"L"))+COUNTIFS(Database!$F:$I,CONCATENATE($B91,AK$68,"W"))+COUNTIFS(Database!$F:$I,CONCATENATE(AK$68,$B91,"W"))),"-")</f>
        <v>0.5</v>
      </c>
      <c r="AL91" s="122" t="str">
        <f>IFERROR((COUNTIFS(Database!$F:$I,CONCATENATE($B91,AL$68,"W"))+COUNTIFS(Database!$F:$I,CONCATENATE(AL$68,$B91,"W")))/(COUNTIFS(Database!$F:$I,CONCATENATE($B91,AL$68,"L"))+COUNTIFS(Database!$F:$I,CONCATENATE(AL$68,$B91,"L"))+COUNTIFS(Database!$F:$I,CONCATENATE($B91,AL$68,"W"))+COUNTIFS(Database!$F:$I,CONCATENATE(AL$68,$B91,"W"))),"-")</f>
        <v>-</v>
      </c>
      <c r="AM91" s="122" t="str">
        <f>IFERROR((COUNTIFS(Database!$F:$I,CONCATENATE($B91,AM$68,"W"))+COUNTIFS(Database!$F:$I,CONCATENATE(AM$68,$B91,"W")))/(COUNTIFS(Database!$F:$I,CONCATENATE($B91,AM$68,"L"))+COUNTIFS(Database!$F:$I,CONCATENATE(AM$68,$B91,"L"))+COUNTIFS(Database!$F:$I,CONCATENATE($B91,AM$68,"W"))+COUNTIFS(Database!$F:$I,CONCATENATE(AM$68,$B91,"W"))),"-")</f>
        <v>-</v>
      </c>
      <c r="AN91" s="122" t="str">
        <f>IFERROR((COUNTIFS(Database!$F:$I,CONCATENATE($B91,AN$68,"W"))+COUNTIFS(Database!$F:$I,CONCATENATE(AN$68,$B91,"W")))/(COUNTIFS(Database!$F:$I,CONCATENATE($B91,AN$68,"L"))+COUNTIFS(Database!$F:$I,CONCATENATE(AN$68,$B91,"L"))+COUNTIFS(Database!$F:$I,CONCATENATE($B91,AN$68,"W"))+COUNTIFS(Database!$F:$I,CONCATENATE(AN$68,$B91,"W"))),"-")</f>
        <v>-</v>
      </c>
      <c r="AO91" s="122" t="str">
        <f>IFERROR((COUNTIFS(Database!$F:$I,CONCATENATE($B91,AO$68,"W"))+COUNTIFS(Database!$F:$I,CONCATENATE(AO$68,$B91,"W")))/(COUNTIFS(Database!$F:$I,CONCATENATE($B91,AO$68,"L"))+COUNTIFS(Database!$F:$I,CONCATENATE(AO$68,$B91,"L"))+COUNTIFS(Database!$F:$I,CONCATENATE($B91,AO$68,"W"))+COUNTIFS(Database!$F:$I,CONCATENATE(AO$68,$B91,"W"))),"-")</f>
        <v>-</v>
      </c>
      <c r="AP91" s="122" t="str">
        <f>IFERROR((COUNTIFS(Database!$F:$I,CONCATENATE($B91,AP$68,"W"))+COUNTIFS(Database!$F:$I,CONCATENATE(AP$68,$B91,"W")))/(COUNTIFS(Database!$F:$I,CONCATENATE($B91,AP$68,"L"))+COUNTIFS(Database!$F:$I,CONCATENATE(AP$68,$B91,"L"))+COUNTIFS(Database!$F:$I,CONCATENATE($B91,AP$68,"W"))+COUNTIFS(Database!$F:$I,CONCATENATE(AP$68,$B91,"W"))),"-")</f>
        <v>-</v>
      </c>
      <c r="AQ91" s="122" t="str">
        <f>IFERROR((COUNTIFS(Database!$F:$I,CONCATENATE($B91,AQ$68,"W"))+COUNTIFS(Database!$F:$I,CONCATENATE(AQ$68,$B91,"W")))/(COUNTIFS(Database!$F:$I,CONCATENATE($B91,AQ$68,"L"))+COUNTIFS(Database!$F:$I,CONCATENATE(AQ$68,$B91,"L"))+COUNTIFS(Database!$F:$I,CONCATENATE($B91,AQ$68,"W"))+COUNTIFS(Database!$F:$I,CONCATENATE(AQ$68,$B91,"W"))),"-")</f>
        <v>-</v>
      </c>
      <c r="AR91" s="122">
        <f>IFERROR((COUNTIFS(Database!$F:$I,CONCATENATE($B91,AR$68,"W"))+COUNTIFS(Database!$F:$I,CONCATENATE(AR$68,$B91,"W")))/(COUNTIFS(Database!$F:$I,CONCATENATE($B91,AR$68,"L"))+COUNTIFS(Database!$F:$I,CONCATENATE(AR$68,$B91,"L"))+COUNTIFS(Database!$F:$I,CONCATENATE($B91,AR$68,"W"))+COUNTIFS(Database!$F:$I,CONCATENATE(AR$68,$B91,"W"))),"-")</f>
        <v>0.2857142857142857</v>
      </c>
      <c r="AS91" s="122" t="str">
        <f>IFERROR((COUNTIFS(Database!$F:$I,CONCATENATE($B91,AS$68,"W"))+COUNTIFS(Database!$F:$I,CONCATENATE(AS$68,$B91,"W")))/(COUNTIFS(Database!$F:$I,CONCATENATE($B91,AS$68,"L"))+COUNTIFS(Database!$F:$I,CONCATENATE(AS$68,$B91,"L"))+COUNTIFS(Database!$F:$I,CONCATENATE($B91,AS$68,"W"))+COUNTIFS(Database!$F:$I,CONCATENATE(AS$68,$B91,"W"))),"-")</f>
        <v>-</v>
      </c>
      <c r="AT91" s="122" t="str">
        <f>IFERROR((COUNTIFS(Database!$F:$I,CONCATENATE($B91,AT$68,"W"))+COUNTIFS(Database!$F:$I,CONCATENATE(AT$68,$B91,"W")))/(COUNTIFS(Database!$F:$I,CONCATENATE($B91,AT$68,"L"))+COUNTIFS(Database!$F:$I,CONCATENATE(AT$68,$B91,"L"))+COUNTIFS(Database!$F:$I,CONCATENATE($B91,AT$68,"W"))+COUNTIFS(Database!$F:$I,CONCATENATE(AT$68,$B91,"W"))),"-")</f>
        <v>-</v>
      </c>
      <c r="AU91" s="122">
        <f>IFERROR((COUNTIFS(Database!$F:$I,CONCATENATE($B91,AU$68,"W"))+COUNTIFS(Database!$F:$I,CONCATENATE(AU$68,$B91,"W")))/(COUNTIFS(Database!$F:$I,CONCATENATE($B91,AU$68,"L"))+COUNTIFS(Database!$F:$I,CONCATENATE(AU$68,$B91,"L"))+COUNTIFS(Database!$F:$I,CONCATENATE($B91,AU$68,"W"))+COUNTIFS(Database!$F:$I,CONCATENATE(AU$68,$B91,"W"))),"-")</f>
        <v>1</v>
      </c>
      <c r="AV91" s="122" t="str">
        <f>IFERROR((COUNTIFS(Database!$F:$I,CONCATENATE($B91,AV$68,"W"))+COUNTIFS(Database!$F:$I,CONCATENATE(AV$68,$B91,"W")))/(COUNTIFS(Database!$F:$I,CONCATENATE($B91,AV$68,"L"))+COUNTIFS(Database!$F:$I,CONCATENATE(AV$68,$B91,"L"))+COUNTIFS(Database!$F:$I,CONCATENATE($B91,AV$68,"W"))+COUNTIFS(Database!$F:$I,CONCATENATE(AV$68,$B91,"W"))),"-")</f>
        <v>-</v>
      </c>
      <c r="AW91" s="122">
        <f>IFERROR((COUNTIFS(Database!$F:$I,CONCATENATE($B91,AW$68,"W"))+COUNTIFS(Database!$F:$I,CONCATENATE(AW$68,$B91,"W")))/(COUNTIFS(Database!$F:$I,CONCATENATE($B91,AW$68,"L"))+COUNTIFS(Database!$F:$I,CONCATENATE(AW$68,$B91,"L"))+COUNTIFS(Database!$F:$I,CONCATENATE($B91,AW$68,"W"))+COUNTIFS(Database!$F:$I,CONCATENATE(AW$68,$B91,"W"))),"-")</f>
        <v>0.66666666666666663</v>
      </c>
      <c r="AX91" s="122" t="str">
        <f>IFERROR((COUNTIFS(Database!$F:$I,CONCATENATE($B91,AX$68,"W"))+COUNTIFS(Database!$F:$I,CONCATENATE(AX$68,$B91,"W")))/(COUNTIFS(Database!$F:$I,CONCATENATE($B91,AX$68,"L"))+COUNTIFS(Database!$F:$I,CONCATENATE(AX$68,$B91,"L"))+COUNTIFS(Database!$F:$I,CONCATENATE($B91,AX$68,"W"))+COUNTIFS(Database!$F:$I,CONCATENATE(AX$68,$B91,"W"))),"-")</f>
        <v>-</v>
      </c>
      <c r="AY91" s="122">
        <f>IFERROR((COUNTIFS(Database!$F:$I,CONCATENATE($B91,AY$68,"W"))+COUNTIFS(Database!$F:$I,CONCATENATE(AY$68,$B91,"W")))/(COUNTIFS(Database!$F:$I,CONCATENATE($B91,AY$68,"L"))+COUNTIFS(Database!$F:$I,CONCATENATE(AY$68,$B91,"L"))+COUNTIFS(Database!$F:$I,CONCATENATE($B91,AY$68,"W"))+COUNTIFS(Database!$F:$I,CONCATENATE(AY$68,$B91,"W"))),"-")</f>
        <v>0.5</v>
      </c>
    </row>
    <row r="92" spans="2:51" x14ac:dyDescent="0.25">
      <c r="B92" s="120" t="s">
        <v>21</v>
      </c>
      <c r="C92" s="122">
        <f>IFERROR((COUNTIFS(Database!$F:$I,CONCATENATE($B92,C$68,"W"))+COUNTIFS(Database!$F:$I,CONCATENATE(C$68,$B92,"W")))/(COUNTIFS(Database!$F:$I,CONCATENATE($B92,C$68,"L"))+COUNTIFS(Database!$F:$I,CONCATENATE(C$68,$B92,"L"))+COUNTIFS(Database!$F:$I,CONCATENATE($B92,C$68,"W"))+COUNTIFS(Database!$F:$I,CONCATENATE(C$68,$B92,"W"))),"-")</f>
        <v>1</v>
      </c>
      <c r="D92" s="122" t="str">
        <f>IFERROR((COUNTIFS(Database!$F:$I,CONCATENATE($B92,D$68,"W"))+COUNTIFS(Database!$F:$I,CONCATENATE(D$68,$B92,"W")))/(COUNTIFS(Database!$F:$I,CONCATENATE($B92,D$68,"L"))+COUNTIFS(Database!$F:$I,CONCATENATE(D$68,$B92,"L"))+COUNTIFS(Database!$F:$I,CONCATENATE($B92,D$68,"W"))+COUNTIFS(Database!$F:$I,CONCATENATE(D$68,$B92,"W"))),"-")</f>
        <v>-</v>
      </c>
      <c r="E92" s="122">
        <f>IFERROR((COUNTIFS(Database!$F:$I,CONCATENATE($B92,E$68,"W"))+COUNTIFS(Database!$F:$I,CONCATENATE(E$68,$B92,"W")))/(COUNTIFS(Database!$F:$I,CONCATENATE($B92,E$68,"L"))+COUNTIFS(Database!$F:$I,CONCATENATE(E$68,$B92,"L"))+COUNTIFS(Database!$F:$I,CONCATENATE($B92,E$68,"W"))+COUNTIFS(Database!$F:$I,CONCATENATE(E$68,$B92,"W"))),"-")</f>
        <v>1</v>
      </c>
      <c r="F92" s="122" t="str">
        <f>IFERROR((COUNTIFS(Database!$F:$I,CONCATENATE($B92,F$68,"W"))+COUNTIFS(Database!$F:$I,CONCATENATE(F$68,$B92,"W")))/(COUNTIFS(Database!$F:$I,CONCATENATE($B92,F$68,"L"))+COUNTIFS(Database!$F:$I,CONCATENATE(F$68,$B92,"L"))+COUNTIFS(Database!$F:$I,CONCATENATE($B92,F$68,"W"))+COUNTIFS(Database!$F:$I,CONCATENATE(F$68,$B92,"W"))),"-")</f>
        <v>-</v>
      </c>
      <c r="G92" s="122" t="str">
        <f>IFERROR((COUNTIFS(Database!$F:$I,CONCATENATE($B92,G$68,"W"))+COUNTIFS(Database!$F:$I,CONCATENATE(G$68,$B92,"W")))/(COUNTIFS(Database!$F:$I,CONCATENATE($B92,G$68,"L"))+COUNTIFS(Database!$F:$I,CONCATENATE(G$68,$B92,"L"))+COUNTIFS(Database!$F:$I,CONCATENATE($B92,G$68,"W"))+COUNTIFS(Database!$F:$I,CONCATENATE(G$68,$B92,"W"))),"-")</f>
        <v>-</v>
      </c>
      <c r="H92" s="122" t="str">
        <f>IFERROR((COUNTIFS(Database!$F:$I,CONCATENATE($B92,H$68,"W"))+COUNTIFS(Database!$F:$I,CONCATENATE(H$68,$B92,"W")))/(COUNTIFS(Database!$F:$I,CONCATENATE($B92,H$68,"L"))+COUNTIFS(Database!$F:$I,CONCATENATE(H$68,$B92,"L"))+COUNTIFS(Database!$F:$I,CONCATENATE($B92,H$68,"W"))+COUNTIFS(Database!$F:$I,CONCATENATE(H$68,$B92,"W"))),"-")</f>
        <v>-</v>
      </c>
      <c r="I92" s="122" t="str">
        <f>IFERROR((COUNTIFS(Database!$F:$I,CONCATENATE($B92,I$68,"W"))+COUNTIFS(Database!$F:$I,CONCATENATE(I$68,$B92,"W")))/(COUNTIFS(Database!$F:$I,CONCATENATE($B92,I$68,"L"))+COUNTIFS(Database!$F:$I,CONCATENATE(I$68,$B92,"L"))+COUNTIFS(Database!$F:$I,CONCATENATE($B92,I$68,"W"))+COUNTIFS(Database!$F:$I,CONCATENATE(I$68,$B92,"W"))),"-")</f>
        <v>-</v>
      </c>
      <c r="J92" s="122" t="str">
        <f>IFERROR((COUNTIFS(Database!$F:$I,CONCATENATE($B92,J$68,"W"))+COUNTIFS(Database!$F:$I,CONCATENATE(J$68,$B92,"W")))/(COUNTIFS(Database!$F:$I,CONCATENATE($B92,J$68,"L"))+COUNTIFS(Database!$F:$I,CONCATENATE(J$68,$B92,"L"))+COUNTIFS(Database!$F:$I,CONCATENATE($B92,J$68,"W"))+COUNTIFS(Database!$F:$I,CONCATENATE(J$68,$B92,"W"))),"-")</f>
        <v>-</v>
      </c>
      <c r="K92" s="122" t="str">
        <f>IFERROR((COUNTIFS(Database!$F:$I,CONCATENATE($B92,K$68,"W"))+COUNTIFS(Database!$F:$I,CONCATENATE(K$68,$B92,"W")))/(COUNTIFS(Database!$F:$I,CONCATENATE($B92,K$68,"L"))+COUNTIFS(Database!$F:$I,CONCATENATE(K$68,$B92,"L"))+COUNTIFS(Database!$F:$I,CONCATENATE($B92,K$68,"W"))+COUNTIFS(Database!$F:$I,CONCATENATE(K$68,$B92,"W"))),"-")</f>
        <v>-</v>
      </c>
      <c r="L92" s="122" t="str">
        <f>IFERROR((COUNTIFS(Database!$F:$I,CONCATENATE($B92,L$68,"W"))+COUNTIFS(Database!$F:$I,CONCATENATE(L$68,$B92,"W")))/(COUNTIFS(Database!$F:$I,CONCATENATE($B92,L$68,"L"))+COUNTIFS(Database!$F:$I,CONCATENATE(L$68,$B92,"L"))+COUNTIFS(Database!$F:$I,CONCATENATE($B92,L$68,"W"))+COUNTIFS(Database!$F:$I,CONCATENATE(L$68,$B92,"W"))),"-")</f>
        <v>-</v>
      </c>
      <c r="M92" s="122" t="str">
        <f>IFERROR((COUNTIFS(Database!$F:$I,CONCATENATE($B92,M$68,"W"))+COUNTIFS(Database!$F:$I,CONCATENATE(M$68,$B92,"W")))/(COUNTIFS(Database!$F:$I,CONCATENATE($B92,M$68,"L"))+COUNTIFS(Database!$F:$I,CONCATENATE(M$68,$B92,"L"))+COUNTIFS(Database!$F:$I,CONCATENATE($B92,M$68,"W"))+COUNTIFS(Database!$F:$I,CONCATENATE(M$68,$B92,"W"))),"-")</f>
        <v>-</v>
      </c>
      <c r="N92" s="122">
        <f>IFERROR((COUNTIFS(Database!$F:$I,CONCATENATE($B92,N$68,"W"))+COUNTIFS(Database!$F:$I,CONCATENATE(N$68,$B92,"W")))/(COUNTIFS(Database!$F:$I,CONCATENATE($B92,N$68,"L"))+COUNTIFS(Database!$F:$I,CONCATENATE(N$68,$B92,"L"))+COUNTIFS(Database!$F:$I,CONCATENATE($B92,N$68,"W"))+COUNTIFS(Database!$F:$I,CONCATENATE(N$68,$B92,"W"))),"-")</f>
        <v>0</v>
      </c>
      <c r="O92" s="122">
        <f>IFERROR((COUNTIFS(Database!$F:$I,CONCATENATE($B92,O$68,"W"))+COUNTIFS(Database!$F:$I,CONCATENATE(O$68,$B92,"W")))/(COUNTIFS(Database!$F:$I,CONCATENATE($B92,O$68,"L"))+COUNTIFS(Database!$F:$I,CONCATENATE(O$68,$B92,"L"))+COUNTIFS(Database!$F:$I,CONCATENATE($B92,O$68,"W"))+COUNTIFS(Database!$F:$I,CONCATENATE(O$68,$B92,"W"))),"-")</f>
        <v>0.5</v>
      </c>
      <c r="P92" s="122" t="str">
        <f>IFERROR((COUNTIFS(Database!$F:$I,CONCATENATE($B92,P$68,"W"))+COUNTIFS(Database!$F:$I,CONCATENATE(P$68,$B92,"W")))/(COUNTIFS(Database!$F:$I,CONCATENATE($B92,P$68,"L"))+COUNTIFS(Database!$F:$I,CONCATENATE(P$68,$B92,"L"))+COUNTIFS(Database!$F:$I,CONCATENATE($B92,P$68,"W"))+COUNTIFS(Database!$F:$I,CONCATENATE(P$68,$B92,"W"))),"-")</f>
        <v>-</v>
      </c>
      <c r="Q92" s="122" t="str">
        <f>IFERROR((COUNTIFS(Database!$F:$I,CONCATENATE($B92,Q$68,"W"))+COUNTIFS(Database!$F:$I,CONCATENATE(Q$68,$B92,"W")))/(COUNTIFS(Database!$F:$I,CONCATENATE($B92,Q$68,"L"))+COUNTIFS(Database!$F:$I,CONCATENATE(Q$68,$B92,"L"))+COUNTIFS(Database!$F:$I,CONCATENATE($B92,Q$68,"W"))+COUNTIFS(Database!$F:$I,CONCATENATE(Q$68,$B92,"W"))),"-")</f>
        <v>-</v>
      </c>
      <c r="R92" s="122" t="str">
        <f>IFERROR((COUNTIFS(Database!$F:$I,CONCATENATE($B92,R$68,"W"))+COUNTIFS(Database!$F:$I,CONCATENATE(R$68,$B92,"W")))/(COUNTIFS(Database!$F:$I,CONCATENATE($B92,R$68,"L"))+COUNTIFS(Database!$F:$I,CONCATENATE(R$68,$B92,"L"))+COUNTIFS(Database!$F:$I,CONCATENATE($B92,R$68,"W"))+COUNTIFS(Database!$F:$I,CONCATENATE(R$68,$B92,"W"))),"-")</f>
        <v>-</v>
      </c>
      <c r="S92" s="122" t="str">
        <f>IFERROR((COUNTIFS(Database!$F:$I,CONCATENATE($B92,S$68,"W"))+COUNTIFS(Database!$F:$I,CONCATENATE(S$68,$B92,"W")))/(COUNTIFS(Database!$F:$I,CONCATENATE($B92,S$68,"L"))+COUNTIFS(Database!$F:$I,CONCATENATE(S$68,$B92,"L"))+COUNTIFS(Database!$F:$I,CONCATENATE($B92,S$68,"W"))+COUNTIFS(Database!$F:$I,CONCATENATE(S$68,$B92,"W"))),"-")</f>
        <v>-</v>
      </c>
      <c r="T92" s="122" t="str">
        <f>IFERROR((COUNTIFS(Database!$F:$I,CONCATENATE($B92,T$68,"W"))+COUNTIFS(Database!$F:$I,CONCATENATE(T$68,$B92,"W")))/(COUNTIFS(Database!$F:$I,CONCATENATE($B92,T$68,"L"))+COUNTIFS(Database!$F:$I,CONCATENATE(T$68,$B92,"L"))+COUNTIFS(Database!$F:$I,CONCATENATE($B92,T$68,"W"))+COUNTIFS(Database!$F:$I,CONCATENATE(T$68,$B92,"W"))),"-")</f>
        <v>-</v>
      </c>
      <c r="U92" s="122" t="str">
        <f>IFERROR((COUNTIFS(Database!$F:$I,CONCATENATE($B92,U$68,"W"))+COUNTIFS(Database!$F:$I,CONCATENATE(U$68,$B92,"W")))/(COUNTIFS(Database!$F:$I,CONCATENATE($B92,U$68,"L"))+COUNTIFS(Database!$F:$I,CONCATENATE(U$68,$B92,"L"))+COUNTIFS(Database!$F:$I,CONCATENATE($B92,U$68,"W"))+COUNTIFS(Database!$F:$I,CONCATENATE(U$68,$B92,"W"))),"-")</f>
        <v>-</v>
      </c>
      <c r="V92" s="122" t="str">
        <f>IFERROR((COUNTIFS(Database!$F:$I,CONCATENATE($B92,V$68,"W"))+COUNTIFS(Database!$F:$I,CONCATENATE(V$68,$B92,"W")))/(COUNTIFS(Database!$F:$I,CONCATENATE($B92,V$68,"L"))+COUNTIFS(Database!$F:$I,CONCATENATE(V$68,$B92,"L"))+COUNTIFS(Database!$F:$I,CONCATENATE($B92,V$68,"W"))+COUNTIFS(Database!$F:$I,CONCATENATE(V$68,$B92,"W"))),"-")</f>
        <v>-</v>
      </c>
      <c r="W92" s="122" t="str">
        <f>IFERROR((COUNTIFS(Database!$F:$I,CONCATENATE($B92,W$68,"W"))+COUNTIFS(Database!$F:$I,CONCATENATE(W$68,$B92,"W")))/(COUNTIFS(Database!$F:$I,CONCATENATE($B92,W$68,"L"))+COUNTIFS(Database!$F:$I,CONCATENATE(W$68,$B92,"L"))+COUNTIFS(Database!$F:$I,CONCATENATE($B92,W$68,"W"))+COUNTIFS(Database!$F:$I,CONCATENATE(W$68,$B92,"W"))),"-")</f>
        <v>-</v>
      </c>
      <c r="X92" s="122" t="str">
        <f>IFERROR((COUNTIFS(Database!$F:$I,CONCATENATE($B92,X$68,"W"))+COUNTIFS(Database!$F:$I,CONCATENATE(X$68,$B92,"W")))/(COUNTIFS(Database!$F:$I,CONCATENATE($B92,X$68,"L"))+COUNTIFS(Database!$F:$I,CONCATENATE(X$68,$B92,"L"))+COUNTIFS(Database!$F:$I,CONCATENATE($B92,X$68,"W"))+COUNTIFS(Database!$F:$I,CONCATENATE(X$68,$B92,"W"))),"-")</f>
        <v>-</v>
      </c>
      <c r="Y92" s="122" t="str">
        <f>IFERROR((COUNTIFS(Database!$F:$I,CONCATENATE($B92,Y$68,"W"))+COUNTIFS(Database!$F:$I,CONCATENATE(Y$68,$B92,"W")))/(COUNTIFS(Database!$F:$I,CONCATENATE($B92,Y$68,"L"))+COUNTIFS(Database!$F:$I,CONCATENATE(Y$68,$B92,"L"))+COUNTIFS(Database!$F:$I,CONCATENATE($B92,Y$68,"W"))+COUNTIFS(Database!$F:$I,CONCATENATE(Y$68,$B92,"W"))),"-")</f>
        <v>-</v>
      </c>
      <c r="Z92" s="122" t="str">
        <f>IFERROR((COUNTIFS(Database!$F:$I,CONCATENATE($B92,Z$68,"W"))+COUNTIFS(Database!$F:$I,CONCATENATE(Z$68,$B92,"W")))/(COUNTIFS(Database!$F:$I,CONCATENATE($B92,Z$68,"L"))+COUNTIFS(Database!$F:$I,CONCATENATE(Z$68,$B92,"L"))+COUNTIFS(Database!$F:$I,CONCATENATE($B92,Z$68,"W"))+COUNTIFS(Database!$F:$I,CONCATENATE(Z$68,$B92,"W"))),"-")</f>
        <v>-</v>
      </c>
      <c r="AA92" s="122" t="str">
        <f>IFERROR((COUNTIFS(Database!$F:$I,CONCATENATE($B92,AA$68,"W"))+COUNTIFS(Database!$F:$I,CONCATENATE(AA$68,$B92,"W")))/(COUNTIFS(Database!$F:$I,CONCATENATE($B92,AA$68,"L"))+COUNTIFS(Database!$F:$I,CONCATENATE(AA$68,$B92,"L"))+COUNTIFS(Database!$F:$I,CONCATENATE($B92,AA$68,"W"))+COUNTIFS(Database!$F:$I,CONCATENATE(AA$68,$B92,"W"))),"-")</f>
        <v>-</v>
      </c>
      <c r="AB92" s="122">
        <f>IFERROR((COUNTIFS(Database!$F:$I,CONCATENATE($B92,AB$68,"W"))+COUNTIFS(Database!$F:$I,CONCATENATE(AB$68,$B92,"W")))/(COUNTIFS(Database!$F:$I,CONCATENATE($B92,AB$68,"L"))+COUNTIFS(Database!$F:$I,CONCATENATE(AB$68,$B92,"L"))+COUNTIFS(Database!$F:$I,CONCATENATE($B92,AB$68,"W"))+COUNTIFS(Database!$F:$I,CONCATENATE(AB$68,$B92,"W"))),"-")</f>
        <v>1</v>
      </c>
      <c r="AC92" s="122">
        <f>IFERROR((COUNTIFS(Database!$F:$I,CONCATENATE($B92,AC$68,"W"))+COUNTIFS(Database!$F:$I,CONCATENATE(AC$68,$B92,"W")))/(COUNTIFS(Database!$F:$I,CONCATENATE($B92,AC$68,"L"))+COUNTIFS(Database!$F:$I,CONCATENATE(AC$68,$B92,"L"))+COUNTIFS(Database!$F:$I,CONCATENATE($B92,AC$68,"W"))+COUNTIFS(Database!$F:$I,CONCATENATE(AC$68,$B92,"W"))),"-")</f>
        <v>1</v>
      </c>
      <c r="AD92" s="122" t="str">
        <f>IFERROR((COUNTIFS(Database!$F:$I,CONCATENATE($B92,AD$68,"W"))+COUNTIFS(Database!$F:$I,CONCATENATE(AD$68,$B92,"W")))/(COUNTIFS(Database!$F:$I,CONCATENATE($B92,AD$68,"L"))+COUNTIFS(Database!$F:$I,CONCATENATE(AD$68,$B92,"L"))+COUNTIFS(Database!$F:$I,CONCATENATE($B92,AD$68,"W"))+COUNTIFS(Database!$F:$I,CONCATENATE(AD$68,$B92,"W"))),"-")</f>
        <v>-</v>
      </c>
      <c r="AE92" s="122" t="str">
        <f>IFERROR((COUNTIFS(Database!$F:$I,CONCATENATE($B92,AE$68,"W"))+COUNTIFS(Database!$F:$I,CONCATENATE(AE$68,$B92,"W")))/(COUNTIFS(Database!$F:$I,CONCATENATE($B92,AE$68,"L"))+COUNTIFS(Database!$F:$I,CONCATENATE(AE$68,$B92,"L"))+COUNTIFS(Database!$F:$I,CONCATENATE($B92,AE$68,"W"))+COUNTIFS(Database!$F:$I,CONCATENATE(AE$68,$B92,"W"))),"-")</f>
        <v>-</v>
      </c>
      <c r="AF92" s="122" t="str">
        <f>IFERROR((COUNTIFS(Database!$F:$I,CONCATENATE($B92,AF$68,"W"))+COUNTIFS(Database!$F:$I,CONCATENATE(AF$68,$B92,"W")))/(COUNTIFS(Database!$F:$I,CONCATENATE($B92,AF$68,"L"))+COUNTIFS(Database!$F:$I,CONCATENATE(AF$68,$B92,"L"))+COUNTIFS(Database!$F:$I,CONCATENATE($B92,AF$68,"W"))+COUNTIFS(Database!$F:$I,CONCATENATE(AF$68,$B92,"W"))),"-")</f>
        <v>-</v>
      </c>
      <c r="AG92" s="122" t="str">
        <f>IFERROR((COUNTIFS(Database!$F:$I,CONCATENATE($B92,AG$68,"W"))+COUNTIFS(Database!$F:$I,CONCATENATE(AG$68,$B92,"W")))/(COUNTIFS(Database!$F:$I,CONCATENATE($B92,AG$68,"L"))+COUNTIFS(Database!$F:$I,CONCATENATE(AG$68,$B92,"L"))+COUNTIFS(Database!$F:$I,CONCATENATE($B92,AG$68,"W"))+COUNTIFS(Database!$F:$I,CONCATENATE(AG$68,$B92,"W"))),"-")</f>
        <v>-</v>
      </c>
      <c r="AH92" s="122" t="str">
        <f>IFERROR((COUNTIFS(Database!$F:$I,CONCATENATE($B92,AH$68,"W"))+COUNTIFS(Database!$F:$I,CONCATENATE(AH$68,$B92,"W")))/(COUNTIFS(Database!$F:$I,CONCATENATE($B92,AH$68,"L"))+COUNTIFS(Database!$F:$I,CONCATENATE(AH$68,$B92,"L"))+COUNTIFS(Database!$F:$I,CONCATENATE($B92,AH$68,"W"))+COUNTIFS(Database!$F:$I,CONCATENATE(AH$68,$B92,"W"))),"-")</f>
        <v>-</v>
      </c>
      <c r="AI92" s="122" t="str">
        <f>IFERROR((COUNTIFS(Database!$F:$I,CONCATENATE($B92,AI$68,"W"))+COUNTIFS(Database!$F:$I,CONCATENATE(AI$68,$B92,"W")))/(COUNTIFS(Database!$F:$I,CONCATENATE($B92,AI$68,"L"))+COUNTIFS(Database!$F:$I,CONCATENATE(AI$68,$B92,"L"))+COUNTIFS(Database!$F:$I,CONCATENATE($B92,AI$68,"W"))+COUNTIFS(Database!$F:$I,CONCATENATE(AI$68,$B92,"W"))),"-")</f>
        <v>-</v>
      </c>
      <c r="AJ92" s="122" t="str">
        <f>IFERROR((COUNTIFS(Database!$F:$I,CONCATENATE($B92,AJ$68,"W"))+COUNTIFS(Database!$F:$I,CONCATENATE(AJ$68,$B92,"W")))/(COUNTIFS(Database!$F:$I,CONCATENATE($B92,AJ$68,"L"))+COUNTIFS(Database!$F:$I,CONCATENATE(AJ$68,$B92,"L"))+COUNTIFS(Database!$F:$I,CONCATENATE($B92,AJ$68,"W"))+COUNTIFS(Database!$F:$I,CONCATENATE(AJ$68,$B92,"W"))),"-")</f>
        <v>-</v>
      </c>
      <c r="AK92" s="122" t="str">
        <f>IFERROR((COUNTIFS(Database!$F:$I,CONCATENATE($B92,AK$68,"W"))+COUNTIFS(Database!$F:$I,CONCATENATE(AK$68,$B92,"W")))/(COUNTIFS(Database!$F:$I,CONCATENATE($B92,AK$68,"L"))+COUNTIFS(Database!$F:$I,CONCATENATE(AK$68,$B92,"L"))+COUNTIFS(Database!$F:$I,CONCATENATE($B92,AK$68,"W"))+COUNTIFS(Database!$F:$I,CONCATENATE(AK$68,$B92,"W"))),"-")</f>
        <v>-</v>
      </c>
      <c r="AL92" s="122" t="str">
        <f>IFERROR((COUNTIFS(Database!$F:$I,CONCATENATE($B92,AL$68,"W"))+COUNTIFS(Database!$F:$I,CONCATENATE(AL$68,$B92,"W")))/(COUNTIFS(Database!$F:$I,CONCATENATE($B92,AL$68,"L"))+COUNTIFS(Database!$F:$I,CONCATENATE(AL$68,$B92,"L"))+COUNTIFS(Database!$F:$I,CONCATENATE($B92,AL$68,"W"))+COUNTIFS(Database!$F:$I,CONCATENATE(AL$68,$B92,"W"))),"-")</f>
        <v>-</v>
      </c>
      <c r="AM92" s="122" t="str">
        <f>IFERROR((COUNTIFS(Database!$F:$I,CONCATENATE($B92,AM$68,"W"))+COUNTIFS(Database!$F:$I,CONCATENATE(AM$68,$B92,"W")))/(COUNTIFS(Database!$F:$I,CONCATENATE($B92,AM$68,"L"))+COUNTIFS(Database!$F:$I,CONCATENATE(AM$68,$B92,"L"))+COUNTIFS(Database!$F:$I,CONCATENATE($B92,AM$68,"W"))+COUNTIFS(Database!$F:$I,CONCATENATE(AM$68,$B92,"W"))),"-")</f>
        <v>-</v>
      </c>
      <c r="AN92" s="122" t="str">
        <f>IFERROR((COUNTIFS(Database!$F:$I,CONCATENATE($B92,AN$68,"W"))+COUNTIFS(Database!$F:$I,CONCATENATE(AN$68,$B92,"W")))/(COUNTIFS(Database!$F:$I,CONCATENATE($B92,AN$68,"L"))+COUNTIFS(Database!$F:$I,CONCATENATE(AN$68,$B92,"L"))+COUNTIFS(Database!$F:$I,CONCATENATE($B92,AN$68,"W"))+COUNTIFS(Database!$F:$I,CONCATENATE(AN$68,$B92,"W"))),"-")</f>
        <v>-</v>
      </c>
      <c r="AO92" s="122" t="str">
        <f>IFERROR((COUNTIFS(Database!$F:$I,CONCATENATE($B92,AO$68,"W"))+COUNTIFS(Database!$F:$I,CONCATENATE(AO$68,$B92,"W")))/(COUNTIFS(Database!$F:$I,CONCATENATE($B92,AO$68,"L"))+COUNTIFS(Database!$F:$I,CONCATENATE(AO$68,$B92,"L"))+COUNTIFS(Database!$F:$I,CONCATENATE($B92,AO$68,"W"))+COUNTIFS(Database!$F:$I,CONCATENATE(AO$68,$B92,"W"))),"-")</f>
        <v>-</v>
      </c>
      <c r="AP92" s="122" t="str">
        <f>IFERROR((COUNTIFS(Database!$F:$I,CONCATENATE($B92,AP$68,"W"))+COUNTIFS(Database!$F:$I,CONCATENATE(AP$68,$B92,"W")))/(COUNTIFS(Database!$F:$I,CONCATENATE($B92,AP$68,"L"))+COUNTIFS(Database!$F:$I,CONCATENATE(AP$68,$B92,"L"))+COUNTIFS(Database!$F:$I,CONCATENATE($B92,AP$68,"W"))+COUNTIFS(Database!$F:$I,CONCATENATE(AP$68,$B92,"W"))),"-")</f>
        <v>-</v>
      </c>
      <c r="AQ92" s="122">
        <f>IFERROR((COUNTIFS(Database!$F:$I,CONCATENATE($B92,AQ$68,"W"))+COUNTIFS(Database!$F:$I,CONCATENATE(AQ$68,$B92,"W")))/(COUNTIFS(Database!$F:$I,CONCATENATE($B92,AQ$68,"L"))+COUNTIFS(Database!$F:$I,CONCATENATE(AQ$68,$B92,"L"))+COUNTIFS(Database!$F:$I,CONCATENATE($B92,AQ$68,"W"))+COUNTIFS(Database!$F:$I,CONCATENATE(AQ$68,$B92,"W"))),"-")</f>
        <v>0</v>
      </c>
      <c r="AR92" s="122" t="str">
        <f>IFERROR((COUNTIFS(Database!$F:$I,CONCATENATE($B92,AR$68,"W"))+COUNTIFS(Database!$F:$I,CONCATENATE(AR$68,$B92,"W")))/(COUNTIFS(Database!$F:$I,CONCATENATE($B92,AR$68,"L"))+COUNTIFS(Database!$F:$I,CONCATENATE(AR$68,$B92,"L"))+COUNTIFS(Database!$F:$I,CONCATENATE($B92,AR$68,"W"))+COUNTIFS(Database!$F:$I,CONCATENATE(AR$68,$B92,"W"))),"-")</f>
        <v>-</v>
      </c>
      <c r="AS92" s="122" t="str">
        <f>IFERROR((COUNTIFS(Database!$F:$I,CONCATENATE($B92,AS$68,"W"))+COUNTIFS(Database!$F:$I,CONCATENATE(AS$68,$B92,"W")))/(COUNTIFS(Database!$F:$I,CONCATENATE($B92,AS$68,"L"))+COUNTIFS(Database!$F:$I,CONCATENATE(AS$68,$B92,"L"))+COUNTIFS(Database!$F:$I,CONCATENATE($B92,AS$68,"W"))+COUNTIFS(Database!$F:$I,CONCATENATE(AS$68,$B92,"W"))),"-")</f>
        <v>-</v>
      </c>
      <c r="AT92" s="122" t="str">
        <f>IFERROR((COUNTIFS(Database!$F:$I,CONCATENATE($B92,AT$68,"W"))+COUNTIFS(Database!$F:$I,CONCATENATE(AT$68,$B92,"W")))/(COUNTIFS(Database!$F:$I,CONCATENATE($B92,AT$68,"L"))+COUNTIFS(Database!$F:$I,CONCATENATE(AT$68,$B92,"L"))+COUNTIFS(Database!$F:$I,CONCATENATE($B92,AT$68,"W"))+COUNTIFS(Database!$F:$I,CONCATENATE(AT$68,$B92,"W"))),"-")</f>
        <v>-</v>
      </c>
      <c r="AU92" s="122" t="str">
        <f>IFERROR((COUNTIFS(Database!$F:$I,CONCATENATE($B92,AU$68,"W"))+COUNTIFS(Database!$F:$I,CONCATENATE(AU$68,$B92,"W")))/(COUNTIFS(Database!$F:$I,CONCATENATE($B92,AU$68,"L"))+COUNTIFS(Database!$F:$I,CONCATENATE(AU$68,$B92,"L"))+COUNTIFS(Database!$F:$I,CONCATENATE($B92,AU$68,"W"))+COUNTIFS(Database!$F:$I,CONCATENATE(AU$68,$B92,"W"))),"-")</f>
        <v>-</v>
      </c>
      <c r="AV92" s="122">
        <f>IFERROR((COUNTIFS(Database!$F:$I,CONCATENATE($B92,AV$68,"W"))+COUNTIFS(Database!$F:$I,CONCATENATE(AV$68,$B92,"W")))/(COUNTIFS(Database!$F:$I,CONCATENATE($B92,AV$68,"L"))+COUNTIFS(Database!$F:$I,CONCATENATE(AV$68,$B92,"L"))+COUNTIFS(Database!$F:$I,CONCATENATE($B92,AV$68,"W"))+COUNTIFS(Database!$F:$I,CONCATENATE(AV$68,$B92,"W"))),"-")</f>
        <v>1</v>
      </c>
      <c r="AW92" s="122">
        <f>IFERROR((COUNTIFS(Database!$F:$I,CONCATENATE($B92,AW$68,"W"))+COUNTIFS(Database!$F:$I,CONCATENATE(AW$68,$B92,"W")))/(COUNTIFS(Database!$F:$I,CONCATENATE($B92,AW$68,"L"))+COUNTIFS(Database!$F:$I,CONCATENATE(AW$68,$B92,"L"))+COUNTIFS(Database!$F:$I,CONCATENATE($B92,AW$68,"W"))+COUNTIFS(Database!$F:$I,CONCATENATE(AW$68,$B92,"W"))),"-")</f>
        <v>1</v>
      </c>
      <c r="AX92" s="122" t="str">
        <f>IFERROR((COUNTIFS(Database!$F:$I,CONCATENATE($B92,AX$68,"W"))+COUNTIFS(Database!$F:$I,CONCATENATE(AX$68,$B92,"W")))/(COUNTIFS(Database!$F:$I,CONCATENATE($B92,AX$68,"L"))+COUNTIFS(Database!$F:$I,CONCATENATE(AX$68,$B92,"L"))+COUNTIFS(Database!$F:$I,CONCATENATE($B92,AX$68,"W"))+COUNTIFS(Database!$F:$I,CONCATENATE(AX$68,$B92,"W"))),"-")</f>
        <v>-</v>
      </c>
      <c r="AY92" s="122">
        <f>IFERROR((COUNTIFS(Database!$F:$I,CONCATENATE($B92,AY$68,"W"))+COUNTIFS(Database!$F:$I,CONCATENATE(AY$68,$B92,"W")))/(COUNTIFS(Database!$F:$I,CONCATENATE($B92,AY$68,"L"))+COUNTIFS(Database!$F:$I,CONCATENATE(AY$68,$B92,"L"))+COUNTIFS(Database!$F:$I,CONCATENATE($B92,AY$68,"W"))+COUNTIFS(Database!$F:$I,CONCATENATE(AY$68,$B92,"W"))),"-")</f>
        <v>0</v>
      </c>
    </row>
    <row r="93" spans="2:51" x14ac:dyDescent="0.25">
      <c r="B93" s="120" t="s">
        <v>34</v>
      </c>
      <c r="C93" s="122">
        <f>IFERROR((COUNTIFS(Database!$F:$I,CONCATENATE($B93,C$68,"W"))+COUNTIFS(Database!$F:$I,CONCATENATE(C$68,$B93,"W")))/(COUNTIFS(Database!$F:$I,CONCATENATE($B93,C$68,"L"))+COUNTIFS(Database!$F:$I,CONCATENATE(C$68,$B93,"L"))+COUNTIFS(Database!$F:$I,CONCATENATE($B93,C$68,"W"))+COUNTIFS(Database!$F:$I,CONCATENATE(C$68,$B93,"W"))),"-")</f>
        <v>1</v>
      </c>
      <c r="D93" s="122" t="str">
        <f>IFERROR((COUNTIFS(Database!$F:$I,CONCATENATE($B93,D$68,"W"))+COUNTIFS(Database!$F:$I,CONCATENATE(D$68,$B93,"W")))/(COUNTIFS(Database!$F:$I,CONCATENATE($B93,D$68,"L"))+COUNTIFS(Database!$F:$I,CONCATENATE(D$68,$B93,"L"))+COUNTIFS(Database!$F:$I,CONCATENATE($B93,D$68,"W"))+COUNTIFS(Database!$F:$I,CONCATENATE(D$68,$B93,"W"))),"-")</f>
        <v>-</v>
      </c>
      <c r="E93" s="122">
        <f>IFERROR((COUNTIFS(Database!$F:$I,CONCATENATE($B93,E$68,"W"))+COUNTIFS(Database!$F:$I,CONCATENATE(E$68,$B93,"W")))/(COUNTIFS(Database!$F:$I,CONCATENATE($B93,E$68,"L"))+COUNTIFS(Database!$F:$I,CONCATENATE(E$68,$B93,"L"))+COUNTIFS(Database!$F:$I,CONCATENATE($B93,E$68,"W"))+COUNTIFS(Database!$F:$I,CONCATENATE(E$68,$B93,"W"))),"-")</f>
        <v>1</v>
      </c>
      <c r="F93" s="122">
        <f>IFERROR((COUNTIFS(Database!$F:$I,CONCATENATE($B93,F$68,"W"))+COUNTIFS(Database!$F:$I,CONCATENATE(F$68,$B93,"W")))/(COUNTIFS(Database!$F:$I,CONCATENATE($B93,F$68,"L"))+COUNTIFS(Database!$F:$I,CONCATENATE(F$68,$B93,"L"))+COUNTIFS(Database!$F:$I,CONCATENATE($B93,F$68,"W"))+COUNTIFS(Database!$F:$I,CONCATENATE(F$68,$B93,"W"))),"-")</f>
        <v>0</v>
      </c>
      <c r="G93" s="122" t="str">
        <f>IFERROR((COUNTIFS(Database!$F:$I,CONCATENATE($B93,G$68,"W"))+COUNTIFS(Database!$F:$I,CONCATENATE(G$68,$B93,"W")))/(COUNTIFS(Database!$F:$I,CONCATENATE($B93,G$68,"L"))+COUNTIFS(Database!$F:$I,CONCATENATE(G$68,$B93,"L"))+COUNTIFS(Database!$F:$I,CONCATENATE($B93,G$68,"W"))+COUNTIFS(Database!$F:$I,CONCATENATE(G$68,$B93,"W"))),"-")</f>
        <v>-</v>
      </c>
      <c r="H93" s="122" t="str">
        <f>IFERROR((COUNTIFS(Database!$F:$I,CONCATENATE($B93,H$68,"W"))+COUNTIFS(Database!$F:$I,CONCATENATE(H$68,$B93,"W")))/(COUNTIFS(Database!$F:$I,CONCATENATE($B93,H$68,"L"))+COUNTIFS(Database!$F:$I,CONCATENATE(H$68,$B93,"L"))+COUNTIFS(Database!$F:$I,CONCATENATE($B93,H$68,"W"))+COUNTIFS(Database!$F:$I,CONCATENATE(H$68,$B93,"W"))),"-")</f>
        <v>-</v>
      </c>
      <c r="I93" s="122" t="str">
        <f>IFERROR((COUNTIFS(Database!$F:$I,CONCATENATE($B93,I$68,"W"))+COUNTIFS(Database!$F:$I,CONCATENATE(I$68,$B93,"W")))/(COUNTIFS(Database!$F:$I,CONCATENATE($B93,I$68,"L"))+COUNTIFS(Database!$F:$I,CONCATENATE(I$68,$B93,"L"))+COUNTIFS(Database!$F:$I,CONCATENATE($B93,I$68,"W"))+COUNTIFS(Database!$F:$I,CONCATENATE(I$68,$B93,"W"))),"-")</f>
        <v>-</v>
      </c>
      <c r="J93" s="122" t="str">
        <f>IFERROR((COUNTIFS(Database!$F:$I,CONCATENATE($B93,J$68,"W"))+COUNTIFS(Database!$F:$I,CONCATENATE(J$68,$B93,"W")))/(COUNTIFS(Database!$F:$I,CONCATENATE($B93,J$68,"L"))+COUNTIFS(Database!$F:$I,CONCATENATE(J$68,$B93,"L"))+COUNTIFS(Database!$F:$I,CONCATENATE($B93,J$68,"W"))+COUNTIFS(Database!$F:$I,CONCATENATE(J$68,$B93,"W"))),"-")</f>
        <v>-</v>
      </c>
      <c r="K93" s="122" t="str">
        <f>IFERROR((COUNTIFS(Database!$F:$I,CONCATENATE($B93,K$68,"W"))+COUNTIFS(Database!$F:$I,CONCATENATE(K$68,$B93,"W")))/(COUNTIFS(Database!$F:$I,CONCATENATE($B93,K$68,"L"))+COUNTIFS(Database!$F:$I,CONCATENATE(K$68,$B93,"L"))+COUNTIFS(Database!$F:$I,CONCATENATE($B93,K$68,"W"))+COUNTIFS(Database!$F:$I,CONCATENATE(K$68,$B93,"W"))),"-")</f>
        <v>-</v>
      </c>
      <c r="L93" s="122">
        <f>IFERROR((COUNTIFS(Database!$F:$I,CONCATENATE($B93,L$68,"W"))+COUNTIFS(Database!$F:$I,CONCATENATE(L$68,$B93,"W")))/(COUNTIFS(Database!$F:$I,CONCATENATE($B93,L$68,"L"))+COUNTIFS(Database!$F:$I,CONCATENATE(L$68,$B93,"L"))+COUNTIFS(Database!$F:$I,CONCATENATE($B93,L$68,"W"))+COUNTIFS(Database!$F:$I,CONCATENATE(L$68,$B93,"W"))),"-")</f>
        <v>1</v>
      </c>
      <c r="M93" s="122" t="str">
        <f>IFERROR((COUNTIFS(Database!$F:$I,CONCATENATE($B93,M$68,"W"))+COUNTIFS(Database!$F:$I,CONCATENATE(M$68,$B93,"W")))/(COUNTIFS(Database!$F:$I,CONCATENATE($B93,M$68,"L"))+COUNTIFS(Database!$F:$I,CONCATENATE(M$68,$B93,"L"))+COUNTIFS(Database!$F:$I,CONCATENATE($B93,M$68,"W"))+COUNTIFS(Database!$F:$I,CONCATENATE(M$68,$B93,"W"))),"-")</f>
        <v>-</v>
      </c>
      <c r="N93" s="122" t="str">
        <f>IFERROR((COUNTIFS(Database!$F:$I,CONCATENATE($B93,N$68,"W"))+COUNTIFS(Database!$F:$I,CONCATENATE(N$68,$B93,"W")))/(COUNTIFS(Database!$F:$I,CONCATENATE($B93,N$68,"L"))+COUNTIFS(Database!$F:$I,CONCATENATE(N$68,$B93,"L"))+COUNTIFS(Database!$F:$I,CONCATENATE($B93,N$68,"W"))+COUNTIFS(Database!$F:$I,CONCATENATE(N$68,$B93,"W"))),"-")</f>
        <v>-</v>
      </c>
      <c r="O93" s="122" t="str">
        <f>IFERROR((COUNTIFS(Database!$F:$I,CONCATENATE($B93,O$68,"W"))+COUNTIFS(Database!$F:$I,CONCATENATE(O$68,$B93,"W")))/(COUNTIFS(Database!$F:$I,CONCATENATE($B93,O$68,"L"))+COUNTIFS(Database!$F:$I,CONCATENATE(O$68,$B93,"L"))+COUNTIFS(Database!$F:$I,CONCATENATE($B93,O$68,"W"))+COUNTIFS(Database!$F:$I,CONCATENATE(O$68,$B93,"W"))),"-")</f>
        <v>-</v>
      </c>
      <c r="P93" s="122" t="str">
        <f>IFERROR((COUNTIFS(Database!$F:$I,CONCATENATE($B93,P$68,"W"))+COUNTIFS(Database!$F:$I,CONCATENATE(P$68,$B93,"W")))/(COUNTIFS(Database!$F:$I,CONCATENATE($B93,P$68,"L"))+COUNTIFS(Database!$F:$I,CONCATENATE(P$68,$B93,"L"))+COUNTIFS(Database!$F:$I,CONCATENATE($B93,P$68,"W"))+COUNTIFS(Database!$F:$I,CONCATENATE(P$68,$B93,"W"))),"-")</f>
        <v>-</v>
      </c>
      <c r="Q93" s="122" t="str">
        <f>IFERROR((COUNTIFS(Database!$F:$I,CONCATENATE($B93,Q$68,"W"))+COUNTIFS(Database!$F:$I,CONCATENATE(Q$68,$B93,"W")))/(COUNTIFS(Database!$F:$I,CONCATENATE($B93,Q$68,"L"))+COUNTIFS(Database!$F:$I,CONCATENATE(Q$68,$B93,"L"))+COUNTIFS(Database!$F:$I,CONCATENATE($B93,Q$68,"W"))+COUNTIFS(Database!$F:$I,CONCATENATE(Q$68,$B93,"W"))),"-")</f>
        <v>-</v>
      </c>
      <c r="R93" s="122" t="str">
        <f>IFERROR((COUNTIFS(Database!$F:$I,CONCATENATE($B93,R$68,"W"))+COUNTIFS(Database!$F:$I,CONCATENATE(R$68,$B93,"W")))/(COUNTIFS(Database!$F:$I,CONCATENATE($B93,R$68,"L"))+COUNTIFS(Database!$F:$I,CONCATENATE(R$68,$B93,"L"))+COUNTIFS(Database!$F:$I,CONCATENATE($B93,R$68,"W"))+COUNTIFS(Database!$F:$I,CONCATENATE(R$68,$B93,"W"))),"-")</f>
        <v>-</v>
      </c>
      <c r="S93" s="122">
        <f>IFERROR((COUNTIFS(Database!$F:$I,CONCATENATE($B93,S$68,"W"))+COUNTIFS(Database!$F:$I,CONCATENATE(S$68,$B93,"W")))/(COUNTIFS(Database!$F:$I,CONCATENATE($B93,S$68,"L"))+COUNTIFS(Database!$F:$I,CONCATENATE(S$68,$B93,"L"))+COUNTIFS(Database!$F:$I,CONCATENATE($B93,S$68,"W"))+COUNTIFS(Database!$F:$I,CONCATENATE(S$68,$B93,"W"))),"-")</f>
        <v>1</v>
      </c>
      <c r="T93" s="122">
        <f>IFERROR((COUNTIFS(Database!$F:$I,CONCATENATE($B93,T$68,"W"))+COUNTIFS(Database!$F:$I,CONCATENATE(T$68,$B93,"W")))/(COUNTIFS(Database!$F:$I,CONCATENATE($B93,T$68,"L"))+COUNTIFS(Database!$F:$I,CONCATENATE(T$68,$B93,"L"))+COUNTIFS(Database!$F:$I,CONCATENATE($B93,T$68,"W"))+COUNTIFS(Database!$F:$I,CONCATENATE(T$68,$B93,"W"))),"-")</f>
        <v>0</v>
      </c>
      <c r="U93" s="122" t="str">
        <f>IFERROR((COUNTIFS(Database!$F:$I,CONCATENATE($B93,U$68,"W"))+COUNTIFS(Database!$F:$I,CONCATENATE(U$68,$B93,"W")))/(COUNTIFS(Database!$F:$I,CONCATENATE($B93,U$68,"L"))+COUNTIFS(Database!$F:$I,CONCATENATE(U$68,$B93,"L"))+COUNTIFS(Database!$F:$I,CONCATENATE($B93,U$68,"W"))+COUNTIFS(Database!$F:$I,CONCATENATE(U$68,$B93,"W"))),"-")</f>
        <v>-</v>
      </c>
      <c r="V93" s="122" t="str">
        <f>IFERROR((COUNTIFS(Database!$F:$I,CONCATENATE($B93,V$68,"W"))+COUNTIFS(Database!$F:$I,CONCATENATE(V$68,$B93,"W")))/(COUNTIFS(Database!$F:$I,CONCATENATE($B93,V$68,"L"))+COUNTIFS(Database!$F:$I,CONCATENATE(V$68,$B93,"L"))+COUNTIFS(Database!$F:$I,CONCATENATE($B93,V$68,"W"))+COUNTIFS(Database!$F:$I,CONCATENATE(V$68,$B93,"W"))),"-")</f>
        <v>-</v>
      </c>
      <c r="W93" s="122">
        <f>IFERROR((COUNTIFS(Database!$F:$I,CONCATENATE($B93,W$68,"W"))+COUNTIFS(Database!$F:$I,CONCATENATE(W$68,$B93,"W")))/(COUNTIFS(Database!$F:$I,CONCATENATE($B93,W$68,"L"))+COUNTIFS(Database!$F:$I,CONCATENATE(W$68,$B93,"L"))+COUNTIFS(Database!$F:$I,CONCATENATE($B93,W$68,"W"))+COUNTIFS(Database!$F:$I,CONCATENATE(W$68,$B93,"W"))),"-")</f>
        <v>1</v>
      </c>
      <c r="X93" s="122">
        <f>IFERROR((COUNTIFS(Database!$F:$I,CONCATENATE($B93,X$68,"W"))+COUNTIFS(Database!$F:$I,CONCATENATE(X$68,$B93,"W")))/(COUNTIFS(Database!$F:$I,CONCATENATE($B93,X$68,"L"))+COUNTIFS(Database!$F:$I,CONCATENATE(X$68,$B93,"L"))+COUNTIFS(Database!$F:$I,CONCATENATE($B93,X$68,"W"))+COUNTIFS(Database!$F:$I,CONCATENATE(X$68,$B93,"W"))),"-")</f>
        <v>1</v>
      </c>
      <c r="Y93" s="122">
        <f>IFERROR((COUNTIFS(Database!$F:$I,CONCATENATE($B93,Y$68,"W"))+COUNTIFS(Database!$F:$I,CONCATENATE(Y$68,$B93,"W")))/(COUNTIFS(Database!$F:$I,CONCATENATE($B93,Y$68,"L"))+COUNTIFS(Database!$F:$I,CONCATENATE(Y$68,$B93,"L"))+COUNTIFS(Database!$F:$I,CONCATENATE($B93,Y$68,"W"))+COUNTIFS(Database!$F:$I,CONCATENATE(Y$68,$B93,"W"))),"-")</f>
        <v>0</v>
      </c>
      <c r="Z93" s="122" t="str">
        <f>IFERROR((COUNTIFS(Database!$F:$I,CONCATENATE($B93,Z$68,"W"))+COUNTIFS(Database!$F:$I,CONCATENATE(Z$68,$B93,"W")))/(COUNTIFS(Database!$F:$I,CONCATENATE($B93,Z$68,"L"))+COUNTIFS(Database!$F:$I,CONCATENATE(Z$68,$B93,"L"))+COUNTIFS(Database!$F:$I,CONCATENATE($B93,Z$68,"W"))+COUNTIFS(Database!$F:$I,CONCATENATE(Z$68,$B93,"W"))),"-")</f>
        <v>-</v>
      </c>
      <c r="AA93" s="122" t="str">
        <f>IFERROR((COUNTIFS(Database!$F:$I,CONCATENATE($B93,AA$68,"W"))+COUNTIFS(Database!$F:$I,CONCATENATE(AA$68,$B93,"W")))/(COUNTIFS(Database!$F:$I,CONCATENATE($B93,AA$68,"L"))+COUNTIFS(Database!$F:$I,CONCATENATE(AA$68,$B93,"L"))+COUNTIFS(Database!$F:$I,CONCATENATE($B93,AA$68,"W"))+COUNTIFS(Database!$F:$I,CONCATENATE(AA$68,$B93,"W"))),"-")</f>
        <v>-</v>
      </c>
      <c r="AB93" s="122" t="str">
        <f>IFERROR((COUNTIFS(Database!$F:$I,CONCATENATE($B93,AB$68,"W"))+COUNTIFS(Database!$F:$I,CONCATENATE(AB$68,$B93,"W")))/(COUNTIFS(Database!$F:$I,CONCATENATE($B93,AB$68,"L"))+COUNTIFS(Database!$F:$I,CONCATENATE(AB$68,$B93,"L"))+COUNTIFS(Database!$F:$I,CONCATENATE($B93,AB$68,"W"))+COUNTIFS(Database!$F:$I,CONCATENATE(AB$68,$B93,"W"))),"-")</f>
        <v>-</v>
      </c>
      <c r="AC93" s="122">
        <f>IFERROR((COUNTIFS(Database!$F:$I,CONCATENATE($B93,AC$68,"W"))+COUNTIFS(Database!$F:$I,CONCATENATE(AC$68,$B93,"W")))/(COUNTIFS(Database!$F:$I,CONCATENATE($B93,AC$68,"L"))+COUNTIFS(Database!$F:$I,CONCATENATE(AC$68,$B93,"L"))+COUNTIFS(Database!$F:$I,CONCATENATE($B93,AC$68,"W"))+COUNTIFS(Database!$F:$I,CONCATENATE(AC$68,$B93,"W"))),"-")</f>
        <v>1</v>
      </c>
      <c r="AD93" s="122" t="str">
        <f>IFERROR((COUNTIFS(Database!$F:$I,CONCATENATE($B93,AD$68,"W"))+COUNTIFS(Database!$F:$I,CONCATENATE(AD$68,$B93,"W")))/(COUNTIFS(Database!$F:$I,CONCATENATE($B93,AD$68,"L"))+COUNTIFS(Database!$F:$I,CONCATENATE(AD$68,$B93,"L"))+COUNTIFS(Database!$F:$I,CONCATENATE($B93,AD$68,"W"))+COUNTIFS(Database!$F:$I,CONCATENATE(AD$68,$B93,"W"))),"-")</f>
        <v>-</v>
      </c>
      <c r="AE93" s="122" t="str">
        <f>IFERROR((COUNTIFS(Database!$F:$I,CONCATENATE($B93,AE$68,"W"))+COUNTIFS(Database!$F:$I,CONCATENATE(AE$68,$B93,"W")))/(COUNTIFS(Database!$F:$I,CONCATENATE($B93,AE$68,"L"))+COUNTIFS(Database!$F:$I,CONCATENATE(AE$68,$B93,"L"))+COUNTIFS(Database!$F:$I,CONCATENATE($B93,AE$68,"W"))+COUNTIFS(Database!$F:$I,CONCATENATE(AE$68,$B93,"W"))),"-")</f>
        <v>-</v>
      </c>
      <c r="AF93" s="122" t="str">
        <f>IFERROR((COUNTIFS(Database!$F:$I,CONCATENATE($B93,AF$68,"W"))+COUNTIFS(Database!$F:$I,CONCATENATE(AF$68,$B93,"W")))/(COUNTIFS(Database!$F:$I,CONCATENATE($B93,AF$68,"L"))+COUNTIFS(Database!$F:$I,CONCATENATE(AF$68,$B93,"L"))+COUNTIFS(Database!$F:$I,CONCATENATE($B93,AF$68,"W"))+COUNTIFS(Database!$F:$I,CONCATENATE(AF$68,$B93,"W"))),"-")</f>
        <v>-</v>
      </c>
      <c r="AG93" s="122" t="str">
        <f>IFERROR((COUNTIFS(Database!$F:$I,CONCATENATE($B93,AG$68,"W"))+COUNTIFS(Database!$F:$I,CONCATENATE(AG$68,$B93,"W")))/(COUNTIFS(Database!$F:$I,CONCATENATE($B93,AG$68,"L"))+COUNTIFS(Database!$F:$I,CONCATENATE(AG$68,$B93,"L"))+COUNTIFS(Database!$F:$I,CONCATENATE($B93,AG$68,"W"))+COUNTIFS(Database!$F:$I,CONCATENATE(AG$68,$B93,"W"))),"-")</f>
        <v>-</v>
      </c>
      <c r="AH93" s="122" t="str">
        <f>IFERROR((COUNTIFS(Database!$F:$I,CONCATENATE($B93,AH$68,"W"))+COUNTIFS(Database!$F:$I,CONCATENATE(AH$68,$B93,"W")))/(COUNTIFS(Database!$F:$I,CONCATENATE($B93,AH$68,"L"))+COUNTIFS(Database!$F:$I,CONCATENATE(AH$68,$B93,"L"))+COUNTIFS(Database!$F:$I,CONCATENATE($B93,AH$68,"W"))+COUNTIFS(Database!$F:$I,CONCATENATE(AH$68,$B93,"W"))),"-")</f>
        <v>-</v>
      </c>
      <c r="AI93" s="122" t="str">
        <f>IFERROR((COUNTIFS(Database!$F:$I,CONCATENATE($B93,AI$68,"W"))+COUNTIFS(Database!$F:$I,CONCATENATE(AI$68,$B93,"W")))/(COUNTIFS(Database!$F:$I,CONCATENATE($B93,AI$68,"L"))+COUNTIFS(Database!$F:$I,CONCATENATE(AI$68,$B93,"L"))+COUNTIFS(Database!$F:$I,CONCATENATE($B93,AI$68,"W"))+COUNTIFS(Database!$F:$I,CONCATENATE(AI$68,$B93,"W"))),"-")</f>
        <v>-</v>
      </c>
      <c r="AJ93" s="122">
        <f>IFERROR((COUNTIFS(Database!$F:$I,CONCATENATE($B93,AJ$68,"W"))+COUNTIFS(Database!$F:$I,CONCATENATE(AJ$68,$B93,"W")))/(COUNTIFS(Database!$F:$I,CONCATENATE($B93,AJ$68,"L"))+COUNTIFS(Database!$F:$I,CONCATENATE(AJ$68,$B93,"L"))+COUNTIFS(Database!$F:$I,CONCATENATE($B93,AJ$68,"W"))+COUNTIFS(Database!$F:$I,CONCATENATE(AJ$68,$B93,"W"))),"-")</f>
        <v>1</v>
      </c>
      <c r="AK93" s="122">
        <f>IFERROR((COUNTIFS(Database!$F:$I,CONCATENATE($B93,AK$68,"W"))+COUNTIFS(Database!$F:$I,CONCATENATE(AK$68,$B93,"W")))/(COUNTIFS(Database!$F:$I,CONCATENATE($B93,AK$68,"L"))+COUNTIFS(Database!$F:$I,CONCATENATE(AK$68,$B93,"L"))+COUNTIFS(Database!$F:$I,CONCATENATE($B93,AK$68,"W"))+COUNTIFS(Database!$F:$I,CONCATENATE(AK$68,$B93,"W"))),"-")</f>
        <v>1</v>
      </c>
      <c r="AL93" s="122" t="str">
        <f>IFERROR((COUNTIFS(Database!$F:$I,CONCATENATE($B93,AL$68,"W"))+COUNTIFS(Database!$F:$I,CONCATENATE(AL$68,$B93,"W")))/(COUNTIFS(Database!$F:$I,CONCATENATE($B93,AL$68,"L"))+COUNTIFS(Database!$F:$I,CONCATENATE(AL$68,$B93,"L"))+COUNTIFS(Database!$F:$I,CONCATENATE($B93,AL$68,"W"))+COUNTIFS(Database!$F:$I,CONCATENATE(AL$68,$B93,"W"))),"-")</f>
        <v>-</v>
      </c>
      <c r="AM93" s="122" t="str">
        <f>IFERROR((COUNTIFS(Database!$F:$I,CONCATENATE($B93,AM$68,"W"))+COUNTIFS(Database!$F:$I,CONCATENATE(AM$68,$B93,"W")))/(COUNTIFS(Database!$F:$I,CONCATENATE($B93,AM$68,"L"))+COUNTIFS(Database!$F:$I,CONCATENATE(AM$68,$B93,"L"))+COUNTIFS(Database!$F:$I,CONCATENATE($B93,AM$68,"W"))+COUNTIFS(Database!$F:$I,CONCATENATE(AM$68,$B93,"W"))),"-")</f>
        <v>-</v>
      </c>
      <c r="AN93" s="122" t="str">
        <f>IFERROR((COUNTIFS(Database!$F:$I,CONCATENATE($B93,AN$68,"W"))+COUNTIFS(Database!$F:$I,CONCATENATE(AN$68,$B93,"W")))/(COUNTIFS(Database!$F:$I,CONCATENATE($B93,AN$68,"L"))+COUNTIFS(Database!$F:$I,CONCATENATE(AN$68,$B93,"L"))+COUNTIFS(Database!$F:$I,CONCATENATE($B93,AN$68,"W"))+COUNTIFS(Database!$F:$I,CONCATENATE(AN$68,$B93,"W"))),"-")</f>
        <v>-</v>
      </c>
      <c r="AO93" s="122">
        <f>IFERROR((COUNTIFS(Database!$F:$I,CONCATENATE($B93,AO$68,"W"))+COUNTIFS(Database!$F:$I,CONCATENATE(AO$68,$B93,"W")))/(COUNTIFS(Database!$F:$I,CONCATENATE($B93,AO$68,"L"))+COUNTIFS(Database!$F:$I,CONCATENATE(AO$68,$B93,"L"))+COUNTIFS(Database!$F:$I,CONCATENATE($B93,AO$68,"W"))+COUNTIFS(Database!$F:$I,CONCATENATE(AO$68,$B93,"W"))),"-")</f>
        <v>1</v>
      </c>
      <c r="AP93" s="122" t="str">
        <f>IFERROR((COUNTIFS(Database!$F:$I,CONCATENATE($B93,AP$68,"W"))+COUNTIFS(Database!$F:$I,CONCATENATE(AP$68,$B93,"W")))/(COUNTIFS(Database!$F:$I,CONCATENATE($B93,AP$68,"L"))+COUNTIFS(Database!$F:$I,CONCATENATE(AP$68,$B93,"L"))+COUNTIFS(Database!$F:$I,CONCATENATE($B93,AP$68,"W"))+COUNTIFS(Database!$F:$I,CONCATENATE(AP$68,$B93,"W"))),"-")</f>
        <v>-</v>
      </c>
      <c r="AQ93" s="122" t="str">
        <f>IFERROR((COUNTIFS(Database!$F:$I,CONCATENATE($B93,AQ$68,"W"))+COUNTIFS(Database!$F:$I,CONCATENATE(AQ$68,$B93,"W")))/(COUNTIFS(Database!$F:$I,CONCATENATE($B93,AQ$68,"L"))+COUNTIFS(Database!$F:$I,CONCATENATE(AQ$68,$B93,"L"))+COUNTIFS(Database!$F:$I,CONCATENATE($B93,AQ$68,"W"))+COUNTIFS(Database!$F:$I,CONCATENATE(AQ$68,$B93,"W"))),"-")</f>
        <v>-</v>
      </c>
      <c r="AR93" s="122">
        <f>IFERROR((COUNTIFS(Database!$F:$I,CONCATENATE($B93,AR$68,"W"))+COUNTIFS(Database!$F:$I,CONCATENATE(AR$68,$B93,"W")))/(COUNTIFS(Database!$F:$I,CONCATENATE($B93,AR$68,"L"))+COUNTIFS(Database!$F:$I,CONCATENATE(AR$68,$B93,"L"))+COUNTIFS(Database!$F:$I,CONCATENATE($B93,AR$68,"W"))+COUNTIFS(Database!$F:$I,CONCATENATE(AR$68,$B93,"W"))),"-")</f>
        <v>0.5</v>
      </c>
      <c r="AS93" s="122" t="str">
        <f>IFERROR((COUNTIFS(Database!$F:$I,CONCATENATE($B93,AS$68,"W"))+COUNTIFS(Database!$F:$I,CONCATENATE(AS$68,$B93,"W")))/(COUNTIFS(Database!$F:$I,CONCATENATE($B93,AS$68,"L"))+COUNTIFS(Database!$F:$I,CONCATENATE(AS$68,$B93,"L"))+COUNTIFS(Database!$F:$I,CONCATENATE($B93,AS$68,"W"))+COUNTIFS(Database!$F:$I,CONCATENATE(AS$68,$B93,"W"))),"-")</f>
        <v>-</v>
      </c>
      <c r="AT93" s="122" t="str">
        <f>IFERROR((COUNTIFS(Database!$F:$I,CONCATENATE($B93,AT$68,"W"))+COUNTIFS(Database!$F:$I,CONCATENATE(AT$68,$B93,"W")))/(COUNTIFS(Database!$F:$I,CONCATENATE($B93,AT$68,"L"))+COUNTIFS(Database!$F:$I,CONCATENATE(AT$68,$B93,"L"))+COUNTIFS(Database!$F:$I,CONCATENATE($B93,AT$68,"W"))+COUNTIFS(Database!$F:$I,CONCATENATE(AT$68,$B93,"W"))),"-")</f>
        <v>-</v>
      </c>
      <c r="AU93" s="122" t="str">
        <f>IFERROR((COUNTIFS(Database!$F:$I,CONCATENATE($B93,AU$68,"W"))+COUNTIFS(Database!$F:$I,CONCATENATE(AU$68,$B93,"W")))/(COUNTIFS(Database!$F:$I,CONCATENATE($B93,AU$68,"L"))+COUNTIFS(Database!$F:$I,CONCATENATE(AU$68,$B93,"L"))+COUNTIFS(Database!$F:$I,CONCATENATE($B93,AU$68,"W"))+COUNTIFS(Database!$F:$I,CONCATENATE(AU$68,$B93,"W"))),"-")</f>
        <v>-</v>
      </c>
      <c r="AV93" s="122" t="str">
        <f>IFERROR((COUNTIFS(Database!$F:$I,CONCATENATE($B93,AV$68,"W"))+COUNTIFS(Database!$F:$I,CONCATENATE(AV$68,$B93,"W")))/(COUNTIFS(Database!$F:$I,CONCATENATE($B93,AV$68,"L"))+COUNTIFS(Database!$F:$I,CONCATENATE(AV$68,$B93,"L"))+COUNTIFS(Database!$F:$I,CONCATENATE($B93,AV$68,"W"))+COUNTIFS(Database!$F:$I,CONCATENATE(AV$68,$B93,"W"))),"-")</f>
        <v>-</v>
      </c>
      <c r="AW93" s="122">
        <f>IFERROR((COUNTIFS(Database!$F:$I,CONCATENATE($B93,AW$68,"W"))+COUNTIFS(Database!$F:$I,CONCATENATE(AW$68,$B93,"W")))/(COUNTIFS(Database!$F:$I,CONCATENATE($B93,AW$68,"L"))+COUNTIFS(Database!$F:$I,CONCATENATE(AW$68,$B93,"L"))+COUNTIFS(Database!$F:$I,CONCATENATE($B93,AW$68,"W"))+COUNTIFS(Database!$F:$I,CONCATENATE(AW$68,$B93,"W"))),"-")</f>
        <v>1</v>
      </c>
      <c r="AX93" s="122" t="str">
        <f>IFERROR((COUNTIFS(Database!$F:$I,CONCATENATE($B93,AX$68,"W"))+COUNTIFS(Database!$F:$I,CONCATENATE(AX$68,$B93,"W")))/(COUNTIFS(Database!$F:$I,CONCATENATE($B93,AX$68,"L"))+COUNTIFS(Database!$F:$I,CONCATENATE(AX$68,$B93,"L"))+COUNTIFS(Database!$F:$I,CONCATENATE($B93,AX$68,"W"))+COUNTIFS(Database!$F:$I,CONCATENATE(AX$68,$B93,"W"))),"-")</f>
        <v>-</v>
      </c>
      <c r="AY93" s="122">
        <f>IFERROR((COUNTIFS(Database!$F:$I,CONCATENATE($B93,AY$68,"W"))+COUNTIFS(Database!$F:$I,CONCATENATE(AY$68,$B93,"W")))/(COUNTIFS(Database!$F:$I,CONCATENATE($B93,AY$68,"L"))+COUNTIFS(Database!$F:$I,CONCATENATE(AY$68,$B93,"L"))+COUNTIFS(Database!$F:$I,CONCATENATE($B93,AY$68,"W"))+COUNTIFS(Database!$F:$I,CONCATENATE(AY$68,$B93,"W"))),"-")</f>
        <v>1</v>
      </c>
    </row>
    <row r="94" spans="2:51" x14ac:dyDescent="0.25">
      <c r="B94" s="120" t="s">
        <v>46</v>
      </c>
      <c r="C94" s="122">
        <f>IFERROR((COUNTIFS(Database!$F:$I,CONCATENATE($B94,C$68,"W"))+COUNTIFS(Database!$F:$I,CONCATENATE(C$68,$B94,"W")))/(COUNTIFS(Database!$F:$I,CONCATENATE($B94,C$68,"L"))+COUNTIFS(Database!$F:$I,CONCATENATE(C$68,$B94,"L"))+COUNTIFS(Database!$F:$I,CONCATENATE($B94,C$68,"W"))+COUNTIFS(Database!$F:$I,CONCATENATE(C$68,$B94,"W"))),"-")</f>
        <v>0.5</v>
      </c>
      <c r="D94" s="122" t="str">
        <f>IFERROR((COUNTIFS(Database!$F:$I,CONCATENATE($B94,D$68,"W"))+COUNTIFS(Database!$F:$I,CONCATENATE(D$68,$B94,"W")))/(COUNTIFS(Database!$F:$I,CONCATENATE($B94,D$68,"L"))+COUNTIFS(Database!$F:$I,CONCATENATE(D$68,$B94,"L"))+COUNTIFS(Database!$F:$I,CONCATENATE($B94,D$68,"W"))+COUNTIFS(Database!$F:$I,CONCATENATE(D$68,$B94,"W"))),"-")</f>
        <v>-</v>
      </c>
      <c r="E94" s="122">
        <f>IFERROR((COUNTIFS(Database!$F:$I,CONCATENATE($B94,E$68,"W"))+COUNTIFS(Database!$F:$I,CONCATENATE(E$68,$B94,"W")))/(COUNTIFS(Database!$F:$I,CONCATENATE($B94,E$68,"L"))+COUNTIFS(Database!$F:$I,CONCATENATE(E$68,$B94,"L"))+COUNTIFS(Database!$F:$I,CONCATENATE($B94,E$68,"W"))+COUNTIFS(Database!$F:$I,CONCATENATE(E$68,$B94,"W"))),"-")</f>
        <v>0.6</v>
      </c>
      <c r="F94" s="122">
        <f>IFERROR((COUNTIFS(Database!$F:$I,CONCATENATE($B94,F$68,"W"))+COUNTIFS(Database!$F:$I,CONCATENATE(F$68,$B94,"W")))/(COUNTIFS(Database!$F:$I,CONCATENATE($B94,F$68,"L"))+COUNTIFS(Database!$F:$I,CONCATENATE(F$68,$B94,"L"))+COUNTIFS(Database!$F:$I,CONCATENATE($B94,F$68,"W"))+COUNTIFS(Database!$F:$I,CONCATENATE(F$68,$B94,"W"))),"-")</f>
        <v>0.42857142857142855</v>
      </c>
      <c r="G94" s="122">
        <f>IFERROR((COUNTIFS(Database!$F:$I,CONCATENATE($B94,G$68,"W"))+COUNTIFS(Database!$F:$I,CONCATENATE(G$68,$B94,"W")))/(COUNTIFS(Database!$F:$I,CONCATENATE($B94,G$68,"L"))+COUNTIFS(Database!$F:$I,CONCATENATE(G$68,$B94,"L"))+COUNTIFS(Database!$F:$I,CONCATENATE($B94,G$68,"W"))+COUNTIFS(Database!$F:$I,CONCATENATE(G$68,$B94,"W"))),"-")</f>
        <v>0</v>
      </c>
      <c r="H94" s="122">
        <f>IFERROR((COUNTIFS(Database!$F:$I,CONCATENATE($B94,H$68,"W"))+COUNTIFS(Database!$F:$I,CONCATENATE(H$68,$B94,"W")))/(COUNTIFS(Database!$F:$I,CONCATENATE($B94,H$68,"L"))+COUNTIFS(Database!$F:$I,CONCATENATE(H$68,$B94,"L"))+COUNTIFS(Database!$F:$I,CONCATENATE($B94,H$68,"W"))+COUNTIFS(Database!$F:$I,CONCATENATE(H$68,$B94,"W"))),"-")</f>
        <v>1</v>
      </c>
      <c r="I94" s="122">
        <f>IFERROR((COUNTIFS(Database!$F:$I,CONCATENATE($B94,I$68,"W"))+COUNTIFS(Database!$F:$I,CONCATENATE(I$68,$B94,"W")))/(COUNTIFS(Database!$F:$I,CONCATENATE($B94,I$68,"L"))+COUNTIFS(Database!$F:$I,CONCATENATE(I$68,$B94,"L"))+COUNTIFS(Database!$F:$I,CONCATENATE($B94,I$68,"W"))+COUNTIFS(Database!$F:$I,CONCATENATE(I$68,$B94,"W"))),"-")</f>
        <v>0</v>
      </c>
      <c r="J94" s="122">
        <f>IFERROR((COUNTIFS(Database!$F:$I,CONCATENATE($B94,J$68,"W"))+COUNTIFS(Database!$F:$I,CONCATENATE(J$68,$B94,"W")))/(COUNTIFS(Database!$F:$I,CONCATENATE($B94,J$68,"L"))+COUNTIFS(Database!$F:$I,CONCATENATE(J$68,$B94,"L"))+COUNTIFS(Database!$F:$I,CONCATENATE($B94,J$68,"W"))+COUNTIFS(Database!$F:$I,CONCATENATE(J$68,$B94,"W"))),"-")</f>
        <v>0.25</v>
      </c>
      <c r="K94" s="122">
        <f>IFERROR((COUNTIFS(Database!$F:$I,CONCATENATE($B94,K$68,"W"))+COUNTIFS(Database!$F:$I,CONCATENATE(K$68,$B94,"W")))/(COUNTIFS(Database!$F:$I,CONCATENATE($B94,K$68,"L"))+COUNTIFS(Database!$F:$I,CONCATENATE(K$68,$B94,"L"))+COUNTIFS(Database!$F:$I,CONCATENATE($B94,K$68,"W"))+COUNTIFS(Database!$F:$I,CONCATENATE(K$68,$B94,"W"))),"-")</f>
        <v>0.25</v>
      </c>
      <c r="L94" s="122">
        <f>IFERROR((COUNTIFS(Database!$F:$I,CONCATENATE($B94,L$68,"W"))+COUNTIFS(Database!$F:$I,CONCATENATE(L$68,$B94,"W")))/(COUNTIFS(Database!$F:$I,CONCATENATE($B94,L$68,"L"))+COUNTIFS(Database!$F:$I,CONCATENATE(L$68,$B94,"L"))+COUNTIFS(Database!$F:$I,CONCATENATE($B94,L$68,"W"))+COUNTIFS(Database!$F:$I,CONCATENATE(L$68,$B94,"W"))),"-")</f>
        <v>0.66666666666666663</v>
      </c>
      <c r="M94" s="122">
        <f>IFERROR((COUNTIFS(Database!$F:$I,CONCATENATE($B94,M$68,"W"))+COUNTIFS(Database!$F:$I,CONCATENATE(M$68,$B94,"W")))/(COUNTIFS(Database!$F:$I,CONCATENATE($B94,M$68,"L"))+COUNTIFS(Database!$F:$I,CONCATENATE(M$68,$B94,"L"))+COUNTIFS(Database!$F:$I,CONCATENATE($B94,M$68,"W"))+COUNTIFS(Database!$F:$I,CONCATENATE(M$68,$B94,"W"))),"-")</f>
        <v>1</v>
      </c>
      <c r="N94" s="122">
        <f>IFERROR((COUNTIFS(Database!$F:$I,CONCATENATE($B94,N$68,"W"))+COUNTIFS(Database!$F:$I,CONCATENATE(N$68,$B94,"W")))/(COUNTIFS(Database!$F:$I,CONCATENATE($B94,N$68,"L"))+COUNTIFS(Database!$F:$I,CONCATENATE(N$68,$B94,"L"))+COUNTIFS(Database!$F:$I,CONCATENATE($B94,N$68,"W"))+COUNTIFS(Database!$F:$I,CONCATENATE(N$68,$B94,"W"))),"-")</f>
        <v>0.4</v>
      </c>
      <c r="O94" s="122">
        <f>IFERROR((COUNTIFS(Database!$F:$I,CONCATENATE($B94,O$68,"W"))+COUNTIFS(Database!$F:$I,CONCATENATE(O$68,$B94,"W")))/(COUNTIFS(Database!$F:$I,CONCATENATE($B94,O$68,"L"))+COUNTIFS(Database!$F:$I,CONCATENATE(O$68,$B94,"L"))+COUNTIFS(Database!$F:$I,CONCATENATE($B94,O$68,"W"))+COUNTIFS(Database!$F:$I,CONCATENATE(O$68,$B94,"W"))),"-")</f>
        <v>0.375</v>
      </c>
      <c r="P94" s="122">
        <f>IFERROR((COUNTIFS(Database!$F:$I,CONCATENATE($B94,P$68,"W"))+COUNTIFS(Database!$F:$I,CONCATENATE(P$68,$B94,"W")))/(COUNTIFS(Database!$F:$I,CONCATENATE($B94,P$68,"L"))+COUNTIFS(Database!$F:$I,CONCATENATE(P$68,$B94,"L"))+COUNTIFS(Database!$F:$I,CONCATENATE($B94,P$68,"W"))+COUNTIFS(Database!$F:$I,CONCATENATE(P$68,$B94,"W"))),"-")</f>
        <v>1</v>
      </c>
      <c r="Q94" s="122" t="str">
        <f>IFERROR((COUNTIFS(Database!$F:$I,CONCATENATE($B94,Q$68,"W"))+COUNTIFS(Database!$F:$I,CONCATENATE(Q$68,$B94,"W")))/(COUNTIFS(Database!$F:$I,CONCATENATE($B94,Q$68,"L"))+COUNTIFS(Database!$F:$I,CONCATENATE(Q$68,$B94,"L"))+COUNTIFS(Database!$F:$I,CONCATENATE($B94,Q$68,"W"))+COUNTIFS(Database!$F:$I,CONCATENATE(Q$68,$B94,"W"))),"-")</f>
        <v>-</v>
      </c>
      <c r="R94" s="122">
        <f>IFERROR((COUNTIFS(Database!$F:$I,CONCATENATE($B94,R$68,"W"))+COUNTIFS(Database!$F:$I,CONCATENATE(R$68,$B94,"W")))/(COUNTIFS(Database!$F:$I,CONCATENATE($B94,R$68,"L"))+COUNTIFS(Database!$F:$I,CONCATENATE(R$68,$B94,"L"))+COUNTIFS(Database!$F:$I,CONCATENATE($B94,R$68,"W"))+COUNTIFS(Database!$F:$I,CONCATENATE(R$68,$B94,"W"))),"-")</f>
        <v>0</v>
      </c>
      <c r="S94" s="122">
        <f>IFERROR((COUNTIFS(Database!$F:$I,CONCATENATE($B94,S$68,"W"))+COUNTIFS(Database!$F:$I,CONCATENATE(S$68,$B94,"W")))/(COUNTIFS(Database!$F:$I,CONCATENATE($B94,S$68,"L"))+COUNTIFS(Database!$F:$I,CONCATENATE(S$68,$B94,"L"))+COUNTIFS(Database!$F:$I,CONCATENATE($B94,S$68,"W"))+COUNTIFS(Database!$F:$I,CONCATENATE(S$68,$B94,"W"))),"-")</f>
        <v>0.5</v>
      </c>
      <c r="T94" s="122">
        <f>IFERROR((COUNTIFS(Database!$F:$I,CONCATENATE($B94,T$68,"W"))+COUNTIFS(Database!$F:$I,CONCATENATE(T$68,$B94,"W")))/(COUNTIFS(Database!$F:$I,CONCATENATE($B94,T$68,"L"))+COUNTIFS(Database!$F:$I,CONCATENATE(T$68,$B94,"L"))+COUNTIFS(Database!$F:$I,CONCATENATE($B94,T$68,"W"))+COUNTIFS(Database!$F:$I,CONCATENATE(T$68,$B94,"W"))),"-")</f>
        <v>0.5</v>
      </c>
      <c r="U94" s="122" t="str">
        <f>IFERROR((COUNTIFS(Database!$F:$I,CONCATENATE($B94,U$68,"W"))+COUNTIFS(Database!$F:$I,CONCATENATE(U$68,$B94,"W")))/(COUNTIFS(Database!$F:$I,CONCATENATE($B94,U$68,"L"))+COUNTIFS(Database!$F:$I,CONCATENATE(U$68,$B94,"L"))+COUNTIFS(Database!$F:$I,CONCATENATE($B94,U$68,"W"))+COUNTIFS(Database!$F:$I,CONCATENATE(U$68,$B94,"W"))),"-")</f>
        <v>-</v>
      </c>
      <c r="V94" s="122" t="str">
        <f>IFERROR((COUNTIFS(Database!$F:$I,CONCATENATE($B94,V$68,"W"))+COUNTIFS(Database!$F:$I,CONCATENATE(V$68,$B94,"W")))/(COUNTIFS(Database!$F:$I,CONCATENATE($B94,V$68,"L"))+COUNTIFS(Database!$F:$I,CONCATENATE(V$68,$B94,"L"))+COUNTIFS(Database!$F:$I,CONCATENATE($B94,V$68,"W"))+COUNTIFS(Database!$F:$I,CONCATENATE(V$68,$B94,"W"))),"-")</f>
        <v>-</v>
      </c>
      <c r="W94" s="122">
        <f>IFERROR((COUNTIFS(Database!$F:$I,CONCATENATE($B94,W$68,"W"))+COUNTIFS(Database!$F:$I,CONCATENATE(W$68,$B94,"W")))/(COUNTIFS(Database!$F:$I,CONCATENATE($B94,W$68,"L"))+COUNTIFS(Database!$F:$I,CONCATENATE(W$68,$B94,"L"))+COUNTIFS(Database!$F:$I,CONCATENATE($B94,W$68,"W"))+COUNTIFS(Database!$F:$I,CONCATENATE(W$68,$B94,"W"))),"-")</f>
        <v>0.5</v>
      </c>
      <c r="X94" s="122" t="str">
        <f>IFERROR((COUNTIFS(Database!$F:$I,CONCATENATE($B94,X$68,"W"))+COUNTIFS(Database!$F:$I,CONCATENATE(X$68,$B94,"W")))/(COUNTIFS(Database!$F:$I,CONCATENATE($B94,X$68,"L"))+COUNTIFS(Database!$F:$I,CONCATENATE(X$68,$B94,"L"))+COUNTIFS(Database!$F:$I,CONCATENATE($B94,X$68,"W"))+COUNTIFS(Database!$F:$I,CONCATENATE(X$68,$B94,"W"))),"-")</f>
        <v>-</v>
      </c>
      <c r="Y94" s="122">
        <f>IFERROR((COUNTIFS(Database!$F:$I,CONCATENATE($B94,Y$68,"W"))+COUNTIFS(Database!$F:$I,CONCATENATE(Y$68,$B94,"W")))/(COUNTIFS(Database!$F:$I,CONCATENATE($B94,Y$68,"L"))+COUNTIFS(Database!$F:$I,CONCATENATE(Y$68,$B94,"L"))+COUNTIFS(Database!$F:$I,CONCATENATE($B94,Y$68,"W"))+COUNTIFS(Database!$F:$I,CONCATENATE(Y$68,$B94,"W"))),"-")</f>
        <v>0</v>
      </c>
      <c r="Z94" s="122">
        <f>IFERROR((COUNTIFS(Database!$F:$I,CONCATENATE($B94,Z$68,"W"))+COUNTIFS(Database!$F:$I,CONCATENATE(Z$68,$B94,"W")))/(COUNTIFS(Database!$F:$I,CONCATENATE($B94,Z$68,"L"))+COUNTIFS(Database!$F:$I,CONCATENATE(Z$68,$B94,"L"))+COUNTIFS(Database!$F:$I,CONCATENATE($B94,Z$68,"W"))+COUNTIFS(Database!$F:$I,CONCATENATE(Z$68,$B94,"W"))),"-")</f>
        <v>1</v>
      </c>
      <c r="AA94" s="122" t="str">
        <f>IFERROR((COUNTIFS(Database!$F:$I,CONCATENATE($B94,AA$68,"W"))+COUNTIFS(Database!$F:$I,CONCATENATE(AA$68,$B94,"W")))/(COUNTIFS(Database!$F:$I,CONCATENATE($B94,AA$68,"L"))+COUNTIFS(Database!$F:$I,CONCATENATE(AA$68,$B94,"L"))+COUNTIFS(Database!$F:$I,CONCATENATE($B94,AA$68,"W"))+COUNTIFS(Database!$F:$I,CONCATENATE(AA$68,$B94,"W"))),"-")</f>
        <v>-</v>
      </c>
      <c r="AB94" s="122" t="str">
        <f>IFERROR((COUNTIFS(Database!$F:$I,CONCATENATE($B94,AB$68,"W"))+COUNTIFS(Database!$F:$I,CONCATENATE(AB$68,$B94,"W")))/(COUNTIFS(Database!$F:$I,CONCATENATE($B94,AB$68,"L"))+COUNTIFS(Database!$F:$I,CONCATENATE(AB$68,$B94,"L"))+COUNTIFS(Database!$F:$I,CONCATENATE($B94,AB$68,"W"))+COUNTIFS(Database!$F:$I,CONCATENATE(AB$68,$B94,"W"))),"-")</f>
        <v>-</v>
      </c>
      <c r="AC94" s="122">
        <f>IFERROR((COUNTIFS(Database!$F:$I,CONCATENATE($B94,AC$68,"W"))+COUNTIFS(Database!$F:$I,CONCATENATE(AC$68,$B94,"W")))/(COUNTIFS(Database!$F:$I,CONCATENATE($B94,AC$68,"L"))+COUNTIFS(Database!$F:$I,CONCATENATE(AC$68,$B94,"L"))+COUNTIFS(Database!$F:$I,CONCATENATE($B94,AC$68,"W"))+COUNTIFS(Database!$F:$I,CONCATENATE(AC$68,$B94,"W"))),"-")</f>
        <v>0.5</v>
      </c>
      <c r="AD94" s="122" t="str">
        <f>IFERROR((COUNTIFS(Database!$F:$I,CONCATENATE($B94,AD$68,"W"))+COUNTIFS(Database!$F:$I,CONCATENATE(AD$68,$B94,"W")))/(COUNTIFS(Database!$F:$I,CONCATENATE($B94,AD$68,"L"))+COUNTIFS(Database!$F:$I,CONCATENATE(AD$68,$B94,"L"))+COUNTIFS(Database!$F:$I,CONCATENATE($B94,AD$68,"W"))+COUNTIFS(Database!$F:$I,CONCATENATE(AD$68,$B94,"W"))),"-")</f>
        <v>-</v>
      </c>
      <c r="AE94" s="122">
        <f>IFERROR((COUNTIFS(Database!$F:$I,CONCATENATE($B94,AE$68,"W"))+COUNTIFS(Database!$F:$I,CONCATENATE(AE$68,$B94,"W")))/(COUNTIFS(Database!$F:$I,CONCATENATE($B94,AE$68,"L"))+COUNTIFS(Database!$F:$I,CONCATENATE(AE$68,$B94,"L"))+COUNTIFS(Database!$F:$I,CONCATENATE($B94,AE$68,"W"))+COUNTIFS(Database!$F:$I,CONCATENATE(AE$68,$B94,"W"))),"-")</f>
        <v>1</v>
      </c>
      <c r="AF94" s="122" t="str">
        <f>IFERROR((COUNTIFS(Database!$F:$I,CONCATENATE($B94,AF$68,"W"))+COUNTIFS(Database!$F:$I,CONCATENATE(AF$68,$B94,"W")))/(COUNTIFS(Database!$F:$I,CONCATENATE($B94,AF$68,"L"))+COUNTIFS(Database!$F:$I,CONCATENATE(AF$68,$B94,"L"))+COUNTIFS(Database!$F:$I,CONCATENATE($B94,AF$68,"W"))+COUNTIFS(Database!$F:$I,CONCATENATE(AF$68,$B94,"W"))),"-")</f>
        <v>-</v>
      </c>
      <c r="AG94" s="122">
        <f>IFERROR((COUNTIFS(Database!$F:$I,CONCATENATE($B94,AG$68,"W"))+COUNTIFS(Database!$F:$I,CONCATENATE(AG$68,$B94,"W")))/(COUNTIFS(Database!$F:$I,CONCATENATE($B94,AG$68,"L"))+COUNTIFS(Database!$F:$I,CONCATENATE(AG$68,$B94,"L"))+COUNTIFS(Database!$F:$I,CONCATENATE($B94,AG$68,"W"))+COUNTIFS(Database!$F:$I,CONCATENATE(AG$68,$B94,"W"))),"-")</f>
        <v>1</v>
      </c>
      <c r="AH94" s="122">
        <f>IFERROR((COUNTIFS(Database!$F:$I,CONCATENATE($B94,AH$68,"W"))+COUNTIFS(Database!$F:$I,CONCATENATE(AH$68,$B94,"W")))/(COUNTIFS(Database!$F:$I,CONCATENATE($B94,AH$68,"L"))+COUNTIFS(Database!$F:$I,CONCATENATE(AH$68,$B94,"L"))+COUNTIFS(Database!$F:$I,CONCATENATE($B94,AH$68,"W"))+COUNTIFS(Database!$F:$I,CONCATENATE(AH$68,$B94,"W"))),"-")</f>
        <v>1</v>
      </c>
      <c r="AI94" s="122">
        <f>IFERROR((COUNTIFS(Database!$F:$I,CONCATENATE($B94,AI$68,"W"))+COUNTIFS(Database!$F:$I,CONCATENATE(AI$68,$B94,"W")))/(COUNTIFS(Database!$F:$I,CONCATENATE($B94,AI$68,"L"))+COUNTIFS(Database!$F:$I,CONCATENATE(AI$68,$B94,"L"))+COUNTIFS(Database!$F:$I,CONCATENATE($B94,AI$68,"W"))+COUNTIFS(Database!$F:$I,CONCATENATE(AI$68,$B94,"W"))),"-")</f>
        <v>1</v>
      </c>
      <c r="AJ94" s="122">
        <f>IFERROR((COUNTIFS(Database!$F:$I,CONCATENATE($B94,AJ$68,"W"))+COUNTIFS(Database!$F:$I,CONCATENATE(AJ$68,$B94,"W")))/(COUNTIFS(Database!$F:$I,CONCATENATE($B94,AJ$68,"L"))+COUNTIFS(Database!$F:$I,CONCATENATE(AJ$68,$B94,"L"))+COUNTIFS(Database!$F:$I,CONCATENATE($B94,AJ$68,"W"))+COUNTIFS(Database!$F:$I,CONCATENATE(AJ$68,$B94,"W"))),"-")</f>
        <v>0.5</v>
      </c>
      <c r="AK94" s="122">
        <f>IFERROR((COUNTIFS(Database!$F:$I,CONCATENATE($B94,AK$68,"W"))+COUNTIFS(Database!$F:$I,CONCATENATE(AK$68,$B94,"W")))/(COUNTIFS(Database!$F:$I,CONCATENATE($B94,AK$68,"L"))+COUNTIFS(Database!$F:$I,CONCATENATE(AK$68,$B94,"L"))+COUNTIFS(Database!$F:$I,CONCATENATE($B94,AK$68,"W"))+COUNTIFS(Database!$F:$I,CONCATENATE(AK$68,$B94,"W"))),"-")</f>
        <v>0.66666666666666663</v>
      </c>
      <c r="AL94" s="122">
        <f>IFERROR((COUNTIFS(Database!$F:$I,CONCATENATE($B94,AL$68,"W"))+COUNTIFS(Database!$F:$I,CONCATENATE(AL$68,$B94,"W")))/(COUNTIFS(Database!$F:$I,CONCATENATE($B94,AL$68,"L"))+COUNTIFS(Database!$F:$I,CONCATENATE(AL$68,$B94,"L"))+COUNTIFS(Database!$F:$I,CONCATENATE($B94,AL$68,"W"))+COUNTIFS(Database!$F:$I,CONCATENATE(AL$68,$B94,"W"))),"-")</f>
        <v>0</v>
      </c>
      <c r="AM94" s="122" t="str">
        <f>IFERROR((COUNTIFS(Database!$F:$I,CONCATENATE($B94,AM$68,"W"))+COUNTIFS(Database!$F:$I,CONCATENATE(AM$68,$B94,"W")))/(COUNTIFS(Database!$F:$I,CONCATENATE($B94,AM$68,"L"))+COUNTIFS(Database!$F:$I,CONCATENATE(AM$68,$B94,"L"))+COUNTIFS(Database!$F:$I,CONCATENATE($B94,AM$68,"W"))+COUNTIFS(Database!$F:$I,CONCATENATE(AM$68,$B94,"W"))),"-")</f>
        <v>-</v>
      </c>
      <c r="AN94" s="122" t="str">
        <f>IFERROR((COUNTIFS(Database!$F:$I,CONCATENATE($B94,AN$68,"W"))+COUNTIFS(Database!$F:$I,CONCATENATE(AN$68,$B94,"W")))/(COUNTIFS(Database!$F:$I,CONCATENATE($B94,AN$68,"L"))+COUNTIFS(Database!$F:$I,CONCATENATE(AN$68,$B94,"L"))+COUNTIFS(Database!$F:$I,CONCATENATE($B94,AN$68,"W"))+COUNTIFS(Database!$F:$I,CONCATENATE(AN$68,$B94,"W"))),"-")</f>
        <v>-</v>
      </c>
      <c r="AO94" s="122">
        <f>IFERROR((COUNTIFS(Database!$F:$I,CONCATENATE($B94,AO$68,"W"))+COUNTIFS(Database!$F:$I,CONCATENATE(AO$68,$B94,"W")))/(COUNTIFS(Database!$F:$I,CONCATENATE($B94,AO$68,"L"))+COUNTIFS(Database!$F:$I,CONCATENATE(AO$68,$B94,"L"))+COUNTIFS(Database!$F:$I,CONCATENATE($B94,AO$68,"W"))+COUNTIFS(Database!$F:$I,CONCATENATE(AO$68,$B94,"W"))),"-")</f>
        <v>0.4</v>
      </c>
      <c r="AP94" s="122">
        <f>IFERROR((COUNTIFS(Database!$F:$I,CONCATENATE($B94,AP$68,"W"))+COUNTIFS(Database!$F:$I,CONCATENATE(AP$68,$B94,"W")))/(COUNTIFS(Database!$F:$I,CONCATENATE($B94,AP$68,"L"))+COUNTIFS(Database!$F:$I,CONCATENATE(AP$68,$B94,"L"))+COUNTIFS(Database!$F:$I,CONCATENATE($B94,AP$68,"W"))+COUNTIFS(Database!$F:$I,CONCATENATE(AP$68,$B94,"W"))),"-")</f>
        <v>1</v>
      </c>
      <c r="AQ94" s="122">
        <f>IFERROR((COUNTIFS(Database!$F:$I,CONCATENATE($B94,AQ$68,"W"))+COUNTIFS(Database!$F:$I,CONCATENATE(AQ$68,$B94,"W")))/(COUNTIFS(Database!$F:$I,CONCATENATE($B94,AQ$68,"L"))+COUNTIFS(Database!$F:$I,CONCATENATE(AQ$68,$B94,"L"))+COUNTIFS(Database!$F:$I,CONCATENATE($B94,AQ$68,"W"))+COUNTIFS(Database!$F:$I,CONCATENATE(AQ$68,$B94,"W"))),"-")</f>
        <v>0</v>
      </c>
      <c r="AR94" s="122">
        <f>IFERROR((COUNTIFS(Database!$F:$I,CONCATENATE($B94,AR$68,"W"))+COUNTIFS(Database!$F:$I,CONCATENATE(AR$68,$B94,"W")))/(COUNTIFS(Database!$F:$I,CONCATENATE($B94,AR$68,"L"))+COUNTIFS(Database!$F:$I,CONCATENATE(AR$68,$B94,"L"))+COUNTIFS(Database!$F:$I,CONCATENATE($B94,AR$68,"W"))+COUNTIFS(Database!$F:$I,CONCATENATE(AR$68,$B94,"W"))),"-")</f>
        <v>0.2857142857142857</v>
      </c>
      <c r="AS94" s="122" t="str">
        <f>IFERROR((COUNTIFS(Database!$F:$I,CONCATENATE($B94,AS$68,"W"))+COUNTIFS(Database!$F:$I,CONCATENATE(AS$68,$B94,"W")))/(COUNTIFS(Database!$F:$I,CONCATENATE($B94,AS$68,"L"))+COUNTIFS(Database!$F:$I,CONCATENATE(AS$68,$B94,"L"))+COUNTIFS(Database!$F:$I,CONCATENATE($B94,AS$68,"W"))+COUNTIFS(Database!$F:$I,CONCATENATE(AS$68,$B94,"W"))),"-")</f>
        <v>-</v>
      </c>
      <c r="AT94" s="122" t="str">
        <f>IFERROR((COUNTIFS(Database!$F:$I,CONCATENATE($B94,AT$68,"W"))+COUNTIFS(Database!$F:$I,CONCATENATE(AT$68,$B94,"W")))/(COUNTIFS(Database!$F:$I,CONCATENATE($B94,AT$68,"L"))+COUNTIFS(Database!$F:$I,CONCATENATE(AT$68,$B94,"L"))+COUNTIFS(Database!$F:$I,CONCATENATE($B94,AT$68,"W"))+COUNTIFS(Database!$F:$I,CONCATENATE(AT$68,$B94,"W"))),"-")</f>
        <v>-</v>
      </c>
      <c r="AU94" s="122">
        <f>IFERROR((COUNTIFS(Database!$F:$I,CONCATENATE($B94,AU$68,"W"))+COUNTIFS(Database!$F:$I,CONCATENATE(AU$68,$B94,"W")))/(COUNTIFS(Database!$F:$I,CONCATENATE($B94,AU$68,"L"))+COUNTIFS(Database!$F:$I,CONCATENATE(AU$68,$B94,"L"))+COUNTIFS(Database!$F:$I,CONCATENATE($B94,AU$68,"W"))+COUNTIFS(Database!$F:$I,CONCATENATE(AU$68,$B94,"W"))),"-")</f>
        <v>0.25</v>
      </c>
      <c r="AV94" s="122">
        <f>IFERROR((COUNTIFS(Database!$F:$I,CONCATENATE($B94,AV$68,"W"))+COUNTIFS(Database!$F:$I,CONCATENATE(AV$68,$B94,"W")))/(COUNTIFS(Database!$F:$I,CONCATENATE($B94,AV$68,"L"))+COUNTIFS(Database!$F:$I,CONCATENATE(AV$68,$B94,"L"))+COUNTIFS(Database!$F:$I,CONCATENATE($B94,AV$68,"W"))+COUNTIFS(Database!$F:$I,CONCATENATE(AV$68,$B94,"W"))),"-")</f>
        <v>0</v>
      </c>
      <c r="AW94" s="122">
        <f>IFERROR((COUNTIFS(Database!$F:$I,CONCATENATE($B94,AW$68,"W"))+COUNTIFS(Database!$F:$I,CONCATENATE(AW$68,$B94,"W")))/(COUNTIFS(Database!$F:$I,CONCATENATE($B94,AW$68,"L"))+COUNTIFS(Database!$F:$I,CONCATENATE(AW$68,$B94,"L"))+COUNTIFS(Database!$F:$I,CONCATENATE($B94,AW$68,"W"))+COUNTIFS(Database!$F:$I,CONCATENATE(AW$68,$B94,"W"))),"-")</f>
        <v>0.875</v>
      </c>
      <c r="AX94" s="122">
        <f>IFERROR((COUNTIFS(Database!$F:$I,CONCATENATE($B94,AX$68,"W"))+COUNTIFS(Database!$F:$I,CONCATENATE(AX$68,$B94,"W")))/(COUNTIFS(Database!$F:$I,CONCATENATE($B94,AX$68,"L"))+COUNTIFS(Database!$F:$I,CONCATENATE(AX$68,$B94,"L"))+COUNTIFS(Database!$F:$I,CONCATENATE($B94,AX$68,"W"))+COUNTIFS(Database!$F:$I,CONCATENATE(AX$68,$B94,"W"))),"-")</f>
        <v>0</v>
      </c>
      <c r="AY94" s="122">
        <f>IFERROR((COUNTIFS(Database!$F:$I,CONCATENATE($B94,AY$68,"W"))+COUNTIFS(Database!$F:$I,CONCATENATE(AY$68,$B94,"W")))/(COUNTIFS(Database!$F:$I,CONCATENATE($B94,AY$68,"L"))+COUNTIFS(Database!$F:$I,CONCATENATE(AY$68,$B94,"L"))+COUNTIFS(Database!$F:$I,CONCATENATE($B94,AY$68,"W"))+COUNTIFS(Database!$F:$I,CONCATENATE(AY$68,$B94,"W"))),"-")</f>
        <v>0.66666666666666663</v>
      </c>
    </row>
    <row r="95" spans="2:51" x14ac:dyDescent="0.25">
      <c r="B95" s="120" t="s">
        <v>58</v>
      </c>
      <c r="C95" s="122">
        <f>IFERROR((COUNTIFS(Database!$F:$I,CONCATENATE($B95,C$68,"W"))+COUNTIFS(Database!$F:$I,CONCATENATE(C$68,$B95,"W")))/(COUNTIFS(Database!$F:$I,CONCATENATE($B95,C$68,"L"))+COUNTIFS(Database!$F:$I,CONCATENATE(C$68,$B95,"L"))+COUNTIFS(Database!$F:$I,CONCATENATE($B95,C$68,"W"))+COUNTIFS(Database!$F:$I,CONCATENATE(C$68,$B95,"W"))),"-")</f>
        <v>0.45454545454545453</v>
      </c>
      <c r="D95" s="122">
        <f>IFERROR((COUNTIFS(Database!$F:$I,CONCATENATE($B95,D$68,"W"))+COUNTIFS(Database!$F:$I,CONCATENATE(D$68,$B95,"W")))/(COUNTIFS(Database!$F:$I,CONCATENATE($B95,D$68,"L"))+COUNTIFS(Database!$F:$I,CONCATENATE(D$68,$B95,"L"))+COUNTIFS(Database!$F:$I,CONCATENATE($B95,D$68,"W"))+COUNTIFS(Database!$F:$I,CONCATENATE(D$68,$B95,"W"))),"-")</f>
        <v>1</v>
      </c>
      <c r="E95" s="122">
        <f>IFERROR((COUNTIFS(Database!$F:$I,CONCATENATE($B95,E$68,"W"))+COUNTIFS(Database!$F:$I,CONCATENATE(E$68,$B95,"W")))/(COUNTIFS(Database!$F:$I,CONCATENATE($B95,E$68,"L"))+COUNTIFS(Database!$F:$I,CONCATENATE(E$68,$B95,"L"))+COUNTIFS(Database!$F:$I,CONCATENATE($B95,E$68,"W"))+COUNTIFS(Database!$F:$I,CONCATENATE(E$68,$B95,"W"))),"-")</f>
        <v>0.5</v>
      </c>
      <c r="F95" s="122">
        <f>IFERROR((COUNTIFS(Database!$F:$I,CONCATENATE($B95,F$68,"W"))+COUNTIFS(Database!$F:$I,CONCATENATE(F$68,$B95,"W")))/(COUNTIFS(Database!$F:$I,CONCATENATE($B95,F$68,"L"))+COUNTIFS(Database!$F:$I,CONCATENATE(F$68,$B95,"L"))+COUNTIFS(Database!$F:$I,CONCATENATE($B95,F$68,"W"))+COUNTIFS(Database!$F:$I,CONCATENATE(F$68,$B95,"W"))),"-")</f>
        <v>0.4</v>
      </c>
      <c r="G95" s="122" t="str">
        <f>IFERROR((COUNTIFS(Database!$F:$I,CONCATENATE($B95,G$68,"W"))+COUNTIFS(Database!$F:$I,CONCATENATE(G$68,$B95,"W")))/(COUNTIFS(Database!$F:$I,CONCATENATE($B95,G$68,"L"))+COUNTIFS(Database!$F:$I,CONCATENATE(G$68,$B95,"L"))+COUNTIFS(Database!$F:$I,CONCATENATE($B95,G$68,"W"))+COUNTIFS(Database!$F:$I,CONCATENATE(G$68,$B95,"W"))),"-")</f>
        <v>-</v>
      </c>
      <c r="H95" s="122" t="str">
        <f>IFERROR((COUNTIFS(Database!$F:$I,CONCATENATE($B95,H$68,"W"))+COUNTIFS(Database!$F:$I,CONCATENATE(H$68,$B95,"W")))/(COUNTIFS(Database!$F:$I,CONCATENATE($B95,H$68,"L"))+COUNTIFS(Database!$F:$I,CONCATENATE(H$68,$B95,"L"))+COUNTIFS(Database!$F:$I,CONCATENATE($B95,H$68,"W"))+COUNTIFS(Database!$F:$I,CONCATENATE(H$68,$B95,"W"))),"-")</f>
        <v>-</v>
      </c>
      <c r="I95" s="122" t="str">
        <f>IFERROR((COUNTIFS(Database!$F:$I,CONCATENATE($B95,I$68,"W"))+COUNTIFS(Database!$F:$I,CONCATENATE(I$68,$B95,"W")))/(COUNTIFS(Database!$F:$I,CONCATENATE($B95,I$68,"L"))+COUNTIFS(Database!$F:$I,CONCATENATE(I$68,$B95,"L"))+COUNTIFS(Database!$F:$I,CONCATENATE($B95,I$68,"W"))+COUNTIFS(Database!$F:$I,CONCATENATE(I$68,$B95,"W"))),"-")</f>
        <v>-</v>
      </c>
      <c r="J95" s="122">
        <f>IFERROR((COUNTIFS(Database!$F:$I,CONCATENATE($B95,J$68,"W"))+COUNTIFS(Database!$F:$I,CONCATENATE(J$68,$B95,"W")))/(COUNTIFS(Database!$F:$I,CONCATENATE($B95,J$68,"L"))+COUNTIFS(Database!$F:$I,CONCATENATE(J$68,$B95,"L"))+COUNTIFS(Database!$F:$I,CONCATENATE($B95,J$68,"W"))+COUNTIFS(Database!$F:$I,CONCATENATE(J$68,$B95,"W"))),"-")</f>
        <v>0.5</v>
      </c>
      <c r="K95" s="122">
        <f>IFERROR((COUNTIFS(Database!$F:$I,CONCATENATE($B95,K$68,"W"))+COUNTIFS(Database!$F:$I,CONCATENATE(K$68,$B95,"W")))/(COUNTIFS(Database!$F:$I,CONCATENATE($B95,K$68,"L"))+COUNTIFS(Database!$F:$I,CONCATENATE(K$68,$B95,"L"))+COUNTIFS(Database!$F:$I,CONCATENATE($B95,K$68,"W"))+COUNTIFS(Database!$F:$I,CONCATENATE(K$68,$B95,"W"))),"-")</f>
        <v>0.42857142857142855</v>
      </c>
      <c r="L95" s="122">
        <f>IFERROR((COUNTIFS(Database!$F:$I,CONCATENATE($B95,L$68,"W"))+COUNTIFS(Database!$F:$I,CONCATENATE(L$68,$B95,"W")))/(COUNTIFS(Database!$F:$I,CONCATENATE($B95,L$68,"L"))+COUNTIFS(Database!$F:$I,CONCATENATE(L$68,$B95,"L"))+COUNTIFS(Database!$F:$I,CONCATENATE($B95,L$68,"W"))+COUNTIFS(Database!$F:$I,CONCATENATE(L$68,$B95,"W"))),"-")</f>
        <v>0</v>
      </c>
      <c r="M95" s="122" t="str">
        <f>IFERROR((COUNTIFS(Database!$F:$I,CONCATENATE($B95,M$68,"W"))+COUNTIFS(Database!$F:$I,CONCATENATE(M$68,$B95,"W")))/(COUNTIFS(Database!$F:$I,CONCATENATE($B95,M$68,"L"))+COUNTIFS(Database!$F:$I,CONCATENATE(M$68,$B95,"L"))+COUNTIFS(Database!$F:$I,CONCATENATE($B95,M$68,"W"))+COUNTIFS(Database!$F:$I,CONCATENATE(M$68,$B95,"W"))),"-")</f>
        <v>-</v>
      </c>
      <c r="N95" s="122">
        <f>IFERROR((COUNTIFS(Database!$F:$I,CONCATENATE($B95,N$68,"W"))+COUNTIFS(Database!$F:$I,CONCATENATE(N$68,$B95,"W")))/(COUNTIFS(Database!$F:$I,CONCATENATE($B95,N$68,"L"))+COUNTIFS(Database!$F:$I,CONCATENATE(N$68,$B95,"L"))+COUNTIFS(Database!$F:$I,CONCATENATE($B95,N$68,"W"))+COUNTIFS(Database!$F:$I,CONCATENATE(N$68,$B95,"W"))),"-")</f>
        <v>0</v>
      </c>
      <c r="O95" s="122">
        <f>IFERROR((COUNTIFS(Database!$F:$I,CONCATENATE($B95,O$68,"W"))+COUNTIFS(Database!$F:$I,CONCATENATE(O$68,$B95,"W")))/(COUNTIFS(Database!$F:$I,CONCATENATE($B95,O$68,"L"))+COUNTIFS(Database!$F:$I,CONCATENATE(O$68,$B95,"L"))+COUNTIFS(Database!$F:$I,CONCATENATE($B95,O$68,"W"))+COUNTIFS(Database!$F:$I,CONCATENATE(O$68,$B95,"W"))),"-")</f>
        <v>0.5</v>
      </c>
      <c r="P95" s="122" t="str">
        <f>IFERROR((COUNTIFS(Database!$F:$I,CONCATENATE($B95,P$68,"W"))+COUNTIFS(Database!$F:$I,CONCATENATE(P$68,$B95,"W")))/(COUNTIFS(Database!$F:$I,CONCATENATE($B95,P$68,"L"))+COUNTIFS(Database!$F:$I,CONCATENATE(P$68,$B95,"L"))+COUNTIFS(Database!$F:$I,CONCATENATE($B95,P$68,"W"))+COUNTIFS(Database!$F:$I,CONCATENATE(P$68,$B95,"W"))),"-")</f>
        <v>-</v>
      </c>
      <c r="Q95" s="122">
        <f>IFERROR((COUNTIFS(Database!$F:$I,CONCATENATE($B95,Q$68,"W"))+COUNTIFS(Database!$F:$I,CONCATENATE(Q$68,$B95,"W")))/(COUNTIFS(Database!$F:$I,CONCATENATE($B95,Q$68,"L"))+COUNTIFS(Database!$F:$I,CONCATENATE(Q$68,$B95,"L"))+COUNTIFS(Database!$F:$I,CONCATENATE($B95,Q$68,"W"))+COUNTIFS(Database!$F:$I,CONCATENATE(Q$68,$B95,"W"))),"-")</f>
        <v>0</v>
      </c>
      <c r="R95" s="122" t="str">
        <f>IFERROR((COUNTIFS(Database!$F:$I,CONCATENATE($B95,R$68,"W"))+COUNTIFS(Database!$F:$I,CONCATENATE(R$68,$B95,"W")))/(COUNTIFS(Database!$F:$I,CONCATENATE($B95,R$68,"L"))+COUNTIFS(Database!$F:$I,CONCATENATE(R$68,$B95,"L"))+COUNTIFS(Database!$F:$I,CONCATENATE($B95,R$68,"W"))+COUNTIFS(Database!$F:$I,CONCATENATE(R$68,$B95,"W"))),"-")</f>
        <v>-</v>
      </c>
      <c r="S95" s="122">
        <f>IFERROR((COUNTIFS(Database!$F:$I,CONCATENATE($B95,S$68,"W"))+COUNTIFS(Database!$F:$I,CONCATENATE(S$68,$B95,"W")))/(COUNTIFS(Database!$F:$I,CONCATENATE($B95,S$68,"L"))+COUNTIFS(Database!$F:$I,CONCATENATE(S$68,$B95,"L"))+COUNTIFS(Database!$F:$I,CONCATENATE($B95,S$68,"W"))+COUNTIFS(Database!$F:$I,CONCATENATE(S$68,$B95,"W"))),"-")</f>
        <v>0</v>
      </c>
      <c r="T95" s="122">
        <f>IFERROR((COUNTIFS(Database!$F:$I,CONCATENATE($B95,T$68,"W"))+COUNTIFS(Database!$F:$I,CONCATENATE(T$68,$B95,"W")))/(COUNTIFS(Database!$F:$I,CONCATENATE($B95,T$68,"L"))+COUNTIFS(Database!$F:$I,CONCATENATE(T$68,$B95,"L"))+COUNTIFS(Database!$F:$I,CONCATENATE($B95,T$68,"W"))+COUNTIFS(Database!$F:$I,CONCATENATE(T$68,$B95,"W"))),"-")</f>
        <v>0.5</v>
      </c>
      <c r="U95" s="122">
        <f>IFERROR((COUNTIFS(Database!$F:$I,CONCATENATE($B95,U$68,"W"))+COUNTIFS(Database!$F:$I,CONCATENATE(U$68,$B95,"W")))/(COUNTIFS(Database!$F:$I,CONCATENATE($B95,U$68,"L"))+COUNTIFS(Database!$F:$I,CONCATENATE(U$68,$B95,"L"))+COUNTIFS(Database!$F:$I,CONCATENATE($B95,U$68,"W"))+COUNTIFS(Database!$F:$I,CONCATENATE(U$68,$B95,"W"))),"-")</f>
        <v>0</v>
      </c>
      <c r="V95" s="122">
        <f>IFERROR((COUNTIFS(Database!$F:$I,CONCATENATE($B95,V$68,"W"))+COUNTIFS(Database!$F:$I,CONCATENATE(V$68,$B95,"W")))/(COUNTIFS(Database!$F:$I,CONCATENATE($B95,V$68,"L"))+COUNTIFS(Database!$F:$I,CONCATENATE(V$68,$B95,"L"))+COUNTIFS(Database!$F:$I,CONCATENATE($B95,V$68,"W"))+COUNTIFS(Database!$F:$I,CONCATENATE(V$68,$B95,"W"))),"-")</f>
        <v>0</v>
      </c>
      <c r="W95" s="122">
        <f>IFERROR((COUNTIFS(Database!$F:$I,CONCATENATE($B95,W$68,"W"))+COUNTIFS(Database!$F:$I,CONCATENATE(W$68,$B95,"W")))/(COUNTIFS(Database!$F:$I,CONCATENATE($B95,W$68,"L"))+COUNTIFS(Database!$F:$I,CONCATENATE(W$68,$B95,"L"))+COUNTIFS(Database!$F:$I,CONCATENATE($B95,W$68,"W"))+COUNTIFS(Database!$F:$I,CONCATENATE(W$68,$B95,"W"))),"-")</f>
        <v>0.33333333333333331</v>
      </c>
      <c r="X95" s="122">
        <f>IFERROR((COUNTIFS(Database!$F:$I,CONCATENATE($B95,X$68,"W"))+COUNTIFS(Database!$F:$I,CONCATENATE(X$68,$B95,"W")))/(COUNTIFS(Database!$F:$I,CONCATENATE($B95,X$68,"L"))+COUNTIFS(Database!$F:$I,CONCATENATE(X$68,$B95,"L"))+COUNTIFS(Database!$F:$I,CONCATENATE($B95,X$68,"W"))+COUNTIFS(Database!$F:$I,CONCATENATE(X$68,$B95,"W"))),"-")</f>
        <v>0.5</v>
      </c>
      <c r="Y95" s="122">
        <f>IFERROR((COUNTIFS(Database!$F:$I,CONCATENATE($B95,Y$68,"W"))+COUNTIFS(Database!$F:$I,CONCATENATE(Y$68,$B95,"W")))/(COUNTIFS(Database!$F:$I,CONCATENATE($B95,Y$68,"L"))+COUNTIFS(Database!$F:$I,CONCATENATE(Y$68,$B95,"L"))+COUNTIFS(Database!$F:$I,CONCATENATE($B95,Y$68,"W"))+COUNTIFS(Database!$F:$I,CONCATENATE(Y$68,$B95,"W"))),"-")</f>
        <v>0.25</v>
      </c>
      <c r="Z95" s="122">
        <f>IFERROR((COUNTIFS(Database!$F:$I,CONCATENATE($B95,Z$68,"W"))+COUNTIFS(Database!$F:$I,CONCATENATE(Z$68,$B95,"W")))/(COUNTIFS(Database!$F:$I,CONCATENATE($B95,Z$68,"L"))+COUNTIFS(Database!$F:$I,CONCATENATE(Z$68,$B95,"L"))+COUNTIFS(Database!$F:$I,CONCATENATE($B95,Z$68,"W"))+COUNTIFS(Database!$F:$I,CONCATENATE(Z$68,$B95,"W"))),"-")</f>
        <v>1</v>
      </c>
      <c r="AA95" s="122">
        <f>IFERROR((COUNTIFS(Database!$F:$I,CONCATENATE($B95,AA$68,"W"))+COUNTIFS(Database!$F:$I,CONCATENATE(AA$68,$B95,"W")))/(COUNTIFS(Database!$F:$I,CONCATENATE($B95,AA$68,"L"))+COUNTIFS(Database!$F:$I,CONCATENATE(AA$68,$B95,"L"))+COUNTIFS(Database!$F:$I,CONCATENATE($B95,AA$68,"W"))+COUNTIFS(Database!$F:$I,CONCATENATE(AA$68,$B95,"W"))),"-")</f>
        <v>1</v>
      </c>
      <c r="AB95" s="122">
        <f>IFERROR((COUNTIFS(Database!$F:$I,CONCATENATE($B95,AB$68,"W"))+COUNTIFS(Database!$F:$I,CONCATENATE(AB$68,$B95,"W")))/(COUNTIFS(Database!$F:$I,CONCATENATE($B95,AB$68,"L"))+COUNTIFS(Database!$F:$I,CONCATENATE(AB$68,$B95,"L"))+COUNTIFS(Database!$F:$I,CONCATENATE($B95,AB$68,"W"))+COUNTIFS(Database!$F:$I,CONCATENATE(AB$68,$B95,"W"))),"-")</f>
        <v>0.5</v>
      </c>
      <c r="AC95" s="122" t="str">
        <f>IFERROR((COUNTIFS(Database!$F:$I,CONCATENATE($B95,AC$68,"W"))+COUNTIFS(Database!$F:$I,CONCATENATE(AC$68,$B95,"W")))/(COUNTIFS(Database!$F:$I,CONCATENATE($B95,AC$68,"L"))+COUNTIFS(Database!$F:$I,CONCATENATE(AC$68,$B95,"L"))+COUNTIFS(Database!$F:$I,CONCATENATE($B95,AC$68,"W"))+COUNTIFS(Database!$F:$I,CONCATENATE(AC$68,$B95,"W"))),"-")</f>
        <v>-</v>
      </c>
      <c r="AD95" s="122">
        <f>IFERROR((COUNTIFS(Database!$F:$I,CONCATENATE($B95,AD$68,"W"))+COUNTIFS(Database!$F:$I,CONCATENATE(AD$68,$B95,"W")))/(COUNTIFS(Database!$F:$I,CONCATENATE($B95,AD$68,"L"))+COUNTIFS(Database!$F:$I,CONCATENATE(AD$68,$B95,"L"))+COUNTIFS(Database!$F:$I,CONCATENATE($B95,AD$68,"W"))+COUNTIFS(Database!$F:$I,CONCATENATE(AD$68,$B95,"W"))),"-")</f>
        <v>0</v>
      </c>
      <c r="AE95" s="122" t="str">
        <f>IFERROR((COUNTIFS(Database!$F:$I,CONCATENATE($B95,AE$68,"W"))+COUNTIFS(Database!$F:$I,CONCATENATE(AE$68,$B95,"W")))/(COUNTIFS(Database!$F:$I,CONCATENATE($B95,AE$68,"L"))+COUNTIFS(Database!$F:$I,CONCATENATE(AE$68,$B95,"L"))+COUNTIFS(Database!$F:$I,CONCATENATE($B95,AE$68,"W"))+COUNTIFS(Database!$F:$I,CONCATENATE(AE$68,$B95,"W"))),"-")</f>
        <v>-</v>
      </c>
      <c r="AF95" s="122" t="str">
        <f>IFERROR((COUNTIFS(Database!$F:$I,CONCATENATE($B95,AF$68,"W"))+COUNTIFS(Database!$F:$I,CONCATENATE(AF$68,$B95,"W")))/(COUNTIFS(Database!$F:$I,CONCATENATE($B95,AF$68,"L"))+COUNTIFS(Database!$F:$I,CONCATENATE(AF$68,$B95,"L"))+COUNTIFS(Database!$F:$I,CONCATENATE($B95,AF$68,"W"))+COUNTIFS(Database!$F:$I,CONCATENATE(AF$68,$B95,"W"))),"-")</f>
        <v>-</v>
      </c>
      <c r="AG95" s="122">
        <f>IFERROR((COUNTIFS(Database!$F:$I,CONCATENATE($B95,AG$68,"W"))+COUNTIFS(Database!$F:$I,CONCATENATE(AG$68,$B95,"W")))/(COUNTIFS(Database!$F:$I,CONCATENATE($B95,AG$68,"L"))+COUNTIFS(Database!$F:$I,CONCATENATE(AG$68,$B95,"L"))+COUNTIFS(Database!$F:$I,CONCATENATE($B95,AG$68,"W"))+COUNTIFS(Database!$F:$I,CONCATENATE(AG$68,$B95,"W"))),"-")</f>
        <v>0.5</v>
      </c>
      <c r="AH95" s="122">
        <f>IFERROR((COUNTIFS(Database!$F:$I,CONCATENATE($B95,AH$68,"W"))+COUNTIFS(Database!$F:$I,CONCATENATE(AH$68,$B95,"W")))/(COUNTIFS(Database!$F:$I,CONCATENATE($B95,AH$68,"L"))+COUNTIFS(Database!$F:$I,CONCATENATE(AH$68,$B95,"L"))+COUNTIFS(Database!$F:$I,CONCATENATE($B95,AH$68,"W"))+COUNTIFS(Database!$F:$I,CONCATENATE(AH$68,$B95,"W"))),"-")</f>
        <v>1</v>
      </c>
      <c r="AI95" s="122">
        <f>IFERROR((COUNTIFS(Database!$F:$I,CONCATENATE($B95,AI$68,"W"))+COUNTIFS(Database!$F:$I,CONCATENATE(AI$68,$B95,"W")))/(COUNTIFS(Database!$F:$I,CONCATENATE($B95,AI$68,"L"))+COUNTIFS(Database!$F:$I,CONCATENATE(AI$68,$B95,"L"))+COUNTIFS(Database!$F:$I,CONCATENATE($B95,AI$68,"W"))+COUNTIFS(Database!$F:$I,CONCATENATE(AI$68,$B95,"W"))),"-")</f>
        <v>0.75</v>
      </c>
      <c r="AJ95" s="122">
        <f>IFERROR((COUNTIFS(Database!$F:$I,CONCATENATE($B95,AJ$68,"W"))+COUNTIFS(Database!$F:$I,CONCATENATE(AJ$68,$B95,"W")))/(COUNTIFS(Database!$F:$I,CONCATENATE($B95,AJ$68,"L"))+COUNTIFS(Database!$F:$I,CONCATENATE(AJ$68,$B95,"L"))+COUNTIFS(Database!$F:$I,CONCATENATE($B95,AJ$68,"W"))+COUNTIFS(Database!$F:$I,CONCATENATE(AJ$68,$B95,"W"))),"-")</f>
        <v>0.5</v>
      </c>
      <c r="AK95" s="122">
        <f>IFERROR((COUNTIFS(Database!$F:$I,CONCATENATE($B95,AK$68,"W"))+COUNTIFS(Database!$F:$I,CONCATENATE(AK$68,$B95,"W")))/(COUNTIFS(Database!$F:$I,CONCATENATE($B95,AK$68,"L"))+COUNTIFS(Database!$F:$I,CONCATENATE(AK$68,$B95,"L"))+COUNTIFS(Database!$F:$I,CONCATENATE($B95,AK$68,"W"))+COUNTIFS(Database!$F:$I,CONCATENATE(AK$68,$B95,"W"))),"-")</f>
        <v>0.33333333333333331</v>
      </c>
      <c r="AL95" s="122">
        <f>IFERROR((COUNTIFS(Database!$F:$I,CONCATENATE($B95,AL$68,"W"))+COUNTIFS(Database!$F:$I,CONCATENATE(AL$68,$B95,"W")))/(COUNTIFS(Database!$F:$I,CONCATENATE($B95,AL$68,"L"))+COUNTIFS(Database!$F:$I,CONCATENATE(AL$68,$B95,"L"))+COUNTIFS(Database!$F:$I,CONCATENATE($B95,AL$68,"W"))+COUNTIFS(Database!$F:$I,CONCATENATE(AL$68,$B95,"W"))),"-")</f>
        <v>0.5</v>
      </c>
      <c r="AM95" s="122">
        <f>IFERROR((COUNTIFS(Database!$F:$I,CONCATENATE($B95,AM$68,"W"))+COUNTIFS(Database!$F:$I,CONCATENATE(AM$68,$B95,"W")))/(COUNTIFS(Database!$F:$I,CONCATENATE($B95,AM$68,"L"))+COUNTIFS(Database!$F:$I,CONCATENATE(AM$68,$B95,"L"))+COUNTIFS(Database!$F:$I,CONCATENATE($B95,AM$68,"W"))+COUNTIFS(Database!$F:$I,CONCATENATE(AM$68,$B95,"W"))),"-")</f>
        <v>0</v>
      </c>
      <c r="AN95" s="122" t="str">
        <f>IFERROR((COUNTIFS(Database!$F:$I,CONCATENATE($B95,AN$68,"W"))+COUNTIFS(Database!$F:$I,CONCATENATE(AN$68,$B95,"W")))/(COUNTIFS(Database!$F:$I,CONCATENATE($B95,AN$68,"L"))+COUNTIFS(Database!$F:$I,CONCATENATE(AN$68,$B95,"L"))+COUNTIFS(Database!$F:$I,CONCATENATE($B95,AN$68,"W"))+COUNTIFS(Database!$F:$I,CONCATENATE(AN$68,$B95,"W"))),"-")</f>
        <v>-</v>
      </c>
      <c r="AO95" s="122">
        <f>IFERROR((COUNTIFS(Database!$F:$I,CONCATENATE($B95,AO$68,"W"))+COUNTIFS(Database!$F:$I,CONCATENATE(AO$68,$B95,"W")))/(COUNTIFS(Database!$F:$I,CONCATENATE($B95,AO$68,"L"))+COUNTIFS(Database!$F:$I,CONCATENATE(AO$68,$B95,"L"))+COUNTIFS(Database!$F:$I,CONCATENATE($B95,AO$68,"W"))+COUNTIFS(Database!$F:$I,CONCATENATE(AO$68,$B95,"W"))),"-")</f>
        <v>0.6</v>
      </c>
      <c r="AP95" s="122" t="str">
        <f>IFERROR((COUNTIFS(Database!$F:$I,CONCATENATE($B95,AP$68,"W"))+COUNTIFS(Database!$F:$I,CONCATENATE(AP$68,$B95,"W")))/(COUNTIFS(Database!$F:$I,CONCATENATE($B95,AP$68,"L"))+COUNTIFS(Database!$F:$I,CONCATENATE(AP$68,$B95,"L"))+COUNTIFS(Database!$F:$I,CONCATENATE($B95,AP$68,"W"))+COUNTIFS(Database!$F:$I,CONCATENATE(AP$68,$B95,"W"))),"-")</f>
        <v>-</v>
      </c>
      <c r="AQ95" s="122">
        <f>IFERROR((COUNTIFS(Database!$F:$I,CONCATENATE($B95,AQ$68,"W"))+COUNTIFS(Database!$F:$I,CONCATENATE(AQ$68,$B95,"W")))/(COUNTIFS(Database!$F:$I,CONCATENATE($B95,AQ$68,"L"))+COUNTIFS(Database!$F:$I,CONCATENATE(AQ$68,$B95,"L"))+COUNTIFS(Database!$F:$I,CONCATENATE($B95,AQ$68,"W"))+COUNTIFS(Database!$F:$I,CONCATENATE(AQ$68,$B95,"W"))),"-")</f>
        <v>0.25</v>
      </c>
      <c r="AR95" s="122">
        <f>IFERROR((COUNTIFS(Database!$F:$I,CONCATENATE($B95,AR$68,"W"))+COUNTIFS(Database!$F:$I,CONCATENATE(AR$68,$B95,"W")))/(COUNTIFS(Database!$F:$I,CONCATENATE($B95,AR$68,"L"))+COUNTIFS(Database!$F:$I,CONCATENATE(AR$68,$B95,"L"))+COUNTIFS(Database!$F:$I,CONCATENATE($B95,AR$68,"W"))+COUNTIFS(Database!$F:$I,CONCATENATE(AR$68,$B95,"W"))),"-")</f>
        <v>0.5</v>
      </c>
      <c r="AS95" s="122" t="str">
        <f>IFERROR((COUNTIFS(Database!$F:$I,CONCATENATE($B95,AS$68,"W"))+COUNTIFS(Database!$F:$I,CONCATENATE(AS$68,$B95,"W")))/(COUNTIFS(Database!$F:$I,CONCATENATE($B95,AS$68,"L"))+COUNTIFS(Database!$F:$I,CONCATENATE(AS$68,$B95,"L"))+COUNTIFS(Database!$F:$I,CONCATENATE($B95,AS$68,"W"))+COUNTIFS(Database!$F:$I,CONCATENATE(AS$68,$B95,"W"))),"-")</f>
        <v>-</v>
      </c>
      <c r="AT95" s="122" t="str">
        <f>IFERROR((COUNTIFS(Database!$F:$I,CONCATENATE($B95,AT$68,"W"))+COUNTIFS(Database!$F:$I,CONCATENATE(AT$68,$B95,"W")))/(COUNTIFS(Database!$F:$I,CONCATENATE($B95,AT$68,"L"))+COUNTIFS(Database!$F:$I,CONCATENATE(AT$68,$B95,"L"))+COUNTIFS(Database!$F:$I,CONCATENATE($B95,AT$68,"W"))+COUNTIFS(Database!$F:$I,CONCATENATE(AT$68,$B95,"W"))),"-")</f>
        <v>-</v>
      </c>
      <c r="AU95" s="122">
        <f>IFERROR((COUNTIFS(Database!$F:$I,CONCATENATE($B95,AU$68,"W"))+COUNTIFS(Database!$F:$I,CONCATENATE(AU$68,$B95,"W")))/(COUNTIFS(Database!$F:$I,CONCATENATE($B95,AU$68,"L"))+COUNTIFS(Database!$F:$I,CONCATENATE(AU$68,$B95,"L"))+COUNTIFS(Database!$F:$I,CONCATENATE($B95,AU$68,"W"))+COUNTIFS(Database!$F:$I,CONCATENATE(AU$68,$B95,"W"))),"-")</f>
        <v>0.8</v>
      </c>
      <c r="AV95" s="122">
        <f>IFERROR((COUNTIFS(Database!$F:$I,CONCATENATE($B95,AV$68,"W"))+COUNTIFS(Database!$F:$I,CONCATENATE(AV$68,$B95,"W")))/(COUNTIFS(Database!$F:$I,CONCATENATE($B95,AV$68,"L"))+COUNTIFS(Database!$F:$I,CONCATENATE(AV$68,$B95,"L"))+COUNTIFS(Database!$F:$I,CONCATENATE($B95,AV$68,"W"))+COUNTIFS(Database!$F:$I,CONCATENATE(AV$68,$B95,"W"))),"-")</f>
        <v>0.5</v>
      </c>
      <c r="AW95" s="122">
        <f>IFERROR((COUNTIFS(Database!$F:$I,CONCATENATE($B95,AW$68,"W"))+COUNTIFS(Database!$F:$I,CONCATENATE(AW$68,$B95,"W")))/(COUNTIFS(Database!$F:$I,CONCATENATE($B95,AW$68,"L"))+COUNTIFS(Database!$F:$I,CONCATENATE(AW$68,$B95,"L"))+COUNTIFS(Database!$F:$I,CONCATENATE($B95,AW$68,"W"))+COUNTIFS(Database!$F:$I,CONCATENATE(AW$68,$B95,"W"))),"-")</f>
        <v>0.77777777777777779</v>
      </c>
      <c r="AX95" s="122">
        <f>IFERROR((COUNTIFS(Database!$F:$I,CONCATENATE($B95,AX$68,"W"))+COUNTIFS(Database!$F:$I,CONCATENATE(AX$68,$B95,"W")))/(COUNTIFS(Database!$F:$I,CONCATENATE($B95,AX$68,"L"))+COUNTIFS(Database!$F:$I,CONCATENATE(AX$68,$B95,"L"))+COUNTIFS(Database!$F:$I,CONCATENATE($B95,AX$68,"W"))+COUNTIFS(Database!$F:$I,CONCATENATE(AX$68,$B95,"W"))),"-")</f>
        <v>0</v>
      </c>
      <c r="AY95" s="122">
        <f>IFERROR((COUNTIFS(Database!$F:$I,CONCATENATE($B95,AY$68,"W"))+COUNTIFS(Database!$F:$I,CONCATENATE(AY$68,$B95,"W")))/(COUNTIFS(Database!$F:$I,CONCATENATE($B95,AY$68,"L"))+COUNTIFS(Database!$F:$I,CONCATENATE(AY$68,$B95,"L"))+COUNTIFS(Database!$F:$I,CONCATENATE($B95,AY$68,"W"))+COUNTIFS(Database!$F:$I,CONCATENATE(AY$68,$B95,"W"))),"-")</f>
        <v>0.5</v>
      </c>
    </row>
    <row r="96" spans="2:51" x14ac:dyDescent="0.25">
      <c r="B96" s="120" t="s">
        <v>38</v>
      </c>
      <c r="C96" s="122">
        <f>IFERROR((COUNTIFS(Database!$F:$I,CONCATENATE($B96,C$68,"W"))+COUNTIFS(Database!$F:$I,CONCATENATE(C$68,$B96,"W")))/(COUNTIFS(Database!$F:$I,CONCATENATE($B96,C$68,"L"))+COUNTIFS(Database!$F:$I,CONCATENATE(C$68,$B96,"L"))+COUNTIFS(Database!$F:$I,CONCATENATE($B96,C$68,"W"))+COUNTIFS(Database!$F:$I,CONCATENATE(C$68,$B96,"W"))),"-")</f>
        <v>1</v>
      </c>
      <c r="D96" s="122" t="str">
        <f>IFERROR((COUNTIFS(Database!$F:$I,CONCATENATE($B96,D$68,"W"))+COUNTIFS(Database!$F:$I,CONCATENATE(D$68,$B96,"W")))/(COUNTIFS(Database!$F:$I,CONCATENATE($B96,D$68,"L"))+COUNTIFS(Database!$F:$I,CONCATENATE(D$68,$B96,"L"))+COUNTIFS(Database!$F:$I,CONCATENATE($B96,D$68,"W"))+COUNTIFS(Database!$F:$I,CONCATENATE(D$68,$B96,"W"))),"-")</f>
        <v>-</v>
      </c>
      <c r="E96" s="122" t="str">
        <f>IFERROR((COUNTIFS(Database!$F:$I,CONCATENATE($B96,E$68,"W"))+COUNTIFS(Database!$F:$I,CONCATENATE(E$68,$B96,"W")))/(COUNTIFS(Database!$F:$I,CONCATENATE($B96,E$68,"L"))+COUNTIFS(Database!$F:$I,CONCATENATE(E$68,$B96,"L"))+COUNTIFS(Database!$F:$I,CONCATENATE($B96,E$68,"W"))+COUNTIFS(Database!$F:$I,CONCATENATE(E$68,$B96,"W"))),"-")</f>
        <v>-</v>
      </c>
      <c r="F96" s="122">
        <f>IFERROR((COUNTIFS(Database!$F:$I,CONCATENATE($B96,F$68,"W"))+COUNTIFS(Database!$F:$I,CONCATENATE(F$68,$B96,"W")))/(COUNTIFS(Database!$F:$I,CONCATENATE($B96,F$68,"L"))+COUNTIFS(Database!$F:$I,CONCATENATE(F$68,$B96,"L"))+COUNTIFS(Database!$F:$I,CONCATENATE($B96,F$68,"W"))+COUNTIFS(Database!$F:$I,CONCATENATE(F$68,$B96,"W"))),"-")</f>
        <v>0</v>
      </c>
      <c r="G96" s="122">
        <f>IFERROR((COUNTIFS(Database!$F:$I,CONCATENATE($B96,G$68,"W"))+COUNTIFS(Database!$F:$I,CONCATENATE(G$68,$B96,"W")))/(COUNTIFS(Database!$F:$I,CONCATENATE($B96,G$68,"L"))+COUNTIFS(Database!$F:$I,CONCATENATE(G$68,$B96,"L"))+COUNTIFS(Database!$F:$I,CONCATENATE($B96,G$68,"W"))+COUNTIFS(Database!$F:$I,CONCATENATE(G$68,$B96,"W"))),"-")</f>
        <v>1</v>
      </c>
      <c r="H96" s="122" t="str">
        <f>IFERROR((COUNTIFS(Database!$F:$I,CONCATENATE($B96,H$68,"W"))+COUNTIFS(Database!$F:$I,CONCATENATE(H$68,$B96,"W")))/(COUNTIFS(Database!$F:$I,CONCATENATE($B96,H$68,"L"))+COUNTIFS(Database!$F:$I,CONCATENATE(H$68,$B96,"L"))+COUNTIFS(Database!$F:$I,CONCATENATE($B96,H$68,"W"))+COUNTIFS(Database!$F:$I,CONCATENATE(H$68,$B96,"W"))),"-")</f>
        <v>-</v>
      </c>
      <c r="I96" s="122">
        <f>IFERROR((COUNTIFS(Database!$F:$I,CONCATENATE($B96,I$68,"W"))+COUNTIFS(Database!$F:$I,CONCATENATE(I$68,$B96,"W")))/(COUNTIFS(Database!$F:$I,CONCATENATE($B96,I$68,"L"))+COUNTIFS(Database!$F:$I,CONCATENATE(I$68,$B96,"L"))+COUNTIFS(Database!$F:$I,CONCATENATE($B96,I$68,"W"))+COUNTIFS(Database!$F:$I,CONCATENATE(I$68,$B96,"W"))),"-")</f>
        <v>0.66666666666666663</v>
      </c>
      <c r="J96" s="122">
        <f>IFERROR((COUNTIFS(Database!$F:$I,CONCATENATE($B96,J$68,"W"))+COUNTIFS(Database!$F:$I,CONCATENATE(J$68,$B96,"W")))/(COUNTIFS(Database!$F:$I,CONCATENATE($B96,J$68,"L"))+COUNTIFS(Database!$F:$I,CONCATENATE(J$68,$B96,"L"))+COUNTIFS(Database!$F:$I,CONCATENATE($B96,J$68,"W"))+COUNTIFS(Database!$F:$I,CONCATENATE(J$68,$B96,"W"))),"-")</f>
        <v>1</v>
      </c>
      <c r="K96" s="122" t="str">
        <f>IFERROR((COUNTIFS(Database!$F:$I,CONCATENATE($B96,K$68,"W"))+COUNTIFS(Database!$F:$I,CONCATENATE(K$68,$B96,"W")))/(COUNTIFS(Database!$F:$I,CONCATENATE($B96,K$68,"L"))+COUNTIFS(Database!$F:$I,CONCATENATE(K$68,$B96,"L"))+COUNTIFS(Database!$F:$I,CONCATENATE($B96,K$68,"W"))+COUNTIFS(Database!$F:$I,CONCATENATE(K$68,$B96,"W"))),"-")</f>
        <v>-</v>
      </c>
      <c r="L96" s="122" t="str">
        <f>IFERROR((COUNTIFS(Database!$F:$I,CONCATENATE($B96,L$68,"W"))+COUNTIFS(Database!$F:$I,CONCATENATE(L$68,$B96,"W")))/(COUNTIFS(Database!$F:$I,CONCATENATE($B96,L$68,"L"))+COUNTIFS(Database!$F:$I,CONCATENATE(L$68,$B96,"L"))+COUNTIFS(Database!$F:$I,CONCATENATE($B96,L$68,"W"))+COUNTIFS(Database!$F:$I,CONCATENATE(L$68,$B96,"W"))),"-")</f>
        <v>-</v>
      </c>
      <c r="M96" s="122" t="str">
        <f>IFERROR((COUNTIFS(Database!$F:$I,CONCATENATE($B96,M$68,"W"))+COUNTIFS(Database!$F:$I,CONCATENATE(M$68,$B96,"W")))/(COUNTIFS(Database!$F:$I,CONCATENATE($B96,M$68,"L"))+COUNTIFS(Database!$F:$I,CONCATENATE(M$68,$B96,"L"))+COUNTIFS(Database!$F:$I,CONCATENATE($B96,M$68,"W"))+COUNTIFS(Database!$F:$I,CONCATENATE(M$68,$B96,"W"))),"-")</f>
        <v>-</v>
      </c>
      <c r="N96" s="122" t="str">
        <f>IFERROR((COUNTIFS(Database!$F:$I,CONCATENATE($B96,N$68,"W"))+COUNTIFS(Database!$F:$I,CONCATENATE(N$68,$B96,"W")))/(COUNTIFS(Database!$F:$I,CONCATENATE($B96,N$68,"L"))+COUNTIFS(Database!$F:$I,CONCATENATE(N$68,$B96,"L"))+COUNTIFS(Database!$F:$I,CONCATENATE($B96,N$68,"W"))+COUNTIFS(Database!$F:$I,CONCATENATE(N$68,$B96,"W"))),"-")</f>
        <v>-</v>
      </c>
      <c r="O96" s="122" t="str">
        <f>IFERROR((COUNTIFS(Database!$F:$I,CONCATENATE($B96,O$68,"W"))+COUNTIFS(Database!$F:$I,CONCATENATE(O$68,$B96,"W")))/(COUNTIFS(Database!$F:$I,CONCATENATE($B96,O$68,"L"))+COUNTIFS(Database!$F:$I,CONCATENATE(O$68,$B96,"L"))+COUNTIFS(Database!$F:$I,CONCATENATE($B96,O$68,"W"))+COUNTIFS(Database!$F:$I,CONCATENATE(O$68,$B96,"W"))),"-")</f>
        <v>-</v>
      </c>
      <c r="P96" s="122" t="str">
        <f>IFERROR((COUNTIFS(Database!$F:$I,CONCATENATE($B96,P$68,"W"))+COUNTIFS(Database!$F:$I,CONCATENATE(P$68,$B96,"W")))/(COUNTIFS(Database!$F:$I,CONCATENATE($B96,P$68,"L"))+COUNTIFS(Database!$F:$I,CONCATENATE(P$68,$B96,"L"))+COUNTIFS(Database!$F:$I,CONCATENATE($B96,P$68,"W"))+COUNTIFS(Database!$F:$I,CONCATENATE(P$68,$B96,"W"))),"-")</f>
        <v>-</v>
      </c>
      <c r="Q96" s="122" t="str">
        <f>IFERROR((COUNTIFS(Database!$F:$I,CONCATENATE($B96,Q$68,"W"))+COUNTIFS(Database!$F:$I,CONCATENATE(Q$68,$B96,"W")))/(COUNTIFS(Database!$F:$I,CONCATENATE($B96,Q$68,"L"))+COUNTIFS(Database!$F:$I,CONCATENATE(Q$68,$B96,"L"))+COUNTIFS(Database!$F:$I,CONCATENATE($B96,Q$68,"W"))+COUNTIFS(Database!$F:$I,CONCATENATE(Q$68,$B96,"W"))),"-")</f>
        <v>-</v>
      </c>
      <c r="R96" s="122" t="str">
        <f>IFERROR((COUNTIFS(Database!$F:$I,CONCATENATE($B96,R$68,"W"))+COUNTIFS(Database!$F:$I,CONCATENATE(R$68,$B96,"W")))/(COUNTIFS(Database!$F:$I,CONCATENATE($B96,R$68,"L"))+COUNTIFS(Database!$F:$I,CONCATENATE(R$68,$B96,"L"))+COUNTIFS(Database!$F:$I,CONCATENATE($B96,R$68,"W"))+COUNTIFS(Database!$F:$I,CONCATENATE(R$68,$B96,"W"))),"-")</f>
        <v>-</v>
      </c>
      <c r="S96" s="122" t="str">
        <f>IFERROR((COUNTIFS(Database!$F:$I,CONCATENATE($B96,S$68,"W"))+COUNTIFS(Database!$F:$I,CONCATENATE(S$68,$B96,"W")))/(COUNTIFS(Database!$F:$I,CONCATENATE($B96,S$68,"L"))+COUNTIFS(Database!$F:$I,CONCATENATE(S$68,$B96,"L"))+COUNTIFS(Database!$F:$I,CONCATENATE($B96,S$68,"W"))+COUNTIFS(Database!$F:$I,CONCATENATE(S$68,$B96,"W"))),"-")</f>
        <v>-</v>
      </c>
      <c r="T96" s="122">
        <f>IFERROR((COUNTIFS(Database!$F:$I,CONCATENATE($B96,T$68,"W"))+COUNTIFS(Database!$F:$I,CONCATENATE(T$68,$B96,"W")))/(COUNTIFS(Database!$F:$I,CONCATENATE($B96,T$68,"L"))+COUNTIFS(Database!$F:$I,CONCATENATE(T$68,$B96,"L"))+COUNTIFS(Database!$F:$I,CONCATENATE($B96,T$68,"W"))+COUNTIFS(Database!$F:$I,CONCATENATE(T$68,$B96,"W"))),"-")</f>
        <v>1</v>
      </c>
      <c r="U96" s="122" t="str">
        <f>IFERROR((COUNTIFS(Database!$F:$I,CONCATENATE($B96,U$68,"W"))+COUNTIFS(Database!$F:$I,CONCATENATE(U$68,$B96,"W")))/(COUNTIFS(Database!$F:$I,CONCATENATE($B96,U$68,"L"))+COUNTIFS(Database!$F:$I,CONCATENATE(U$68,$B96,"L"))+COUNTIFS(Database!$F:$I,CONCATENATE($B96,U$68,"W"))+COUNTIFS(Database!$F:$I,CONCATENATE(U$68,$B96,"W"))),"-")</f>
        <v>-</v>
      </c>
      <c r="V96" s="122">
        <f>IFERROR((COUNTIFS(Database!$F:$I,CONCATENATE($B96,V$68,"W"))+COUNTIFS(Database!$F:$I,CONCATENATE(V$68,$B96,"W")))/(COUNTIFS(Database!$F:$I,CONCATENATE($B96,V$68,"L"))+COUNTIFS(Database!$F:$I,CONCATENATE(V$68,$B96,"L"))+COUNTIFS(Database!$F:$I,CONCATENATE($B96,V$68,"W"))+COUNTIFS(Database!$F:$I,CONCATENATE(V$68,$B96,"W"))),"-")</f>
        <v>1</v>
      </c>
      <c r="W96" s="122" t="str">
        <f>IFERROR((COUNTIFS(Database!$F:$I,CONCATENATE($B96,W$68,"W"))+COUNTIFS(Database!$F:$I,CONCATENATE(W$68,$B96,"W")))/(COUNTIFS(Database!$F:$I,CONCATENATE($B96,W$68,"L"))+COUNTIFS(Database!$F:$I,CONCATENATE(W$68,$B96,"L"))+COUNTIFS(Database!$F:$I,CONCATENATE($B96,W$68,"W"))+COUNTIFS(Database!$F:$I,CONCATENATE(W$68,$B96,"W"))),"-")</f>
        <v>-</v>
      </c>
      <c r="X96" s="122" t="str">
        <f>IFERROR((COUNTIFS(Database!$F:$I,CONCATENATE($B96,X$68,"W"))+COUNTIFS(Database!$F:$I,CONCATENATE(X$68,$B96,"W")))/(COUNTIFS(Database!$F:$I,CONCATENATE($B96,X$68,"L"))+COUNTIFS(Database!$F:$I,CONCATENATE(X$68,$B96,"L"))+COUNTIFS(Database!$F:$I,CONCATENATE($B96,X$68,"W"))+COUNTIFS(Database!$F:$I,CONCATENATE(X$68,$B96,"W"))),"-")</f>
        <v>-</v>
      </c>
      <c r="Y96" s="122" t="str">
        <f>IFERROR((COUNTIFS(Database!$F:$I,CONCATENATE($B96,Y$68,"W"))+COUNTIFS(Database!$F:$I,CONCATENATE(Y$68,$B96,"W")))/(COUNTIFS(Database!$F:$I,CONCATENATE($B96,Y$68,"L"))+COUNTIFS(Database!$F:$I,CONCATENATE(Y$68,$B96,"L"))+COUNTIFS(Database!$F:$I,CONCATENATE($B96,Y$68,"W"))+COUNTIFS(Database!$F:$I,CONCATENATE(Y$68,$B96,"W"))),"-")</f>
        <v>-</v>
      </c>
      <c r="Z96" s="122" t="str">
        <f>IFERROR((COUNTIFS(Database!$F:$I,CONCATENATE($B96,Z$68,"W"))+COUNTIFS(Database!$F:$I,CONCATENATE(Z$68,$B96,"W")))/(COUNTIFS(Database!$F:$I,CONCATENATE($B96,Z$68,"L"))+COUNTIFS(Database!$F:$I,CONCATENATE(Z$68,$B96,"L"))+COUNTIFS(Database!$F:$I,CONCATENATE($B96,Z$68,"W"))+COUNTIFS(Database!$F:$I,CONCATENATE(Z$68,$B96,"W"))),"-")</f>
        <v>-</v>
      </c>
      <c r="AA96" s="122" t="str">
        <f>IFERROR((COUNTIFS(Database!$F:$I,CONCATENATE($B96,AA$68,"W"))+COUNTIFS(Database!$F:$I,CONCATENATE(AA$68,$B96,"W")))/(COUNTIFS(Database!$F:$I,CONCATENATE($B96,AA$68,"L"))+COUNTIFS(Database!$F:$I,CONCATENATE(AA$68,$B96,"L"))+COUNTIFS(Database!$F:$I,CONCATENATE($B96,AA$68,"W"))+COUNTIFS(Database!$F:$I,CONCATENATE(AA$68,$B96,"W"))),"-")</f>
        <v>-</v>
      </c>
      <c r="AB96" s="122" t="str">
        <f>IFERROR((COUNTIFS(Database!$F:$I,CONCATENATE($B96,AB$68,"W"))+COUNTIFS(Database!$F:$I,CONCATENATE(AB$68,$B96,"W")))/(COUNTIFS(Database!$F:$I,CONCATENATE($B96,AB$68,"L"))+COUNTIFS(Database!$F:$I,CONCATENATE(AB$68,$B96,"L"))+COUNTIFS(Database!$F:$I,CONCATENATE($B96,AB$68,"W"))+COUNTIFS(Database!$F:$I,CONCATENATE(AB$68,$B96,"W"))),"-")</f>
        <v>-</v>
      </c>
      <c r="AC96" s="122">
        <f>IFERROR((COUNTIFS(Database!$F:$I,CONCATENATE($B96,AC$68,"W"))+COUNTIFS(Database!$F:$I,CONCATENATE(AC$68,$B96,"W")))/(COUNTIFS(Database!$F:$I,CONCATENATE($B96,AC$68,"L"))+COUNTIFS(Database!$F:$I,CONCATENATE(AC$68,$B96,"L"))+COUNTIFS(Database!$F:$I,CONCATENATE($B96,AC$68,"W"))+COUNTIFS(Database!$F:$I,CONCATENATE(AC$68,$B96,"W"))),"-")</f>
        <v>0</v>
      </c>
      <c r="AD96" s="122" t="str">
        <f>IFERROR((COUNTIFS(Database!$F:$I,CONCATENATE($B96,AD$68,"W"))+COUNTIFS(Database!$F:$I,CONCATENATE(AD$68,$B96,"W")))/(COUNTIFS(Database!$F:$I,CONCATENATE($B96,AD$68,"L"))+COUNTIFS(Database!$F:$I,CONCATENATE(AD$68,$B96,"L"))+COUNTIFS(Database!$F:$I,CONCATENATE($B96,AD$68,"W"))+COUNTIFS(Database!$F:$I,CONCATENATE(AD$68,$B96,"W"))),"-")</f>
        <v>-</v>
      </c>
      <c r="AE96" s="122" t="str">
        <f>IFERROR((COUNTIFS(Database!$F:$I,CONCATENATE($B96,AE$68,"W"))+COUNTIFS(Database!$F:$I,CONCATENATE(AE$68,$B96,"W")))/(COUNTIFS(Database!$F:$I,CONCATENATE($B96,AE$68,"L"))+COUNTIFS(Database!$F:$I,CONCATENATE(AE$68,$B96,"L"))+COUNTIFS(Database!$F:$I,CONCATENATE($B96,AE$68,"W"))+COUNTIFS(Database!$F:$I,CONCATENATE(AE$68,$B96,"W"))),"-")</f>
        <v>-</v>
      </c>
      <c r="AF96" s="122" t="str">
        <f>IFERROR((COUNTIFS(Database!$F:$I,CONCATENATE($B96,AF$68,"W"))+COUNTIFS(Database!$F:$I,CONCATENATE(AF$68,$B96,"W")))/(COUNTIFS(Database!$F:$I,CONCATENATE($B96,AF$68,"L"))+COUNTIFS(Database!$F:$I,CONCATENATE(AF$68,$B96,"L"))+COUNTIFS(Database!$F:$I,CONCATENATE($B96,AF$68,"W"))+COUNTIFS(Database!$F:$I,CONCATENATE(AF$68,$B96,"W"))),"-")</f>
        <v>-</v>
      </c>
      <c r="AG96" s="122" t="str">
        <f>IFERROR((COUNTIFS(Database!$F:$I,CONCATENATE($B96,AG$68,"W"))+COUNTIFS(Database!$F:$I,CONCATENATE(AG$68,$B96,"W")))/(COUNTIFS(Database!$F:$I,CONCATENATE($B96,AG$68,"L"))+COUNTIFS(Database!$F:$I,CONCATENATE(AG$68,$B96,"L"))+COUNTIFS(Database!$F:$I,CONCATENATE($B96,AG$68,"W"))+COUNTIFS(Database!$F:$I,CONCATENATE(AG$68,$B96,"W"))),"-")</f>
        <v>-</v>
      </c>
      <c r="AH96" s="122" t="str">
        <f>IFERROR((COUNTIFS(Database!$F:$I,CONCATENATE($B96,AH$68,"W"))+COUNTIFS(Database!$F:$I,CONCATENATE(AH$68,$B96,"W")))/(COUNTIFS(Database!$F:$I,CONCATENATE($B96,AH$68,"L"))+COUNTIFS(Database!$F:$I,CONCATENATE(AH$68,$B96,"L"))+COUNTIFS(Database!$F:$I,CONCATENATE($B96,AH$68,"W"))+COUNTIFS(Database!$F:$I,CONCATENATE(AH$68,$B96,"W"))),"-")</f>
        <v>-</v>
      </c>
      <c r="AI96" s="122" t="str">
        <f>IFERROR((COUNTIFS(Database!$F:$I,CONCATENATE($B96,AI$68,"W"))+COUNTIFS(Database!$F:$I,CONCATENATE(AI$68,$B96,"W")))/(COUNTIFS(Database!$F:$I,CONCATENATE($B96,AI$68,"L"))+COUNTIFS(Database!$F:$I,CONCATENATE(AI$68,$B96,"L"))+COUNTIFS(Database!$F:$I,CONCATENATE($B96,AI$68,"W"))+COUNTIFS(Database!$F:$I,CONCATENATE(AI$68,$B96,"W"))),"-")</f>
        <v>-</v>
      </c>
      <c r="AJ96" s="122" t="str">
        <f>IFERROR((COUNTIFS(Database!$F:$I,CONCATENATE($B96,AJ$68,"W"))+COUNTIFS(Database!$F:$I,CONCATENATE(AJ$68,$B96,"W")))/(COUNTIFS(Database!$F:$I,CONCATENATE($B96,AJ$68,"L"))+COUNTIFS(Database!$F:$I,CONCATENATE(AJ$68,$B96,"L"))+COUNTIFS(Database!$F:$I,CONCATENATE($B96,AJ$68,"W"))+COUNTIFS(Database!$F:$I,CONCATENATE(AJ$68,$B96,"W"))),"-")</f>
        <v>-</v>
      </c>
      <c r="AK96" s="122">
        <f>IFERROR((COUNTIFS(Database!$F:$I,CONCATENATE($B96,AK$68,"W"))+COUNTIFS(Database!$F:$I,CONCATENATE(AK$68,$B96,"W")))/(COUNTIFS(Database!$F:$I,CONCATENATE($B96,AK$68,"L"))+COUNTIFS(Database!$F:$I,CONCATENATE(AK$68,$B96,"L"))+COUNTIFS(Database!$F:$I,CONCATENATE($B96,AK$68,"W"))+COUNTIFS(Database!$F:$I,CONCATENATE(AK$68,$B96,"W"))),"-")</f>
        <v>0.75</v>
      </c>
      <c r="AL96" s="122">
        <f>IFERROR((COUNTIFS(Database!$F:$I,CONCATENATE($B96,AL$68,"W"))+COUNTIFS(Database!$F:$I,CONCATENATE(AL$68,$B96,"W")))/(COUNTIFS(Database!$F:$I,CONCATENATE($B96,AL$68,"L"))+COUNTIFS(Database!$F:$I,CONCATENATE(AL$68,$B96,"L"))+COUNTIFS(Database!$F:$I,CONCATENATE($B96,AL$68,"W"))+COUNTIFS(Database!$F:$I,CONCATENATE(AL$68,$B96,"W"))),"-")</f>
        <v>0.5</v>
      </c>
      <c r="AM96" s="122" t="str">
        <f>IFERROR((COUNTIFS(Database!$F:$I,CONCATENATE($B96,AM$68,"W"))+COUNTIFS(Database!$F:$I,CONCATENATE(AM$68,$B96,"W")))/(COUNTIFS(Database!$F:$I,CONCATENATE($B96,AM$68,"L"))+COUNTIFS(Database!$F:$I,CONCATENATE(AM$68,$B96,"L"))+COUNTIFS(Database!$F:$I,CONCATENATE($B96,AM$68,"W"))+COUNTIFS(Database!$F:$I,CONCATENATE(AM$68,$B96,"W"))),"-")</f>
        <v>-</v>
      </c>
      <c r="AN96" s="122" t="str">
        <f>IFERROR((COUNTIFS(Database!$F:$I,CONCATENATE($B96,AN$68,"W"))+COUNTIFS(Database!$F:$I,CONCATENATE(AN$68,$B96,"W")))/(COUNTIFS(Database!$F:$I,CONCATENATE($B96,AN$68,"L"))+COUNTIFS(Database!$F:$I,CONCATENATE(AN$68,$B96,"L"))+COUNTIFS(Database!$F:$I,CONCATENATE($B96,AN$68,"W"))+COUNTIFS(Database!$F:$I,CONCATENATE(AN$68,$B96,"W"))),"-")</f>
        <v>-</v>
      </c>
      <c r="AO96" s="122">
        <f>IFERROR((COUNTIFS(Database!$F:$I,CONCATENATE($B96,AO$68,"W"))+COUNTIFS(Database!$F:$I,CONCATENATE(AO$68,$B96,"W")))/(COUNTIFS(Database!$F:$I,CONCATENATE($B96,AO$68,"L"))+COUNTIFS(Database!$F:$I,CONCATENATE(AO$68,$B96,"L"))+COUNTIFS(Database!$F:$I,CONCATENATE($B96,AO$68,"W"))+COUNTIFS(Database!$F:$I,CONCATENATE(AO$68,$B96,"W"))),"-")</f>
        <v>0.5</v>
      </c>
      <c r="AP96" s="122" t="str">
        <f>IFERROR((COUNTIFS(Database!$F:$I,CONCATENATE($B96,AP$68,"W"))+COUNTIFS(Database!$F:$I,CONCATENATE(AP$68,$B96,"W")))/(COUNTIFS(Database!$F:$I,CONCATENATE($B96,AP$68,"L"))+COUNTIFS(Database!$F:$I,CONCATENATE(AP$68,$B96,"L"))+COUNTIFS(Database!$F:$I,CONCATENATE($B96,AP$68,"W"))+COUNTIFS(Database!$F:$I,CONCATENATE(AP$68,$B96,"W"))),"-")</f>
        <v>-</v>
      </c>
      <c r="AQ96" s="122" t="str">
        <f>IFERROR((COUNTIFS(Database!$F:$I,CONCATENATE($B96,AQ$68,"W"))+COUNTIFS(Database!$F:$I,CONCATENATE(AQ$68,$B96,"W")))/(COUNTIFS(Database!$F:$I,CONCATENATE($B96,AQ$68,"L"))+COUNTIFS(Database!$F:$I,CONCATENATE(AQ$68,$B96,"L"))+COUNTIFS(Database!$F:$I,CONCATENATE($B96,AQ$68,"W"))+COUNTIFS(Database!$F:$I,CONCATENATE(AQ$68,$B96,"W"))),"-")</f>
        <v>-</v>
      </c>
      <c r="AR96" s="122">
        <f>IFERROR((COUNTIFS(Database!$F:$I,CONCATENATE($B96,AR$68,"W"))+COUNTIFS(Database!$F:$I,CONCATENATE(AR$68,$B96,"W")))/(COUNTIFS(Database!$F:$I,CONCATENATE($B96,AR$68,"L"))+COUNTIFS(Database!$F:$I,CONCATENATE(AR$68,$B96,"L"))+COUNTIFS(Database!$F:$I,CONCATENATE($B96,AR$68,"W"))+COUNTIFS(Database!$F:$I,CONCATENATE(AR$68,$B96,"W"))),"-")</f>
        <v>0.66666666666666663</v>
      </c>
      <c r="AS96" s="122">
        <f>IFERROR((COUNTIFS(Database!$F:$I,CONCATENATE($B96,AS$68,"W"))+COUNTIFS(Database!$F:$I,CONCATENATE(AS$68,$B96,"W")))/(COUNTIFS(Database!$F:$I,CONCATENATE($B96,AS$68,"L"))+COUNTIFS(Database!$F:$I,CONCATENATE(AS$68,$B96,"L"))+COUNTIFS(Database!$F:$I,CONCATENATE($B96,AS$68,"W"))+COUNTIFS(Database!$F:$I,CONCATENATE(AS$68,$B96,"W"))),"-")</f>
        <v>0</v>
      </c>
      <c r="AT96" s="122" t="str">
        <f>IFERROR((COUNTIFS(Database!$F:$I,CONCATENATE($B96,AT$68,"W"))+COUNTIFS(Database!$F:$I,CONCATENATE(AT$68,$B96,"W")))/(COUNTIFS(Database!$F:$I,CONCATENATE($B96,AT$68,"L"))+COUNTIFS(Database!$F:$I,CONCATENATE(AT$68,$B96,"L"))+COUNTIFS(Database!$F:$I,CONCATENATE($B96,AT$68,"W"))+COUNTIFS(Database!$F:$I,CONCATENATE(AT$68,$B96,"W"))),"-")</f>
        <v>-</v>
      </c>
      <c r="AU96" s="122" t="str">
        <f>IFERROR((COUNTIFS(Database!$F:$I,CONCATENATE($B96,AU$68,"W"))+COUNTIFS(Database!$F:$I,CONCATENATE(AU$68,$B96,"W")))/(COUNTIFS(Database!$F:$I,CONCATENATE($B96,AU$68,"L"))+COUNTIFS(Database!$F:$I,CONCATENATE(AU$68,$B96,"L"))+COUNTIFS(Database!$F:$I,CONCATENATE($B96,AU$68,"W"))+COUNTIFS(Database!$F:$I,CONCATENATE(AU$68,$B96,"W"))),"-")</f>
        <v>-</v>
      </c>
      <c r="AV96" s="122" t="str">
        <f>IFERROR((COUNTIFS(Database!$F:$I,CONCATENATE($B96,AV$68,"W"))+COUNTIFS(Database!$F:$I,CONCATENATE(AV$68,$B96,"W")))/(COUNTIFS(Database!$F:$I,CONCATENATE($B96,AV$68,"L"))+COUNTIFS(Database!$F:$I,CONCATENATE(AV$68,$B96,"L"))+COUNTIFS(Database!$F:$I,CONCATENATE($B96,AV$68,"W"))+COUNTIFS(Database!$F:$I,CONCATENATE(AV$68,$B96,"W"))),"-")</f>
        <v>-</v>
      </c>
      <c r="AW96" s="122">
        <f>IFERROR((COUNTIFS(Database!$F:$I,CONCATENATE($B96,AW$68,"W"))+COUNTIFS(Database!$F:$I,CONCATENATE(AW$68,$B96,"W")))/(COUNTIFS(Database!$F:$I,CONCATENATE($B96,AW$68,"L"))+COUNTIFS(Database!$F:$I,CONCATENATE(AW$68,$B96,"L"))+COUNTIFS(Database!$F:$I,CONCATENATE($B96,AW$68,"W"))+COUNTIFS(Database!$F:$I,CONCATENATE(AW$68,$B96,"W"))),"-")</f>
        <v>1</v>
      </c>
      <c r="AX96" s="122" t="str">
        <f>IFERROR((COUNTIFS(Database!$F:$I,CONCATENATE($B96,AX$68,"W"))+COUNTIFS(Database!$F:$I,CONCATENATE(AX$68,$B96,"W")))/(COUNTIFS(Database!$F:$I,CONCATENATE($B96,AX$68,"L"))+COUNTIFS(Database!$F:$I,CONCATENATE(AX$68,$B96,"L"))+COUNTIFS(Database!$F:$I,CONCATENATE($B96,AX$68,"W"))+COUNTIFS(Database!$F:$I,CONCATENATE(AX$68,$B96,"W"))),"-")</f>
        <v>-</v>
      </c>
      <c r="AY96" s="122">
        <f>IFERROR((COUNTIFS(Database!$F:$I,CONCATENATE($B96,AY$68,"W"))+COUNTIFS(Database!$F:$I,CONCATENATE(AY$68,$B96,"W")))/(COUNTIFS(Database!$F:$I,CONCATENATE($B96,AY$68,"L"))+COUNTIFS(Database!$F:$I,CONCATENATE(AY$68,$B96,"L"))+COUNTIFS(Database!$F:$I,CONCATENATE($B96,AY$68,"W"))+COUNTIFS(Database!$F:$I,CONCATENATE(AY$68,$B96,"W"))),"-")</f>
        <v>0.25</v>
      </c>
    </row>
    <row r="97" spans="2:51" x14ac:dyDescent="0.25">
      <c r="B97" s="120" t="s">
        <v>20</v>
      </c>
      <c r="C97" s="122" t="str">
        <f>IFERROR((COUNTIFS(Database!$F:$I,CONCATENATE($B97,C$68,"W"))+COUNTIFS(Database!$F:$I,CONCATENATE(C$68,$B97,"W")))/(COUNTIFS(Database!$F:$I,CONCATENATE($B97,C$68,"L"))+COUNTIFS(Database!$F:$I,CONCATENATE(C$68,$B97,"L"))+COUNTIFS(Database!$F:$I,CONCATENATE($B97,C$68,"W"))+COUNTIFS(Database!$F:$I,CONCATENATE(C$68,$B97,"W"))),"-")</f>
        <v>-</v>
      </c>
      <c r="D97" s="122" t="str">
        <f>IFERROR((COUNTIFS(Database!$F:$I,CONCATENATE($B97,D$68,"W"))+COUNTIFS(Database!$F:$I,CONCATENATE(D$68,$B97,"W")))/(COUNTIFS(Database!$F:$I,CONCATENATE($B97,D$68,"L"))+COUNTIFS(Database!$F:$I,CONCATENATE(D$68,$B97,"L"))+COUNTIFS(Database!$F:$I,CONCATENATE($B97,D$68,"W"))+COUNTIFS(Database!$F:$I,CONCATENATE(D$68,$B97,"W"))),"-")</f>
        <v>-</v>
      </c>
      <c r="E97" s="122" t="str">
        <f>IFERROR((COUNTIFS(Database!$F:$I,CONCATENATE($B97,E$68,"W"))+COUNTIFS(Database!$F:$I,CONCATENATE(E$68,$B97,"W")))/(COUNTIFS(Database!$F:$I,CONCATENATE($B97,E$68,"L"))+COUNTIFS(Database!$F:$I,CONCATENATE(E$68,$B97,"L"))+COUNTIFS(Database!$F:$I,CONCATENATE($B97,E$68,"W"))+COUNTIFS(Database!$F:$I,CONCATENATE(E$68,$B97,"W"))),"-")</f>
        <v>-</v>
      </c>
      <c r="F97" s="122" t="str">
        <f>IFERROR((COUNTIFS(Database!$F:$I,CONCATENATE($B97,F$68,"W"))+COUNTIFS(Database!$F:$I,CONCATENATE(F$68,$B97,"W")))/(COUNTIFS(Database!$F:$I,CONCATENATE($B97,F$68,"L"))+COUNTIFS(Database!$F:$I,CONCATENATE(F$68,$B97,"L"))+COUNTIFS(Database!$F:$I,CONCATENATE($B97,F$68,"W"))+COUNTIFS(Database!$F:$I,CONCATENATE(F$68,$B97,"W"))),"-")</f>
        <v>-</v>
      </c>
      <c r="G97" s="122" t="str">
        <f>IFERROR((COUNTIFS(Database!$F:$I,CONCATENATE($B97,G$68,"W"))+COUNTIFS(Database!$F:$I,CONCATENATE(G$68,$B97,"W")))/(COUNTIFS(Database!$F:$I,CONCATENATE($B97,G$68,"L"))+COUNTIFS(Database!$F:$I,CONCATENATE(G$68,$B97,"L"))+COUNTIFS(Database!$F:$I,CONCATENATE($B97,G$68,"W"))+COUNTIFS(Database!$F:$I,CONCATENATE(G$68,$B97,"W"))),"-")</f>
        <v>-</v>
      </c>
      <c r="H97" s="122">
        <f>IFERROR((COUNTIFS(Database!$F:$I,CONCATENATE($B97,H$68,"W"))+COUNTIFS(Database!$F:$I,CONCATENATE(H$68,$B97,"W")))/(COUNTIFS(Database!$F:$I,CONCATENATE($B97,H$68,"L"))+COUNTIFS(Database!$F:$I,CONCATENATE(H$68,$B97,"L"))+COUNTIFS(Database!$F:$I,CONCATENATE($B97,H$68,"W"))+COUNTIFS(Database!$F:$I,CONCATENATE(H$68,$B97,"W"))),"-")</f>
        <v>1</v>
      </c>
      <c r="I97" s="122" t="str">
        <f>IFERROR((COUNTIFS(Database!$F:$I,CONCATENATE($B97,I$68,"W"))+COUNTIFS(Database!$F:$I,CONCATENATE(I$68,$B97,"W")))/(COUNTIFS(Database!$F:$I,CONCATENATE($B97,I$68,"L"))+COUNTIFS(Database!$F:$I,CONCATENATE(I$68,$B97,"L"))+COUNTIFS(Database!$F:$I,CONCATENATE($B97,I$68,"W"))+COUNTIFS(Database!$F:$I,CONCATENATE(I$68,$B97,"W"))),"-")</f>
        <v>-</v>
      </c>
      <c r="J97" s="122" t="str">
        <f>IFERROR((COUNTIFS(Database!$F:$I,CONCATENATE($B97,J$68,"W"))+COUNTIFS(Database!$F:$I,CONCATENATE(J$68,$B97,"W")))/(COUNTIFS(Database!$F:$I,CONCATENATE($B97,J$68,"L"))+COUNTIFS(Database!$F:$I,CONCATENATE(J$68,$B97,"L"))+COUNTIFS(Database!$F:$I,CONCATENATE($B97,J$68,"W"))+COUNTIFS(Database!$F:$I,CONCATENATE(J$68,$B97,"W"))),"-")</f>
        <v>-</v>
      </c>
      <c r="K97" s="122" t="str">
        <f>IFERROR((COUNTIFS(Database!$F:$I,CONCATENATE($B97,K$68,"W"))+COUNTIFS(Database!$F:$I,CONCATENATE(K$68,$B97,"W")))/(COUNTIFS(Database!$F:$I,CONCATENATE($B97,K$68,"L"))+COUNTIFS(Database!$F:$I,CONCATENATE(K$68,$B97,"L"))+COUNTIFS(Database!$F:$I,CONCATENATE($B97,K$68,"W"))+COUNTIFS(Database!$F:$I,CONCATENATE(K$68,$B97,"W"))),"-")</f>
        <v>-</v>
      </c>
      <c r="L97" s="122" t="str">
        <f>IFERROR((COUNTIFS(Database!$F:$I,CONCATENATE($B97,L$68,"W"))+COUNTIFS(Database!$F:$I,CONCATENATE(L$68,$B97,"W")))/(COUNTIFS(Database!$F:$I,CONCATENATE($B97,L$68,"L"))+COUNTIFS(Database!$F:$I,CONCATENATE(L$68,$B97,"L"))+COUNTIFS(Database!$F:$I,CONCATENATE($B97,L$68,"W"))+COUNTIFS(Database!$F:$I,CONCATENATE(L$68,$B97,"W"))),"-")</f>
        <v>-</v>
      </c>
      <c r="M97" s="122" t="str">
        <f>IFERROR((COUNTIFS(Database!$F:$I,CONCATENATE($B97,M$68,"W"))+COUNTIFS(Database!$F:$I,CONCATENATE(M$68,$B97,"W")))/(COUNTIFS(Database!$F:$I,CONCATENATE($B97,M$68,"L"))+COUNTIFS(Database!$F:$I,CONCATENATE(M$68,$B97,"L"))+COUNTIFS(Database!$F:$I,CONCATENATE($B97,M$68,"W"))+COUNTIFS(Database!$F:$I,CONCATENATE(M$68,$B97,"W"))),"-")</f>
        <v>-</v>
      </c>
      <c r="N97" s="122" t="str">
        <f>IFERROR((COUNTIFS(Database!$F:$I,CONCATENATE($B97,N$68,"W"))+COUNTIFS(Database!$F:$I,CONCATENATE(N$68,$B97,"W")))/(COUNTIFS(Database!$F:$I,CONCATENATE($B97,N$68,"L"))+COUNTIFS(Database!$F:$I,CONCATENATE(N$68,$B97,"L"))+COUNTIFS(Database!$F:$I,CONCATENATE($B97,N$68,"W"))+COUNTIFS(Database!$F:$I,CONCATENATE(N$68,$B97,"W"))),"-")</f>
        <v>-</v>
      </c>
      <c r="O97" s="122" t="str">
        <f>IFERROR((COUNTIFS(Database!$F:$I,CONCATENATE($B97,O$68,"W"))+COUNTIFS(Database!$F:$I,CONCATENATE(O$68,$B97,"W")))/(COUNTIFS(Database!$F:$I,CONCATENATE($B97,O$68,"L"))+COUNTIFS(Database!$F:$I,CONCATENATE(O$68,$B97,"L"))+COUNTIFS(Database!$F:$I,CONCATENATE($B97,O$68,"W"))+COUNTIFS(Database!$F:$I,CONCATENATE(O$68,$B97,"W"))),"-")</f>
        <v>-</v>
      </c>
      <c r="P97" s="122" t="str">
        <f>IFERROR((COUNTIFS(Database!$F:$I,CONCATENATE($B97,P$68,"W"))+COUNTIFS(Database!$F:$I,CONCATENATE(P$68,$B97,"W")))/(COUNTIFS(Database!$F:$I,CONCATENATE($B97,P$68,"L"))+COUNTIFS(Database!$F:$I,CONCATENATE(P$68,$B97,"L"))+COUNTIFS(Database!$F:$I,CONCATENATE($B97,P$68,"W"))+COUNTIFS(Database!$F:$I,CONCATENATE(P$68,$B97,"W"))),"-")</f>
        <v>-</v>
      </c>
      <c r="Q97" s="122" t="str">
        <f>IFERROR((COUNTIFS(Database!$F:$I,CONCATENATE($B97,Q$68,"W"))+COUNTIFS(Database!$F:$I,CONCATENATE(Q$68,$B97,"W")))/(COUNTIFS(Database!$F:$I,CONCATENATE($B97,Q$68,"L"))+COUNTIFS(Database!$F:$I,CONCATENATE(Q$68,$B97,"L"))+COUNTIFS(Database!$F:$I,CONCATENATE($B97,Q$68,"W"))+COUNTIFS(Database!$F:$I,CONCATENATE(Q$68,$B97,"W"))),"-")</f>
        <v>-</v>
      </c>
      <c r="R97" s="122" t="str">
        <f>IFERROR((COUNTIFS(Database!$F:$I,CONCATENATE($B97,R$68,"W"))+COUNTIFS(Database!$F:$I,CONCATENATE(R$68,$B97,"W")))/(COUNTIFS(Database!$F:$I,CONCATENATE($B97,R$68,"L"))+COUNTIFS(Database!$F:$I,CONCATENATE(R$68,$B97,"L"))+COUNTIFS(Database!$F:$I,CONCATENATE($B97,R$68,"W"))+COUNTIFS(Database!$F:$I,CONCATENATE(R$68,$B97,"W"))),"-")</f>
        <v>-</v>
      </c>
      <c r="S97" s="122" t="str">
        <f>IFERROR((COUNTIFS(Database!$F:$I,CONCATENATE($B97,S$68,"W"))+COUNTIFS(Database!$F:$I,CONCATENATE(S$68,$B97,"W")))/(COUNTIFS(Database!$F:$I,CONCATENATE($B97,S$68,"L"))+COUNTIFS(Database!$F:$I,CONCATENATE(S$68,$B97,"L"))+COUNTIFS(Database!$F:$I,CONCATENATE($B97,S$68,"W"))+COUNTIFS(Database!$F:$I,CONCATENATE(S$68,$B97,"W"))),"-")</f>
        <v>-</v>
      </c>
      <c r="T97" s="122" t="str">
        <f>IFERROR((COUNTIFS(Database!$F:$I,CONCATENATE($B97,T$68,"W"))+COUNTIFS(Database!$F:$I,CONCATENATE(T$68,$B97,"W")))/(COUNTIFS(Database!$F:$I,CONCATENATE($B97,T$68,"L"))+COUNTIFS(Database!$F:$I,CONCATENATE(T$68,$B97,"L"))+COUNTIFS(Database!$F:$I,CONCATENATE($B97,T$68,"W"))+COUNTIFS(Database!$F:$I,CONCATENATE(T$68,$B97,"W"))),"-")</f>
        <v>-</v>
      </c>
      <c r="U97" s="122" t="str">
        <f>IFERROR((COUNTIFS(Database!$F:$I,CONCATENATE($B97,U$68,"W"))+COUNTIFS(Database!$F:$I,CONCATENATE(U$68,$B97,"W")))/(COUNTIFS(Database!$F:$I,CONCATENATE($B97,U$68,"L"))+COUNTIFS(Database!$F:$I,CONCATENATE(U$68,$B97,"L"))+COUNTIFS(Database!$F:$I,CONCATENATE($B97,U$68,"W"))+COUNTIFS(Database!$F:$I,CONCATENATE(U$68,$B97,"W"))),"-")</f>
        <v>-</v>
      </c>
      <c r="V97" s="122" t="str">
        <f>IFERROR((COUNTIFS(Database!$F:$I,CONCATENATE($B97,V$68,"W"))+COUNTIFS(Database!$F:$I,CONCATENATE(V$68,$B97,"W")))/(COUNTIFS(Database!$F:$I,CONCATENATE($B97,V$68,"L"))+COUNTIFS(Database!$F:$I,CONCATENATE(V$68,$B97,"L"))+COUNTIFS(Database!$F:$I,CONCATENATE($B97,V$68,"W"))+COUNTIFS(Database!$F:$I,CONCATENATE(V$68,$B97,"W"))),"-")</f>
        <v>-</v>
      </c>
      <c r="W97" s="122" t="str">
        <f>IFERROR((COUNTIFS(Database!$F:$I,CONCATENATE($B97,W$68,"W"))+COUNTIFS(Database!$F:$I,CONCATENATE(W$68,$B97,"W")))/(COUNTIFS(Database!$F:$I,CONCATENATE($B97,W$68,"L"))+COUNTIFS(Database!$F:$I,CONCATENATE(W$68,$B97,"L"))+COUNTIFS(Database!$F:$I,CONCATENATE($B97,W$68,"W"))+COUNTIFS(Database!$F:$I,CONCATENATE(W$68,$B97,"W"))),"-")</f>
        <v>-</v>
      </c>
      <c r="X97" s="122" t="str">
        <f>IFERROR((COUNTIFS(Database!$F:$I,CONCATENATE($B97,X$68,"W"))+COUNTIFS(Database!$F:$I,CONCATENATE(X$68,$B97,"W")))/(COUNTIFS(Database!$F:$I,CONCATENATE($B97,X$68,"L"))+COUNTIFS(Database!$F:$I,CONCATENATE(X$68,$B97,"L"))+COUNTIFS(Database!$F:$I,CONCATENATE($B97,X$68,"W"))+COUNTIFS(Database!$F:$I,CONCATENATE(X$68,$B97,"W"))),"-")</f>
        <v>-</v>
      </c>
      <c r="Y97" s="122" t="str">
        <f>IFERROR((COUNTIFS(Database!$F:$I,CONCATENATE($B97,Y$68,"W"))+COUNTIFS(Database!$F:$I,CONCATENATE(Y$68,$B97,"W")))/(COUNTIFS(Database!$F:$I,CONCATENATE($B97,Y$68,"L"))+COUNTIFS(Database!$F:$I,CONCATENATE(Y$68,$B97,"L"))+COUNTIFS(Database!$F:$I,CONCATENATE($B97,Y$68,"W"))+COUNTIFS(Database!$F:$I,CONCATENATE(Y$68,$B97,"W"))),"-")</f>
        <v>-</v>
      </c>
      <c r="Z97" s="122" t="str">
        <f>IFERROR((COUNTIFS(Database!$F:$I,CONCATENATE($B97,Z$68,"W"))+COUNTIFS(Database!$F:$I,CONCATENATE(Z$68,$B97,"W")))/(COUNTIFS(Database!$F:$I,CONCATENATE($B97,Z$68,"L"))+COUNTIFS(Database!$F:$I,CONCATENATE(Z$68,$B97,"L"))+COUNTIFS(Database!$F:$I,CONCATENATE($B97,Z$68,"W"))+COUNTIFS(Database!$F:$I,CONCATENATE(Z$68,$B97,"W"))),"-")</f>
        <v>-</v>
      </c>
      <c r="AA97" s="122" t="str">
        <f>IFERROR((COUNTIFS(Database!$F:$I,CONCATENATE($B97,AA$68,"W"))+COUNTIFS(Database!$F:$I,CONCATENATE(AA$68,$B97,"W")))/(COUNTIFS(Database!$F:$I,CONCATENATE($B97,AA$68,"L"))+COUNTIFS(Database!$F:$I,CONCATENATE(AA$68,$B97,"L"))+COUNTIFS(Database!$F:$I,CONCATENATE($B97,AA$68,"W"))+COUNTIFS(Database!$F:$I,CONCATENATE(AA$68,$B97,"W"))),"-")</f>
        <v>-</v>
      </c>
      <c r="AB97" s="122">
        <f>IFERROR((COUNTIFS(Database!$F:$I,CONCATENATE($B97,AB$68,"W"))+COUNTIFS(Database!$F:$I,CONCATENATE(AB$68,$B97,"W")))/(COUNTIFS(Database!$F:$I,CONCATENATE($B97,AB$68,"L"))+COUNTIFS(Database!$F:$I,CONCATENATE(AB$68,$B97,"L"))+COUNTIFS(Database!$F:$I,CONCATENATE($B97,AB$68,"W"))+COUNTIFS(Database!$F:$I,CONCATENATE(AB$68,$B97,"W"))),"-")</f>
        <v>1</v>
      </c>
      <c r="AC97" s="122" t="str">
        <f>IFERROR((COUNTIFS(Database!$F:$I,CONCATENATE($B97,AC$68,"W"))+COUNTIFS(Database!$F:$I,CONCATENATE(AC$68,$B97,"W")))/(COUNTIFS(Database!$F:$I,CONCATENATE($B97,AC$68,"L"))+COUNTIFS(Database!$F:$I,CONCATENATE(AC$68,$B97,"L"))+COUNTIFS(Database!$F:$I,CONCATENATE($B97,AC$68,"W"))+COUNTIFS(Database!$F:$I,CONCATENATE(AC$68,$B97,"W"))),"-")</f>
        <v>-</v>
      </c>
      <c r="AD97" s="122" t="str">
        <f>IFERROR((COUNTIFS(Database!$F:$I,CONCATENATE($B97,AD$68,"W"))+COUNTIFS(Database!$F:$I,CONCATENATE(AD$68,$B97,"W")))/(COUNTIFS(Database!$F:$I,CONCATENATE($B97,AD$68,"L"))+COUNTIFS(Database!$F:$I,CONCATENATE(AD$68,$B97,"L"))+COUNTIFS(Database!$F:$I,CONCATENATE($B97,AD$68,"W"))+COUNTIFS(Database!$F:$I,CONCATENATE(AD$68,$B97,"W"))),"-")</f>
        <v>-</v>
      </c>
      <c r="AE97" s="122" t="str">
        <f>IFERROR((COUNTIFS(Database!$F:$I,CONCATENATE($B97,AE$68,"W"))+COUNTIFS(Database!$F:$I,CONCATENATE(AE$68,$B97,"W")))/(COUNTIFS(Database!$F:$I,CONCATENATE($B97,AE$68,"L"))+COUNTIFS(Database!$F:$I,CONCATENATE(AE$68,$B97,"L"))+COUNTIFS(Database!$F:$I,CONCATENATE($B97,AE$68,"W"))+COUNTIFS(Database!$F:$I,CONCATENATE(AE$68,$B97,"W"))),"-")</f>
        <v>-</v>
      </c>
      <c r="AF97" s="122" t="str">
        <f>IFERROR((COUNTIFS(Database!$F:$I,CONCATENATE($B97,AF$68,"W"))+COUNTIFS(Database!$F:$I,CONCATENATE(AF$68,$B97,"W")))/(COUNTIFS(Database!$F:$I,CONCATENATE($B97,AF$68,"L"))+COUNTIFS(Database!$F:$I,CONCATENATE(AF$68,$B97,"L"))+COUNTIFS(Database!$F:$I,CONCATENATE($B97,AF$68,"W"))+COUNTIFS(Database!$F:$I,CONCATENATE(AF$68,$B97,"W"))),"-")</f>
        <v>-</v>
      </c>
      <c r="AG97" s="122" t="str">
        <f>IFERROR((COUNTIFS(Database!$F:$I,CONCATENATE($B97,AG$68,"W"))+COUNTIFS(Database!$F:$I,CONCATENATE(AG$68,$B97,"W")))/(COUNTIFS(Database!$F:$I,CONCATENATE($B97,AG$68,"L"))+COUNTIFS(Database!$F:$I,CONCATENATE(AG$68,$B97,"L"))+COUNTIFS(Database!$F:$I,CONCATENATE($B97,AG$68,"W"))+COUNTIFS(Database!$F:$I,CONCATENATE(AG$68,$B97,"W"))),"-")</f>
        <v>-</v>
      </c>
      <c r="AH97" s="122" t="str">
        <f>IFERROR((COUNTIFS(Database!$F:$I,CONCATENATE($B97,AH$68,"W"))+COUNTIFS(Database!$F:$I,CONCATENATE(AH$68,$B97,"W")))/(COUNTIFS(Database!$F:$I,CONCATENATE($B97,AH$68,"L"))+COUNTIFS(Database!$F:$I,CONCATENATE(AH$68,$B97,"L"))+COUNTIFS(Database!$F:$I,CONCATENATE($B97,AH$68,"W"))+COUNTIFS(Database!$F:$I,CONCATENATE(AH$68,$B97,"W"))),"-")</f>
        <v>-</v>
      </c>
      <c r="AI97" s="122" t="str">
        <f>IFERROR((COUNTIFS(Database!$F:$I,CONCATENATE($B97,AI$68,"W"))+COUNTIFS(Database!$F:$I,CONCATENATE(AI$68,$B97,"W")))/(COUNTIFS(Database!$F:$I,CONCATENATE($B97,AI$68,"L"))+COUNTIFS(Database!$F:$I,CONCATENATE(AI$68,$B97,"L"))+COUNTIFS(Database!$F:$I,CONCATENATE($B97,AI$68,"W"))+COUNTIFS(Database!$F:$I,CONCATENATE(AI$68,$B97,"W"))),"-")</f>
        <v>-</v>
      </c>
      <c r="AJ97" s="122" t="str">
        <f>IFERROR((COUNTIFS(Database!$F:$I,CONCATENATE($B97,AJ$68,"W"))+COUNTIFS(Database!$F:$I,CONCATENATE(AJ$68,$B97,"W")))/(COUNTIFS(Database!$F:$I,CONCATENATE($B97,AJ$68,"L"))+COUNTIFS(Database!$F:$I,CONCATENATE(AJ$68,$B97,"L"))+COUNTIFS(Database!$F:$I,CONCATENATE($B97,AJ$68,"W"))+COUNTIFS(Database!$F:$I,CONCATENATE(AJ$68,$B97,"W"))),"-")</f>
        <v>-</v>
      </c>
      <c r="AK97" s="122">
        <f>IFERROR((COUNTIFS(Database!$F:$I,CONCATENATE($B97,AK$68,"W"))+COUNTIFS(Database!$F:$I,CONCATENATE(AK$68,$B97,"W")))/(COUNTIFS(Database!$F:$I,CONCATENATE($B97,AK$68,"L"))+COUNTIFS(Database!$F:$I,CONCATENATE(AK$68,$B97,"L"))+COUNTIFS(Database!$F:$I,CONCATENATE($B97,AK$68,"W"))+COUNTIFS(Database!$F:$I,CONCATENATE(AK$68,$B97,"W"))),"-")</f>
        <v>1</v>
      </c>
      <c r="AL97" s="122" t="str">
        <f>IFERROR((COUNTIFS(Database!$F:$I,CONCATENATE($B97,AL$68,"W"))+COUNTIFS(Database!$F:$I,CONCATENATE(AL$68,$B97,"W")))/(COUNTIFS(Database!$F:$I,CONCATENATE($B97,AL$68,"L"))+COUNTIFS(Database!$F:$I,CONCATENATE(AL$68,$B97,"L"))+COUNTIFS(Database!$F:$I,CONCATENATE($B97,AL$68,"W"))+COUNTIFS(Database!$F:$I,CONCATENATE(AL$68,$B97,"W"))),"-")</f>
        <v>-</v>
      </c>
      <c r="AM97" s="122" t="str">
        <f>IFERROR((COUNTIFS(Database!$F:$I,CONCATENATE($B97,AM$68,"W"))+COUNTIFS(Database!$F:$I,CONCATENATE(AM$68,$B97,"W")))/(COUNTIFS(Database!$F:$I,CONCATENATE($B97,AM$68,"L"))+COUNTIFS(Database!$F:$I,CONCATENATE(AM$68,$B97,"L"))+COUNTIFS(Database!$F:$I,CONCATENATE($B97,AM$68,"W"))+COUNTIFS(Database!$F:$I,CONCATENATE(AM$68,$B97,"W"))),"-")</f>
        <v>-</v>
      </c>
      <c r="AN97" s="122" t="str">
        <f>IFERROR((COUNTIFS(Database!$F:$I,CONCATENATE($B97,AN$68,"W"))+COUNTIFS(Database!$F:$I,CONCATENATE(AN$68,$B97,"W")))/(COUNTIFS(Database!$F:$I,CONCATENATE($B97,AN$68,"L"))+COUNTIFS(Database!$F:$I,CONCATENATE(AN$68,$B97,"L"))+COUNTIFS(Database!$F:$I,CONCATENATE($B97,AN$68,"W"))+COUNTIFS(Database!$F:$I,CONCATENATE(AN$68,$B97,"W"))),"-")</f>
        <v>-</v>
      </c>
      <c r="AO97" s="122" t="str">
        <f>IFERROR((COUNTIFS(Database!$F:$I,CONCATENATE($B97,AO$68,"W"))+COUNTIFS(Database!$F:$I,CONCATENATE(AO$68,$B97,"W")))/(COUNTIFS(Database!$F:$I,CONCATENATE($B97,AO$68,"L"))+COUNTIFS(Database!$F:$I,CONCATENATE(AO$68,$B97,"L"))+COUNTIFS(Database!$F:$I,CONCATENATE($B97,AO$68,"W"))+COUNTIFS(Database!$F:$I,CONCATENATE(AO$68,$B97,"W"))),"-")</f>
        <v>-</v>
      </c>
      <c r="AP97" s="122" t="str">
        <f>IFERROR((COUNTIFS(Database!$F:$I,CONCATENATE($B97,AP$68,"W"))+COUNTIFS(Database!$F:$I,CONCATENATE(AP$68,$B97,"W")))/(COUNTIFS(Database!$F:$I,CONCATENATE($B97,AP$68,"L"))+COUNTIFS(Database!$F:$I,CONCATENATE(AP$68,$B97,"L"))+COUNTIFS(Database!$F:$I,CONCATENATE($B97,AP$68,"W"))+COUNTIFS(Database!$F:$I,CONCATENATE(AP$68,$B97,"W"))),"-")</f>
        <v>-</v>
      </c>
      <c r="AQ97" s="122" t="str">
        <f>IFERROR((COUNTIFS(Database!$F:$I,CONCATENATE($B97,AQ$68,"W"))+COUNTIFS(Database!$F:$I,CONCATENATE(AQ$68,$B97,"W")))/(COUNTIFS(Database!$F:$I,CONCATENATE($B97,AQ$68,"L"))+COUNTIFS(Database!$F:$I,CONCATENATE(AQ$68,$B97,"L"))+COUNTIFS(Database!$F:$I,CONCATENATE($B97,AQ$68,"W"))+COUNTIFS(Database!$F:$I,CONCATENATE(AQ$68,$B97,"W"))),"-")</f>
        <v>-</v>
      </c>
      <c r="AR97" s="122" t="str">
        <f>IFERROR((COUNTIFS(Database!$F:$I,CONCATENATE($B97,AR$68,"W"))+COUNTIFS(Database!$F:$I,CONCATENATE(AR$68,$B97,"W")))/(COUNTIFS(Database!$F:$I,CONCATENATE($B97,AR$68,"L"))+COUNTIFS(Database!$F:$I,CONCATENATE(AR$68,$B97,"L"))+COUNTIFS(Database!$F:$I,CONCATENATE($B97,AR$68,"W"))+COUNTIFS(Database!$F:$I,CONCATENATE(AR$68,$B97,"W"))),"-")</f>
        <v>-</v>
      </c>
      <c r="AS97" s="122" t="str">
        <f>IFERROR((COUNTIFS(Database!$F:$I,CONCATENATE($B97,AS$68,"W"))+COUNTIFS(Database!$F:$I,CONCATENATE(AS$68,$B97,"W")))/(COUNTIFS(Database!$F:$I,CONCATENATE($B97,AS$68,"L"))+COUNTIFS(Database!$F:$I,CONCATENATE(AS$68,$B97,"L"))+COUNTIFS(Database!$F:$I,CONCATENATE($B97,AS$68,"W"))+COUNTIFS(Database!$F:$I,CONCATENATE(AS$68,$B97,"W"))),"-")</f>
        <v>-</v>
      </c>
      <c r="AT97" s="122" t="str">
        <f>IFERROR((COUNTIFS(Database!$F:$I,CONCATENATE($B97,AT$68,"W"))+COUNTIFS(Database!$F:$I,CONCATENATE(AT$68,$B97,"W")))/(COUNTIFS(Database!$F:$I,CONCATENATE($B97,AT$68,"L"))+COUNTIFS(Database!$F:$I,CONCATENATE(AT$68,$B97,"L"))+COUNTIFS(Database!$F:$I,CONCATENATE($B97,AT$68,"W"))+COUNTIFS(Database!$F:$I,CONCATENATE(AT$68,$B97,"W"))),"-")</f>
        <v>-</v>
      </c>
      <c r="AU97" s="122" t="str">
        <f>IFERROR((COUNTIFS(Database!$F:$I,CONCATENATE($B97,AU$68,"W"))+COUNTIFS(Database!$F:$I,CONCATENATE(AU$68,$B97,"W")))/(COUNTIFS(Database!$F:$I,CONCATENATE($B97,AU$68,"L"))+COUNTIFS(Database!$F:$I,CONCATENATE(AU$68,$B97,"L"))+COUNTIFS(Database!$F:$I,CONCATENATE($B97,AU$68,"W"))+COUNTIFS(Database!$F:$I,CONCATENATE(AU$68,$B97,"W"))),"-")</f>
        <v>-</v>
      </c>
      <c r="AV97" s="122" t="str">
        <f>IFERROR((COUNTIFS(Database!$F:$I,CONCATENATE($B97,AV$68,"W"))+COUNTIFS(Database!$F:$I,CONCATENATE(AV$68,$B97,"W")))/(COUNTIFS(Database!$F:$I,CONCATENATE($B97,AV$68,"L"))+COUNTIFS(Database!$F:$I,CONCATENATE(AV$68,$B97,"L"))+COUNTIFS(Database!$F:$I,CONCATENATE($B97,AV$68,"W"))+COUNTIFS(Database!$F:$I,CONCATENATE(AV$68,$B97,"W"))),"-")</f>
        <v>-</v>
      </c>
      <c r="AW97" s="122">
        <f>IFERROR((COUNTIFS(Database!$F:$I,CONCATENATE($B97,AW$68,"W"))+COUNTIFS(Database!$F:$I,CONCATENATE(AW$68,$B97,"W")))/(COUNTIFS(Database!$F:$I,CONCATENATE($B97,AW$68,"L"))+COUNTIFS(Database!$F:$I,CONCATENATE(AW$68,$B97,"L"))+COUNTIFS(Database!$F:$I,CONCATENATE($B97,AW$68,"W"))+COUNTIFS(Database!$F:$I,CONCATENATE(AW$68,$B97,"W"))),"-")</f>
        <v>1</v>
      </c>
      <c r="AX97" s="122" t="str">
        <f>IFERROR((COUNTIFS(Database!$F:$I,CONCATENATE($B97,AX$68,"W"))+COUNTIFS(Database!$F:$I,CONCATENATE(AX$68,$B97,"W")))/(COUNTIFS(Database!$F:$I,CONCATENATE($B97,AX$68,"L"))+COUNTIFS(Database!$F:$I,CONCATENATE(AX$68,$B97,"L"))+COUNTIFS(Database!$F:$I,CONCATENATE($B97,AX$68,"W"))+COUNTIFS(Database!$F:$I,CONCATENATE(AX$68,$B97,"W"))),"-")</f>
        <v>-</v>
      </c>
      <c r="AY97" s="122" t="str">
        <f>IFERROR((COUNTIFS(Database!$F:$I,CONCATENATE($B97,AY$68,"W"))+COUNTIFS(Database!$F:$I,CONCATENATE(AY$68,$B97,"W")))/(COUNTIFS(Database!$F:$I,CONCATENATE($B97,AY$68,"L"))+COUNTIFS(Database!$F:$I,CONCATENATE(AY$68,$B97,"L"))+COUNTIFS(Database!$F:$I,CONCATENATE($B97,AY$68,"W"))+COUNTIFS(Database!$F:$I,CONCATENATE(AY$68,$B97,"W"))),"-")</f>
        <v>-</v>
      </c>
    </row>
    <row r="98" spans="2:51" x14ac:dyDescent="0.25">
      <c r="B98" s="120" t="s">
        <v>51</v>
      </c>
      <c r="C98" s="122" t="str">
        <f>IFERROR((COUNTIFS(Database!$F:$I,CONCATENATE($B98,C$68,"W"))+COUNTIFS(Database!$F:$I,CONCATENATE(C$68,$B98,"W")))/(COUNTIFS(Database!$F:$I,CONCATENATE($B98,C$68,"L"))+COUNTIFS(Database!$F:$I,CONCATENATE(C$68,$B98,"L"))+COUNTIFS(Database!$F:$I,CONCATENATE($B98,C$68,"W"))+COUNTIFS(Database!$F:$I,CONCATENATE(C$68,$B98,"W"))),"-")</f>
        <v>-</v>
      </c>
      <c r="D98" s="122" t="str">
        <f>IFERROR((COUNTIFS(Database!$F:$I,CONCATENATE($B98,D$68,"W"))+COUNTIFS(Database!$F:$I,CONCATENATE(D$68,$B98,"W")))/(COUNTIFS(Database!$F:$I,CONCATENATE($B98,D$68,"L"))+COUNTIFS(Database!$F:$I,CONCATENATE(D$68,$B98,"L"))+COUNTIFS(Database!$F:$I,CONCATENATE($B98,D$68,"W"))+COUNTIFS(Database!$F:$I,CONCATENATE(D$68,$B98,"W"))),"-")</f>
        <v>-</v>
      </c>
      <c r="E98" s="122" t="str">
        <f>IFERROR((COUNTIFS(Database!$F:$I,CONCATENATE($B98,E$68,"W"))+COUNTIFS(Database!$F:$I,CONCATENATE(E$68,$B98,"W")))/(COUNTIFS(Database!$F:$I,CONCATENATE($B98,E$68,"L"))+COUNTIFS(Database!$F:$I,CONCATENATE(E$68,$B98,"L"))+COUNTIFS(Database!$F:$I,CONCATENATE($B98,E$68,"W"))+COUNTIFS(Database!$F:$I,CONCATENATE(E$68,$B98,"W"))),"-")</f>
        <v>-</v>
      </c>
      <c r="F98" s="122" t="str">
        <f>IFERROR((COUNTIFS(Database!$F:$I,CONCATENATE($B98,F$68,"W"))+COUNTIFS(Database!$F:$I,CONCATENATE(F$68,$B98,"W")))/(COUNTIFS(Database!$F:$I,CONCATENATE($B98,F$68,"L"))+COUNTIFS(Database!$F:$I,CONCATENATE(F$68,$B98,"L"))+COUNTIFS(Database!$F:$I,CONCATENATE($B98,F$68,"W"))+COUNTIFS(Database!$F:$I,CONCATENATE(F$68,$B98,"W"))),"-")</f>
        <v>-</v>
      </c>
      <c r="G98" s="122" t="str">
        <f>IFERROR((COUNTIFS(Database!$F:$I,CONCATENATE($B98,G$68,"W"))+COUNTIFS(Database!$F:$I,CONCATENATE(G$68,$B98,"W")))/(COUNTIFS(Database!$F:$I,CONCATENATE($B98,G$68,"L"))+COUNTIFS(Database!$F:$I,CONCATENATE(G$68,$B98,"L"))+COUNTIFS(Database!$F:$I,CONCATENATE($B98,G$68,"W"))+COUNTIFS(Database!$F:$I,CONCATENATE(G$68,$B98,"W"))),"-")</f>
        <v>-</v>
      </c>
      <c r="H98" s="122" t="str">
        <f>IFERROR((COUNTIFS(Database!$F:$I,CONCATENATE($B98,H$68,"W"))+COUNTIFS(Database!$F:$I,CONCATENATE(H$68,$B98,"W")))/(COUNTIFS(Database!$F:$I,CONCATENATE($B98,H$68,"L"))+COUNTIFS(Database!$F:$I,CONCATENATE(H$68,$B98,"L"))+COUNTIFS(Database!$F:$I,CONCATENATE($B98,H$68,"W"))+COUNTIFS(Database!$F:$I,CONCATENATE(H$68,$B98,"W"))),"-")</f>
        <v>-</v>
      </c>
      <c r="I98" s="122" t="str">
        <f>IFERROR((COUNTIFS(Database!$F:$I,CONCATENATE($B98,I$68,"W"))+COUNTIFS(Database!$F:$I,CONCATENATE(I$68,$B98,"W")))/(COUNTIFS(Database!$F:$I,CONCATENATE($B98,I$68,"L"))+COUNTIFS(Database!$F:$I,CONCATENATE(I$68,$B98,"L"))+COUNTIFS(Database!$F:$I,CONCATENATE($B98,I$68,"W"))+COUNTIFS(Database!$F:$I,CONCATENATE(I$68,$B98,"W"))),"-")</f>
        <v>-</v>
      </c>
      <c r="J98" s="122" t="str">
        <f>IFERROR((COUNTIFS(Database!$F:$I,CONCATENATE($B98,J$68,"W"))+COUNTIFS(Database!$F:$I,CONCATENATE(J$68,$B98,"W")))/(COUNTIFS(Database!$F:$I,CONCATENATE($B98,J$68,"L"))+COUNTIFS(Database!$F:$I,CONCATENATE(J$68,$B98,"L"))+COUNTIFS(Database!$F:$I,CONCATENATE($B98,J$68,"W"))+COUNTIFS(Database!$F:$I,CONCATENATE(J$68,$B98,"W"))),"-")</f>
        <v>-</v>
      </c>
      <c r="K98" s="122">
        <f>IFERROR((COUNTIFS(Database!$F:$I,CONCATENATE($B98,K$68,"W"))+COUNTIFS(Database!$F:$I,CONCATENATE(K$68,$B98,"W")))/(COUNTIFS(Database!$F:$I,CONCATENATE($B98,K$68,"L"))+COUNTIFS(Database!$F:$I,CONCATENATE(K$68,$B98,"L"))+COUNTIFS(Database!$F:$I,CONCATENATE($B98,K$68,"W"))+COUNTIFS(Database!$F:$I,CONCATENATE(K$68,$B98,"W"))),"-")</f>
        <v>0</v>
      </c>
      <c r="L98" s="122" t="str">
        <f>IFERROR((COUNTIFS(Database!$F:$I,CONCATENATE($B98,L$68,"W"))+COUNTIFS(Database!$F:$I,CONCATENATE(L$68,$B98,"W")))/(COUNTIFS(Database!$F:$I,CONCATENATE($B98,L$68,"L"))+COUNTIFS(Database!$F:$I,CONCATENATE(L$68,$B98,"L"))+COUNTIFS(Database!$F:$I,CONCATENATE($B98,L$68,"W"))+COUNTIFS(Database!$F:$I,CONCATENATE(L$68,$B98,"W"))),"-")</f>
        <v>-</v>
      </c>
      <c r="M98" s="122" t="str">
        <f>IFERROR((COUNTIFS(Database!$F:$I,CONCATENATE($B98,M$68,"W"))+COUNTIFS(Database!$F:$I,CONCATENATE(M$68,$B98,"W")))/(COUNTIFS(Database!$F:$I,CONCATENATE($B98,M$68,"L"))+COUNTIFS(Database!$F:$I,CONCATENATE(M$68,$B98,"L"))+COUNTIFS(Database!$F:$I,CONCATENATE($B98,M$68,"W"))+COUNTIFS(Database!$F:$I,CONCATENATE(M$68,$B98,"W"))),"-")</f>
        <v>-</v>
      </c>
      <c r="N98" s="122" t="str">
        <f>IFERROR((COUNTIFS(Database!$F:$I,CONCATENATE($B98,N$68,"W"))+COUNTIFS(Database!$F:$I,CONCATENATE(N$68,$B98,"W")))/(COUNTIFS(Database!$F:$I,CONCATENATE($B98,N$68,"L"))+COUNTIFS(Database!$F:$I,CONCATENATE(N$68,$B98,"L"))+COUNTIFS(Database!$F:$I,CONCATENATE($B98,N$68,"W"))+COUNTIFS(Database!$F:$I,CONCATENATE(N$68,$B98,"W"))),"-")</f>
        <v>-</v>
      </c>
      <c r="O98" s="122">
        <f>IFERROR((COUNTIFS(Database!$F:$I,CONCATENATE($B98,O$68,"W"))+COUNTIFS(Database!$F:$I,CONCATENATE(O$68,$B98,"W")))/(COUNTIFS(Database!$F:$I,CONCATENATE($B98,O$68,"L"))+COUNTIFS(Database!$F:$I,CONCATENATE(O$68,$B98,"L"))+COUNTIFS(Database!$F:$I,CONCATENATE($B98,O$68,"W"))+COUNTIFS(Database!$F:$I,CONCATENATE(O$68,$B98,"W"))),"-")</f>
        <v>0</v>
      </c>
      <c r="P98" s="122" t="str">
        <f>IFERROR((COUNTIFS(Database!$F:$I,CONCATENATE($B98,P$68,"W"))+COUNTIFS(Database!$F:$I,CONCATENATE(P$68,$B98,"W")))/(COUNTIFS(Database!$F:$I,CONCATENATE($B98,P$68,"L"))+COUNTIFS(Database!$F:$I,CONCATENATE(P$68,$B98,"L"))+COUNTIFS(Database!$F:$I,CONCATENATE($B98,P$68,"W"))+COUNTIFS(Database!$F:$I,CONCATENATE(P$68,$B98,"W"))),"-")</f>
        <v>-</v>
      </c>
      <c r="Q98" s="122" t="str">
        <f>IFERROR((COUNTIFS(Database!$F:$I,CONCATENATE($B98,Q$68,"W"))+COUNTIFS(Database!$F:$I,CONCATENATE(Q$68,$B98,"W")))/(COUNTIFS(Database!$F:$I,CONCATENATE($B98,Q$68,"L"))+COUNTIFS(Database!$F:$I,CONCATENATE(Q$68,$B98,"L"))+COUNTIFS(Database!$F:$I,CONCATENATE($B98,Q$68,"W"))+COUNTIFS(Database!$F:$I,CONCATENATE(Q$68,$B98,"W"))),"-")</f>
        <v>-</v>
      </c>
      <c r="R98" s="122" t="str">
        <f>IFERROR((COUNTIFS(Database!$F:$I,CONCATENATE($B98,R$68,"W"))+COUNTIFS(Database!$F:$I,CONCATENATE(R$68,$B98,"W")))/(COUNTIFS(Database!$F:$I,CONCATENATE($B98,R$68,"L"))+COUNTIFS(Database!$F:$I,CONCATENATE(R$68,$B98,"L"))+COUNTIFS(Database!$F:$I,CONCATENATE($B98,R$68,"W"))+COUNTIFS(Database!$F:$I,CONCATENATE(R$68,$B98,"W"))),"-")</f>
        <v>-</v>
      </c>
      <c r="S98" s="122">
        <f>IFERROR((COUNTIFS(Database!$F:$I,CONCATENATE($B98,S$68,"W"))+COUNTIFS(Database!$F:$I,CONCATENATE(S$68,$B98,"W")))/(COUNTIFS(Database!$F:$I,CONCATENATE($B98,S$68,"L"))+COUNTIFS(Database!$F:$I,CONCATENATE(S$68,$B98,"L"))+COUNTIFS(Database!$F:$I,CONCATENATE($B98,S$68,"W"))+COUNTIFS(Database!$F:$I,CONCATENATE(S$68,$B98,"W"))),"-")</f>
        <v>0</v>
      </c>
      <c r="T98" s="122" t="str">
        <f>IFERROR((COUNTIFS(Database!$F:$I,CONCATENATE($B98,T$68,"W"))+COUNTIFS(Database!$F:$I,CONCATENATE(T$68,$B98,"W")))/(COUNTIFS(Database!$F:$I,CONCATENATE($B98,T$68,"L"))+COUNTIFS(Database!$F:$I,CONCATENATE(T$68,$B98,"L"))+COUNTIFS(Database!$F:$I,CONCATENATE($B98,T$68,"W"))+COUNTIFS(Database!$F:$I,CONCATENATE(T$68,$B98,"W"))),"-")</f>
        <v>-</v>
      </c>
      <c r="U98" s="122" t="str">
        <f>IFERROR((COUNTIFS(Database!$F:$I,CONCATENATE($B98,U$68,"W"))+COUNTIFS(Database!$F:$I,CONCATENATE(U$68,$B98,"W")))/(COUNTIFS(Database!$F:$I,CONCATENATE($B98,U$68,"L"))+COUNTIFS(Database!$F:$I,CONCATENATE(U$68,$B98,"L"))+COUNTIFS(Database!$F:$I,CONCATENATE($B98,U$68,"W"))+COUNTIFS(Database!$F:$I,CONCATENATE(U$68,$B98,"W"))),"-")</f>
        <v>-</v>
      </c>
      <c r="V98" s="122" t="str">
        <f>IFERROR((COUNTIFS(Database!$F:$I,CONCATENATE($B98,V$68,"W"))+COUNTIFS(Database!$F:$I,CONCATENATE(V$68,$B98,"W")))/(COUNTIFS(Database!$F:$I,CONCATENATE($B98,V$68,"L"))+COUNTIFS(Database!$F:$I,CONCATENATE(V$68,$B98,"L"))+COUNTIFS(Database!$F:$I,CONCATENATE($B98,V$68,"W"))+COUNTIFS(Database!$F:$I,CONCATENATE(V$68,$B98,"W"))),"-")</f>
        <v>-</v>
      </c>
      <c r="W98" s="122">
        <f>IFERROR((COUNTIFS(Database!$F:$I,CONCATENATE($B98,W$68,"W"))+COUNTIFS(Database!$F:$I,CONCATENATE(W$68,$B98,"W")))/(COUNTIFS(Database!$F:$I,CONCATENATE($B98,W$68,"L"))+COUNTIFS(Database!$F:$I,CONCATENATE(W$68,$B98,"L"))+COUNTIFS(Database!$F:$I,CONCATENATE($B98,W$68,"W"))+COUNTIFS(Database!$F:$I,CONCATENATE(W$68,$B98,"W"))),"-")</f>
        <v>0.5</v>
      </c>
      <c r="X98" s="122" t="str">
        <f>IFERROR((COUNTIFS(Database!$F:$I,CONCATENATE($B98,X$68,"W"))+COUNTIFS(Database!$F:$I,CONCATENATE(X$68,$B98,"W")))/(COUNTIFS(Database!$F:$I,CONCATENATE($B98,X$68,"L"))+COUNTIFS(Database!$F:$I,CONCATENATE(X$68,$B98,"L"))+COUNTIFS(Database!$F:$I,CONCATENATE($B98,X$68,"W"))+COUNTIFS(Database!$F:$I,CONCATENATE(X$68,$B98,"W"))),"-")</f>
        <v>-</v>
      </c>
      <c r="Y98" s="122" t="str">
        <f>IFERROR((COUNTIFS(Database!$F:$I,CONCATENATE($B98,Y$68,"W"))+COUNTIFS(Database!$F:$I,CONCATENATE(Y$68,$B98,"W")))/(COUNTIFS(Database!$F:$I,CONCATENATE($B98,Y$68,"L"))+COUNTIFS(Database!$F:$I,CONCATENATE(Y$68,$B98,"L"))+COUNTIFS(Database!$F:$I,CONCATENATE($B98,Y$68,"W"))+COUNTIFS(Database!$F:$I,CONCATENATE(Y$68,$B98,"W"))),"-")</f>
        <v>-</v>
      </c>
      <c r="Z98" s="122" t="str">
        <f>IFERROR((COUNTIFS(Database!$F:$I,CONCATENATE($B98,Z$68,"W"))+COUNTIFS(Database!$F:$I,CONCATENATE(Z$68,$B98,"W")))/(COUNTIFS(Database!$F:$I,CONCATENATE($B98,Z$68,"L"))+COUNTIFS(Database!$F:$I,CONCATENATE(Z$68,$B98,"L"))+COUNTIFS(Database!$F:$I,CONCATENATE($B98,Z$68,"W"))+COUNTIFS(Database!$F:$I,CONCATENATE(Z$68,$B98,"W"))),"-")</f>
        <v>-</v>
      </c>
      <c r="AA98" s="122" t="str">
        <f>IFERROR((COUNTIFS(Database!$F:$I,CONCATENATE($B98,AA$68,"W"))+COUNTIFS(Database!$F:$I,CONCATENATE(AA$68,$B98,"W")))/(COUNTIFS(Database!$F:$I,CONCATENATE($B98,AA$68,"L"))+COUNTIFS(Database!$F:$I,CONCATENATE(AA$68,$B98,"L"))+COUNTIFS(Database!$F:$I,CONCATENATE($B98,AA$68,"W"))+COUNTIFS(Database!$F:$I,CONCATENATE(AA$68,$B98,"W"))),"-")</f>
        <v>-</v>
      </c>
      <c r="AB98" s="122" t="str">
        <f>IFERROR((COUNTIFS(Database!$F:$I,CONCATENATE($B98,AB$68,"W"))+COUNTIFS(Database!$F:$I,CONCATENATE(AB$68,$B98,"W")))/(COUNTIFS(Database!$F:$I,CONCATENATE($B98,AB$68,"L"))+COUNTIFS(Database!$F:$I,CONCATENATE(AB$68,$B98,"L"))+COUNTIFS(Database!$F:$I,CONCATENATE($B98,AB$68,"W"))+COUNTIFS(Database!$F:$I,CONCATENATE(AB$68,$B98,"W"))),"-")</f>
        <v>-</v>
      </c>
      <c r="AC98" s="122" t="str">
        <f>IFERROR((COUNTIFS(Database!$F:$I,CONCATENATE($B98,AC$68,"W"))+COUNTIFS(Database!$F:$I,CONCATENATE(AC$68,$B98,"W")))/(COUNTIFS(Database!$F:$I,CONCATENATE($B98,AC$68,"L"))+COUNTIFS(Database!$F:$I,CONCATENATE(AC$68,$B98,"L"))+COUNTIFS(Database!$F:$I,CONCATENATE($B98,AC$68,"W"))+COUNTIFS(Database!$F:$I,CONCATENATE(AC$68,$B98,"W"))),"-")</f>
        <v>-</v>
      </c>
      <c r="AD98" s="122" t="str">
        <f>IFERROR((COUNTIFS(Database!$F:$I,CONCATENATE($B98,AD$68,"W"))+COUNTIFS(Database!$F:$I,CONCATENATE(AD$68,$B98,"W")))/(COUNTIFS(Database!$F:$I,CONCATENATE($B98,AD$68,"L"))+COUNTIFS(Database!$F:$I,CONCATENATE(AD$68,$B98,"L"))+COUNTIFS(Database!$F:$I,CONCATENATE($B98,AD$68,"W"))+COUNTIFS(Database!$F:$I,CONCATENATE(AD$68,$B98,"W"))),"-")</f>
        <v>-</v>
      </c>
      <c r="AE98" s="122" t="str">
        <f>IFERROR((COUNTIFS(Database!$F:$I,CONCATENATE($B98,AE$68,"W"))+COUNTIFS(Database!$F:$I,CONCATENATE(AE$68,$B98,"W")))/(COUNTIFS(Database!$F:$I,CONCATENATE($B98,AE$68,"L"))+COUNTIFS(Database!$F:$I,CONCATENATE(AE$68,$B98,"L"))+COUNTIFS(Database!$F:$I,CONCATENATE($B98,AE$68,"W"))+COUNTIFS(Database!$F:$I,CONCATENATE(AE$68,$B98,"W"))),"-")</f>
        <v>-</v>
      </c>
      <c r="AF98" s="122" t="str">
        <f>IFERROR((COUNTIFS(Database!$F:$I,CONCATENATE($B98,AF$68,"W"))+COUNTIFS(Database!$F:$I,CONCATENATE(AF$68,$B98,"W")))/(COUNTIFS(Database!$F:$I,CONCATENATE($B98,AF$68,"L"))+COUNTIFS(Database!$F:$I,CONCATENATE(AF$68,$B98,"L"))+COUNTIFS(Database!$F:$I,CONCATENATE($B98,AF$68,"W"))+COUNTIFS(Database!$F:$I,CONCATENATE(AF$68,$B98,"W"))),"-")</f>
        <v>-</v>
      </c>
      <c r="AG98" s="122" t="str">
        <f>IFERROR((COUNTIFS(Database!$F:$I,CONCATENATE($B98,AG$68,"W"))+COUNTIFS(Database!$F:$I,CONCATENATE(AG$68,$B98,"W")))/(COUNTIFS(Database!$F:$I,CONCATENATE($B98,AG$68,"L"))+COUNTIFS(Database!$F:$I,CONCATENATE(AG$68,$B98,"L"))+COUNTIFS(Database!$F:$I,CONCATENATE($B98,AG$68,"W"))+COUNTIFS(Database!$F:$I,CONCATENATE(AG$68,$B98,"W"))),"-")</f>
        <v>-</v>
      </c>
      <c r="AH98" s="122" t="str">
        <f>IFERROR((COUNTIFS(Database!$F:$I,CONCATENATE($B98,AH$68,"W"))+COUNTIFS(Database!$F:$I,CONCATENATE(AH$68,$B98,"W")))/(COUNTIFS(Database!$F:$I,CONCATENATE($B98,AH$68,"L"))+COUNTIFS(Database!$F:$I,CONCATENATE(AH$68,$B98,"L"))+COUNTIFS(Database!$F:$I,CONCATENATE($B98,AH$68,"W"))+COUNTIFS(Database!$F:$I,CONCATENATE(AH$68,$B98,"W"))),"-")</f>
        <v>-</v>
      </c>
      <c r="AI98" s="122">
        <f>IFERROR((COUNTIFS(Database!$F:$I,CONCATENATE($B98,AI$68,"W"))+COUNTIFS(Database!$F:$I,CONCATENATE(AI$68,$B98,"W")))/(COUNTIFS(Database!$F:$I,CONCATENATE($B98,AI$68,"L"))+COUNTIFS(Database!$F:$I,CONCATENATE(AI$68,$B98,"L"))+COUNTIFS(Database!$F:$I,CONCATENATE($B98,AI$68,"W"))+COUNTIFS(Database!$F:$I,CONCATENATE(AI$68,$B98,"W"))),"-")</f>
        <v>0.5</v>
      </c>
      <c r="AJ98" s="122" t="str">
        <f>IFERROR((COUNTIFS(Database!$F:$I,CONCATENATE($B98,AJ$68,"W"))+COUNTIFS(Database!$F:$I,CONCATENATE(AJ$68,$B98,"W")))/(COUNTIFS(Database!$F:$I,CONCATENATE($B98,AJ$68,"L"))+COUNTIFS(Database!$F:$I,CONCATENATE(AJ$68,$B98,"L"))+COUNTIFS(Database!$F:$I,CONCATENATE($B98,AJ$68,"W"))+COUNTIFS(Database!$F:$I,CONCATENATE(AJ$68,$B98,"W"))),"-")</f>
        <v>-</v>
      </c>
      <c r="AK98" s="122">
        <f>IFERROR((COUNTIFS(Database!$F:$I,CONCATENATE($B98,AK$68,"W"))+COUNTIFS(Database!$F:$I,CONCATENATE(AK$68,$B98,"W")))/(COUNTIFS(Database!$F:$I,CONCATENATE($B98,AK$68,"L"))+COUNTIFS(Database!$F:$I,CONCATENATE(AK$68,$B98,"L"))+COUNTIFS(Database!$F:$I,CONCATENATE($B98,AK$68,"W"))+COUNTIFS(Database!$F:$I,CONCATENATE(AK$68,$B98,"W"))),"-")</f>
        <v>0</v>
      </c>
      <c r="AL98" s="122" t="str">
        <f>IFERROR((COUNTIFS(Database!$F:$I,CONCATENATE($B98,AL$68,"W"))+COUNTIFS(Database!$F:$I,CONCATENATE(AL$68,$B98,"W")))/(COUNTIFS(Database!$F:$I,CONCATENATE($B98,AL$68,"L"))+COUNTIFS(Database!$F:$I,CONCATENATE(AL$68,$B98,"L"))+COUNTIFS(Database!$F:$I,CONCATENATE($B98,AL$68,"W"))+COUNTIFS(Database!$F:$I,CONCATENATE(AL$68,$B98,"W"))),"-")</f>
        <v>-</v>
      </c>
      <c r="AM98" s="122" t="str">
        <f>IFERROR((COUNTIFS(Database!$F:$I,CONCATENATE($B98,AM$68,"W"))+COUNTIFS(Database!$F:$I,CONCATENATE(AM$68,$B98,"W")))/(COUNTIFS(Database!$F:$I,CONCATENATE($B98,AM$68,"L"))+COUNTIFS(Database!$F:$I,CONCATENATE(AM$68,$B98,"L"))+COUNTIFS(Database!$F:$I,CONCATENATE($B98,AM$68,"W"))+COUNTIFS(Database!$F:$I,CONCATENATE(AM$68,$B98,"W"))),"-")</f>
        <v>-</v>
      </c>
      <c r="AN98" s="122" t="str">
        <f>IFERROR((COUNTIFS(Database!$F:$I,CONCATENATE($B98,AN$68,"W"))+COUNTIFS(Database!$F:$I,CONCATENATE(AN$68,$B98,"W")))/(COUNTIFS(Database!$F:$I,CONCATENATE($B98,AN$68,"L"))+COUNTIFS(Database!$F:$I,CONCATENATE(AN$68,$B98,"L"))+COUNTIFS(Database!$F:$I,CONCATENATE($B98,AN$68,"W"))+COUNTIFS(Database!$F:$I,CONCATENATE(AN$68,$B98,"W"))),"-")</f>
        <v>-</v>
      </c>
      <c r="AO98" s="122" t="str">
        <f>IFERROR((COUNTIFS(Database!$F:$I,CONCATENATE($B98,AO$68,"W"))+COUNTIFS(Database!$F:$I,CONCATENATE(AO$68,$B98,"W")))/(COUNTIFS(Database!$F:$I,CONCATENATE($B98,AO$68,"L"))+COUNTIFS(Database!$F:$I,CONCATENATE(AO$68,$B98,"L"))+COUNTIFS(Database!$F:$I,CONCATENATE($B98,AO$68,"W"))+COUNTIFS(Database!$F:$I,CONCATENATE(AO$68,$B98,"W"))),"-")</f>
        <v>-</v>
      </c>
      <c r="AP98" s="122">
        <f>IFERROR((COUNTIFS(Database!$F:$I,CONCATENATE($B98,AP$68,"W"))+COUNTIFS(Database!$F:$I,CONCATENATE(AP$68,$B98,"W")))/(COUNTIFS(Database!$F:$I,CONCATENATE($B98,AP$68,"L"))+COUNTIFS(Database!$F:$I,CONCATENATE(AP$68,$B98,"L"))+COUNTIFS(Database!$F:$I,CONCATENATE($B98,AP$68,"W"))+COUNTIFS(Database!$F:$I,CONCATENATE(AP$68,$B98,"W"))),"-")</f>
        <v>0.5</v>
      </c>
      <c r="AQ98" s="122" t="str">
        <f>IFERROR((COUNTIFS(Database!$F:$I,CONCATENATE($B98,AQ$68,"W"))+COUNTIFS(Database!$F:$I,CONCATENATE(AQ$68,$B98,"W")))/(COUNTIFS(Database!$F:$I,CONCATENATE($B98,AQ$68,"L"))+COUNTIFS(Database!$F:$I,CONCATENATE(AQ$68,$B98,"L"))+COUNTIFS(Database!$F:$I,CONCATENATE($B98,AQ$68,"W"))+COUNTIFS(Database!$F:$I,CONCATENATE(AQ$68,$B98,"W"))),"-")</f>
        <v>-</v>
      </c>
      <c r="AR98" s="122" t="str">
        <f>IFERROR((COUNTIFS(Database!$F:$I,CONCATENATE($B98,AR$68,"W"))+COUNTIFS(Database!$F:$I,CONCATENATE(AR$68,$B98,"W")))/(COUNTIFS(Database!$F:$I,CONCATENATE($B98,AR$68,"L"))+COUNTIFS(Database!$F:$I,CONCATENATE(AR$68,$B98,"L"))+COUNTIFS(Database!$F:$I,CONCATENATE($B98,AR$68,"W"))+COUNTIFS(Database!$F:$I,CONCATENATE(AR$68,$B98,"W"))),"-")</f>
        <v>-</v>
      </c>
      <c r="AS98" s="122" t="str">
        <f>IFERROR((COUNTIFS(Database!$F:$I,CONCATENATE($B98,AS$68,"W"))+COUNTIFS(Database!$F:$I,CONCATENATE(AS$68,$B98,"W")))/(COUNTIFS(Database!$F:$I,CONCATENATE($B98,AS$68,"L"))+COUNTIFS(Database!$F:$I,CONCATENATE(AS$68,$B98,"L"))+COUNTIFS(Database!$F:$I,CONCATENATE($B98,AS$68,"W"))+COUNTIFS(Database!$F:$I,CONCATENATE(AS$68,$B98,"W"))),"-")</f>
        <v>-</v>
      </c>
      <c r="AT98" s="122" t="str">
        <f>IFERROR((COUNTIFS(Database!$F:$I,CONCATENATE($B98,AT$68,"W"))+COUNTIFS(Database!$F:$I,CONCATENATE(AT$68,$B98,"W")))/(COUNTIFS(Database!$F:$I,CONCATENATE($B98,AT$68,"L"))+COUNTIFS(Database!$F:$I,CONCATENATE(AT$68,$B98,"L"))+COUNTIFS(Database!$F:$I,CONCATENATE($B98,AT$68,"W"))+COUNTIFS(Database!$F:$I,CONCATENATE(AT$68,$B98,"W"))),"-")</f>
        <v>-</v>
      </c>
      <c r="AU98" s="122">
        <f>IFERROR((COUNTIFS(Database!$F:$I,CONCATENATE($B98,AU$68,"W"))+COUNTIFS(Database!$F:$I,CONCATENATE(AU$68,$B98,"W")))/(COUNTIFS(Database!$F:$I,CONCATENATE($B98,AU$68,"L"))+COUNTIFS(Database!$F:$I,CONCATENATE(AU$68,$B98,"L"))+COUNTIFS(Database!$F:$I,CONCATENATE($B98,AU$68,"W"))+COUNTIFS(Database!$F:$I,CONCATENATE(AU$68,$B98,"W"))),"-")</f>
        <v>0.5</v>
      </c>
      <c r="AV98" s="122" t="str">
        <f>IFERROR((COUNTIFS(Database!$F:$I,CONCATENATE($B98,AV$68,"W"))+COUNTIFS(Database!$F:$I,CONCATENATE(AV$68,$B98,"W")))/(COUNTIFS(Database!$F:$I,CONCATENATE($B98,AV$68,"L"))+COUNTIFS(Database!$F:$I,CONCATENATE(AV$68,$B98,"L"))+COUNTIFS(Database!$F:$I,CONCATENATE($B98,AV$68,"W"))+COUNTIFS(Database!$F:$I,CONCATENATE(AV$68,$B98,"W"))),"-")</f>
        <v>-</v>
      </c>
      <c r="AW98" s="122" t="str">
        <f>IFERROR((COUNTIFS(Database!$F:$I,CONCATENATE($B98,AW$68,"W"))+COUNTIFS(Database!$F:$I,CONCATENATE(AW$68,$B98,"W")))/(COUNTIFS(Database!$F:$I,CONCATENATE($B98,AW$68,"L"))+COUNTIFS(Database!$F:$I,CONCATENATE(AW$68,$B98,"L"))+COUNTIFS(Database!$F:$I,CONCATENATE($B98,AW$68,"W"))+COUNTIFS(Database!$F:$I,CONCATENATE(AW$68,$B98,"W"))),"-")</f>
        <v>-</v>
      </c>
      <c r="AX98" s="122" t="str">
        <f>IFERROR((COUNTIFS(Database!$F:$I,CONCATENATE($B98,AX$68,"W"))+COUNTIFS(Database!$F:$I,CONCATENATE(AX$68,$B98,"W")))/(COUNTIFS(Database!$F:$I,CONCATENATE($B98,AX$68,"L"))+COUNTIFS(Database!$F:$I,CONCATENATE(AX$68,$B98,"L"))+COUNTIFS(Database!$F:$I,CONCATENATE($B98,AX$68,"W"))+COUNTIFS(Database!$F:$I,CONCATENATE(AX$68,$B98,"W"))),"-")</f>
        <v>-</v>
      </c>
      <c r="AY98" s="122" t="str">
        <f>IFERROR((COUNTIFS(Database!$F:$I,CONCATENATE($B98,AY$68,"W"))+COUNTIFS(Database!$F:$I,CONCATENATE(AY$68,$B98,"W")))/(COUNTIFS(Database!$F:$I,CONCATENATE($B98,AY$68,"L"))+COUNTIFS(Database!$F:$I,CONCATENATE(AY$68,$B98,"L"))+COUNTIFS(Database!$F:$I,CONCATENATE($B98,AY$68,"W"))+COUNTIFS(Database!$F:$I,CONCATENATE(AY$68,$B98,"W"))),"-")</f>
        <v>-</v>
      </c>
    </row>
    <row r="99" spans="2:51" x14ac:dyDescent="0.25">
      <c r="B99" s="120" t="s">
        <v>22</v>
      </c>
      <c r="C99" s="122">
        <f>IFERROR((COUNTIFS(Database!$F:$I,CONCATENATE($B99,C$68,"W"))+COUNTIFS(Database!$F:$I,CONCATENATE(C$68,$B99,"W")))/(COUNTIFS(Database!$F:$I,CONCATENATE($B99,C$68,"L"))+COUNTIFS(Database!$F:$I,CONCATENATE(C$68,$B99,"L"))+COUNTIFS(Database!$F:$I,CONCATENATE($B99,C$68,"W"))+COUNTIFS(Database!$F:$I,CONCATENATE(C$68,$B99,"W"))),"-")</f>
        <v>1</v>
      </c>
      <c r="D99" s="122">
        <f>IFERROR((COUNTIFS(Database!$F:$I,CONCATENATE($B99,D$68,"W"))+COUNTIFS(Database!$F:$I,CONCATENATE(D$68,$B99,"W")))/(COUNTIFS(Database!$F:$I,CONCATENATE($B99,D$68,"L"))+COUNTIFS(Database!$F:$I,CONCATENATE(D$68,$B99,"L"))+COUNTIFS(Database!$F:$I,CONCATENATE($B99,D$68,"W"))+COUNTIFS(Database!$F:$I,CONCATENATE(D$68,$B99,"W"))),"-")</f>
        <v>1</v>
      </c>
      <c r="E99" s="122">
        <f>IFERROR((COUNTIFS(Database!$F:$I,CONCATENATE($B99,E$68,"W"))+COUNTIFS(Database!$F:$I,CONCATENATE(E$68,$B99,"W")))/(COUNTIFS(Database!$F:$I,CONCATENATE($B99,E$68,"L"))+COUNTIFS(Database!$F:$I,CONCATENATE(E$68,$B99,"L"))+COUNTIFS(Database!$F:$I,CONCATENATE($B99,E$68,"W"))+COUNTIFS(Database!$F:$I,CONCATENATE(E$68,$B99,"W"))),"-")</f>
        <v>1</v>
      </c>
      <c r="F99" s="122" t="str">
        <f>IFERROR((COUNTIFS(Database!$F:$I,CONCATENATE($B99,F$68,"W"))+COUNTIFS(Database!$F:$I,CONCATENATE(F$68,$B99,"W")))/(COUNTIFS(Database!$F:$I,CONCATENATE($B99,F$68,"L"))+COUNTIFS(Database!$F:$I,CONCATENATE(F$68,$B99,"L"))+COUNTIFS(Database!$F:$I,CONCATENATE($B99,F$68,"W"))+COUNTIFS(Database!$F:$I,CONCATENATE(F$68,$B99,"W"))),"-")</f>
        <v>-</v>
      </c>
      <c r="G99" s="122" t="str">
        <f>IFERROR((COUNTIFS(Database!$F:$I,CONCATENATE($B99,G$68,"W"))+COUNTIFS(Database!$F:$I,CONCATENATE(G$68,$B99,"W")))/(COUNTIFS(Database!$F:$I,CONCATENATE($B99,G$68,"L"))+COUNTIFS(Database!$F:$I,CONCATENATE(G$68,$B99,"L"))+COUNTIFS(Database!$F:$I,CONCATENATE($B99,G$68,"W"))+COUNTIFS(Database!$F:$I,CONCATENATE(G$68,$B99,"W"))),"-")</f>
        <v>-</v>
      </c>
      <c r="H99" s="122" t="str">
        <f>IFERROR((COUNTIFS(Database!$F:$I,CONCATENATE($B99,H$68,"W"))+COUNTIFS(Database!$F:$I,CONCATENATE(H$68,$B99,"W")))/(COUNTIFS(Database!$F:$I,CONCATENATE($B99,H$68,"L"))+COUNTIFS(Database!$F:$I,CONCATENATE(H$68,$B99,"L"))+COUNTIFS(Database!$F:$I,CONCATENATE($B99,H$68,"W"))+COUNTIFS(Database!$F:$I,CONCATENATE(H$68,$B99,"W"))),"-")</f>
        <v>-</v>
      </c>
      <c r="I99" s="122" t="str">
        <f>IFERROR((COUNTIFS(Database!$F:$I,CONCATENATE($B99,I$68,"W"))+COUNTIFS(Database!$F:$I,CONCATENATE(I$68,$B99,"W")))/(COUNTIFS(Database!$F:$I,CONCATENATE($B99,I$68,"L"))+COUNTIFS(Database!$F:$I,CONCATENATE(I$68,$B99,"L"))+COUNTIFS(Database!$F:$I,CONCATENATE($B99,I$68,"W"))+COUNTIFS(Database!$F:$I,CONCATENATE(I$68,$B99,"W"))),"-")</f>
        <v>-</v>
      </c>
      <c r="J99" s="122" t="str">
        <f>IFERROR((COUNTIFS(Database!$F:$I,CONCATENATE($B99,J$68,"W"))+COUNTIFS(Database!$F:$I,CONCATENATE(J$68,$B99,"W")))/(COUNTIFS(Database!$F:$I,CONCATENATE($B99,J$68,"L"))+COUNTIFS(Database!$F:$I,CONCATENATE(J$68,$B99,"L"))+COUNTIFS(Database!$F:$I,CONCATENATE($B99,J$68,"W"))+COUNTIFS(Database!$F:$I,CONCATENATE(J$68,$B99,"W"))),"-")</f>
        <v>-</v>
      </c>
      <c r="K99" s="122">
        <f>IFERROR((COUNTIFS(Database!$F:$I,CONCATENATE($B99,K$68,"W"))+COUNTIFS(Database!$F:$I,CONCATENATE(K$68,$B99,"W")))/(COUNTIFS(Database!$F:$I,CONCATENATE($B99,K$68,"L"))+COUNTIFS(Database!$F:$I,CONCATENATE(K$68,$B99,"L"))+COUNTIFS(Database!$F:$I,CONCATENATE($B99,K$68,"W"))+COUNTIFS(Database!$F:$I,CONCATENATE(K$68,$B99,"W"))),"-")</f>
        <v>1</v>
      </c>
      <c r="L99" s="122" t="str">
        <f>IFERROR((COUNTIFS(Database!$F:$I,CONCATENATE($B99,L$68,"W"))+COUNTIFS(Database!$F:$I,CONCATENATE(L$68,$B99,"W")))/(COUNTIFS(Database!$F:$I,CONCATENATE($B99,L$68,"L"))+COUNTIFS(Database!$F:$I,CONCATENATE(L$68,$B99,"L"))+COUNTIFS(Database!$F:$I,CONCATENATE($B99,L$68,"W"))+COUNTIFS(Database!$F:$I,CONCATENATE(L$68,$B99,"W"))),"-")</f>
        <v>-</v>
      </c>
      <c r="M99" s="122" t="str">
        <f>IFERROR((COUNTIFS(Database!$F:$I,CONCATENATE($B99,M$68,"W"))+COUNTIFS(Database!$F:$I,CONCATENATE(M$68,$B99,"W")))/(COUNTIFS(Database!$F:$I,CONCATENATE($B99,M$68,"L"))+COUNTIFS(Database!$F:$I,CONCATENATE(M$68,$B99,"L"))+COUNTIFS(Database!$F:$I,CONCATENATE($B99,M$68,"W"))+COUNTIFS(Database!$F:$I,CONCATENATE(M$68,$B99,"W"))),"-")</f>
        <v>-</v>
      </c>
      <c r="N99" s="122" t="str">
        <f>IFERROR((COUNTIFS(Database!$F:$I,CONCATENATE($B99,N$68,"W"))+COUNTIFS(Database!$F:$I,CONCATENATE(N$68,$B99,"W")))/(COUNTIFS(Database!$F:$I,CONCATENATE($B99,N$68,"L"))+COUNTIFS(Database!$F:$I,CONCATENATE(N$68,$B99,"L"))+COUNTIFS(Database!$F:$I,CONCATENATE($B99,N$68,"W"))+COUNTIFS(Database!$F:$I,CONCATENATE(N$68,$B99,"W"))),"-")</f>
        <v>-</v>
      </c>
      <c r="O99" s="122">
        <f>IFERROR((COUNTIFS(Database!$F:$I,CONCATENATE($B99,O$68,"W"))+COUNTIFS(Database!$F:$I,CONCATENATE(O$68,$B99,"W")))/(COUNTIFS(Database!$F:$I,CONCATENATE($B99,O$68,"L"))+COUNTIFS(Database!$F:$I,CONCATENATE(O$68,$B99,"L"))+COUNTIFS(Database!$F:$I,CONCATENATE($B99,O$68,"W"))+COUNTIFS(Database!$F:$I,CONCATENATE(O$68,$B99,"W"))),"-")</f>
        <v>0</v>
      </c>
      <c r="P99" s="122" t="str">
        <f>IFERROR((COUNTIFS(Database!$F:$I,CONCATENATE($B99,P$68,"W"))+COUNTIFS(Database!$F:$I,CONCATENATE(P$68,$B99,"W")))/(COUNTIFS(Database!$F:$I,CONCATENATE($B99,P$68,"L"))+COUNTIFS(Database!$F:$I,CONCATENATE(P$68,$B99,"L"))+COUNTIFS(Database!$F:$I,CONCATENATE($B99,P$68,"W"))+COUNTIFS(Database!$F:$I,CONCATENATE(P$68,$B99,"W"))),"-")</f>
        <v>-</v>
      </c>
      <c r="Q99" s="122" t="str">
        <f>IFERROR((COUNTIFS(Database!$F:$I,CONCATENATE($B99,Q$68,"W"))+COUNTIFS(Database!$F:$I,CONCATENATE(Q$68,$B99,"W")))/(COUNTIFS(Database!$F:$I,CONCATENATE($B99,Q$68,"L"))+COUNTIFS(Database!$F:$I,CONCATENATE(Q$68,$B99,"L"))+COUNTIFS(Database!$F:$I,CONCATENATE($B99,Q$68,"W"))+COUNTIFS(Database!$F:$I,CONCATENATE(Q$68,$B99,"W"))),"-")</f>
        <v>-</v>
      </c>
      <c r="R99" s="122" t="str">
        <f>IFERROR((COUNTIFS(Database!$F:$I,CONCATENATE($B99,R$68,"W"))+COUNTIFS(Database!$F:$I,CONCATENATE(R$68,$B99,"W")))/(COUNTIFS(Database!$F:$I,CONCATENATE($B99,R$68,"L"))+COUNTIFS(Database!$F:$I,CONCATENATE(R$68,$B99,"L"))+COUNTIFS(Database!$F:$I,CONCATENATE($B99,R$68,"W"))+COUNTIFS(Database!$F:$I,CONCATENATE(R$68,$B99,"W"))),"-")</f>
        <v>-</v>
      </c>
      <c r="S99" s="122" t="str">
        <f>IFERROR((COUNTIFS(Database!$F:$I,CONCATENATE($B99,S$68,"W"))+COUNTIFS(Database!$F:$I,CONCATENATE(S$68,$B99,"W")))/(COUNTIFS(Database!$F:$I,CONCATENATE($B99,S$68,"L"))+COUNTIFS(Database!$F:$I,CONCATENATE(S$68,$B99,"L"))+COUNTIFS(Database!$F:$I,CONCATENATE($B99,S$68,"W"))+COUNTIFS(Database!$F:$I,CONCATENATE(S$68,$B99,"W"))),"-")</f>
        <v>-</v>
      </c>
      <c r="T99" s="122" t="str">
        <f>IFERROR((COUNTIFS(Database!$F:$I,CONCATENATE($B99,T$68,"W"))+COUNTIFS(Database!$F:$I,CONCATENATE(T$68,$B99,"W")))/(COUNTIFS(Database!$F:$I,CONCATENATE($B99,T$68,"L"))+COUNTIFS(Database!$F:$I,CONCATENATE(T$68,$B99,"L"))+COUNTIFS(Database!$F:$I,CONCATENATE($B99,T$68,"W"))+COUNTIFS(Database!$F:$I,CONCATENATE(T$68,$B99,"W"))),"-")</f>
        <v>-</v>
      </c>
      <c r="U99" s="122" t="str">
        <f>IFERROR((COUNTIFS(Database!$F:$I,CONCATENATE($B99,U$68,"W"))+COUNTIFS(Database!$F:$I,CONCATENATE(U$68,$B99,"W")))/(COUNTIFS(Database!$F:$I,CONCATENATE($B99,U$68,"L"))+COUNTIFS(Database!$F:$I,CONCATENATE(U$68,$B99,"L"))+COUNTIFS(Database!$F:$I,CONCATENATE($B99,U$68,"W"))+COUNTIFS(Database!$F:$I,CONCATENATE(U$68,$B99,"W"))),"-")</f>
        <v>-</v>
      </c>
      <c r="V99" s="122" t="str">
        <f>IFERROR((COUNTIFS(Database!$F:$I,CONCATENATE($B99,V$68,"W"))+COUNTIFS(Database!$F:$I,CONCATENATE(V$68,$B99,"W")))/(COUNTIFS(Database!$F:$I,CONCATENATE($B99,V$68,"L"))+COUNTIFS(Database!$F:$I,CONCATENATE(V$68,$B99,"L"))+COUNTIFS(Database!$F:$I,CONCATENATE($B99,V$68,"W"))+COUNTIFS(Database!$F:$I,CONCATENATE(V$68,$B99,"W"))),"-")</f>
        <v>-</v>
      </c>
      <c r="W99" s="122" t="str">
        <f>IFERROR((COUNTIFS(Database!$F:$I,CONCATENATE($B99,W$68,"W"))+COUNTIFS(Database!$F:$I,CONCATENATE(W$68,$B99,"W")))/(COUNTIFS(Database!$F:$I,CONCATENATE($B99,W$68,"L"))+COUNTIFS(Database!$F:$I,CONCATENATE(W$68,$B99,"L"))+COUNTIFS(Database!$F:$I,CONCATENATE($B99,W$68,"W"))+COUNTIFS(Database!$F:$I,CONCATENATE(W$68,$B99,"W"))),"-")</f>
        <v>-</v>
      </c>
      <c r="X99" s="122" t="str">
        <f>IFERROR((COUNTIFS(Database!$F:$I,CONCATENATE($B99,X$68,"W"))+COUNTIFS(Database!$F:$I,CONCATENATE(X$68,$B99,"W")))/(COUNTIFS(Database!$F:$I,CONCATENATE($B99,X$68,"L"))+COUNTIFS(Database!$F:$I,CONCATENATE(X$68,$B99,"L"))+COUNTIFS(Database!$F:$I,CONCATENATE($B99,X$68,"W"))+COUNTIFS(Database!$F:$I,CONCATENATE(X$68,$B99,"W"))),"-")</f>
        <v>-</v>
      </c>
      <c r="Y99" s="122" t="str">
        <f>IFERROR((COUNTIFS(Database!$F:$I,CONCATENATE($B99,Y$68,"W"))+COUNTIFS(Database!$F:$I,CONCATENATE(Y$68,$B99,"W")))/(COUNTIFS(Database!$F:$I,CONCATENATE($B99,Y$68,"L"))+COUNTIFS(Database!$F:$I,CONCATENATE(Y$68,$B99,"L"))+COUNTIFS(Database!$F:$I,CONCATENATE($B99,Y$68,"W"))+COUNTIFS(Database!$F:$I,CONCATENATE(Y$68,$B99,"W"))),"-")</f>
        <v>-</v>
      </c>
      <c r="Z99" s="122" t="str">
        <f>IFERROR((COUNTIFS(Database!$F:$I,CONCATENATE($B99,Z$68,"W"))+COUNTIFS(Database!$F:$I,CONCATENATE(Z$68,$B99,"W")))/(COUNTIFS(Database!$F:$I,CONCATENATE($B99,Z$68,"L"))+COUNTIFS(Database!$F:$I,CONCATENATE(Z$68,$B99,"L"))+COUNTIFS(Database!$F:$I,CONCATENATE($B99,Z$68,"W"))+COUNTIFS(Database!$F:$I,CONCATENATE(Z$68,$B99,"W"))),"-")</f>
        <v>-</v>
      </c>
      <c r="AA99" s="122" t="str">
        <f>IFERROR((COUNTIFS(Database!$F:$I,CONCATENATE($B99,AA$68,"W"))+COUNTIFS(Database!$F:$I,CONCATENATE(AA$68,$B99,"W")))/(COUNTIFS(Database!$F:$I,CONCATENATE($B99,AA$68,"L"))+COUNTIFS(Database!$F:$I,CONCATENATE(AA$68,$B99,"L"))+COUNTIFS(Database!$F:$I,CONCATENATE($B99,AA$68,"W"))+COUNTIFS(Database!$F:$I,CONCATENATE(AA$68,$B99,"W"))),"-")</f>
        <v>-</v>
      </c>
      <c r="AB99" s="122">
        <f>IFERROR((COUNTIFS(Database!$F:$I,CONCATENATE($B99,AB$68,"W"))+COUNTIFS(Database!$F:$I,CONCATENATE(AB$68,$B99,"W")))/(COUNTIFS(Database!$F:$I,CONCATENATE($B99,AB$68,"L"))+COUNTIFS(Database!$F:$I,CONCATENATE(AB$68,$B99,"L"))+COUNTIFS(Database!$F:$I,CONCATENATE($B99,AB$68,"W"))+COUNTIFS(Database!$F:$I,CONCATENATE(AB$68,$B99,"W"))),"-")</f>
        <v>1</v>
      </c>
      <c r="AC99" s="122">
        <f>IFERROR((COUNTIFS(Database!$F:$I,CONCATENATE($B99,AC$68,"W"))+COUNTIFS(Database!$F:$I,CONCATENATE(AC$68,$B99,"W")))/(COUNTIFS(Database!$F:$I,CONCATENATE($B99,AC$68,"L"))+COUNTIFS(Database!$F:$I,CONCATENATE(AC$68,$B99,"L"))+COUNTIFS(Database!$F:$I,CONCATENATE($B99,AC$68,"W"))+COUNTIFS(Database!$F:$I,CONCATENATE(AC$68,$B99,"W"))),"-")</f>
        <v>0.5</v>
      </c>
      <c r="AD99" s="122" t="str">
        <f>IFERROR((COUNTIFS(Database!$F:$I,CONCATENATE($B99,AD$68,"W"))+COUNTIFS(Database!$F:$I,CONCATENATE(AD$68,$B99,"W")))/(COUNTIFS(Database!$F:$I,CONCATENATE($B99,AD$68,"L"))+COUNTIFS(Database!$F:$I,CONCATENATE(AD$68,$B99,"L"))+COUNTIFS(Database!$F:$I,CONCATENATE($B99,AD$68,"W"))+COUNTIFS(Database!$F:$I,CONCATENATE(AD$68,$B99,"W"))),"-")</f>
        <v>-</v>
      </c>
      <c r="AE99" s="122" t="str">
        <f>IFERROR((COUNTIFS(Database!$F:$I,CONCATENATE($B99,AE$68,"W"))+COUNTIFS(Database!$F:$I,CONCATENATE(AE$68,$B99,"W")))/(COUNTIFS(Database!$F:$I,CONCATENATE($B99,AE$68,"L"))+COUNTIFS(Database!$F:$I,CONCATENATE(AE$68,$B99,"L"))+COUNTIFS(Database!$F:$I,CONCATENATE($B99,AE$68,"W"))+COUNTIFS(Database!$F:$I,CONCATENATE(AE$68,$B99,"W"))),"-")</f>
        <v>-</v>
      </c>
      <c r="AF99" s="122" t="str">
        <f>IFERROR((COUNTIFS(Database!$F:$I,CONCATENATE($B99,AF$68,"W"))+COUNTIFS(Database!$F:$I,CONCATENATE(AF$68,$B99,"W")))/(COUNTIFS(Database!$F:$I,CONCATENATE($B99,AF$68,"L"))+COUNTIFS(Database!$F:$I,CONCATENATE(AF$68,$B99,"L"))+COUNTIFS(Database!$F:$I,CONCATENATE($B99,AF$68,"W"))+COUNTIFS(Database!$F:$I,CONCATENATE(AF$68,$B99,"W"))),"-")</f>
        <v>-</v>
      </c>
      <c r="AG99" s="122" t="str">
        <f>IFERROR((COUNTIFS(Database!$F:$I,CONCATENATE($B99,AG$68,"W"))+COUNTIFS(Database!$F:$I,CONCATENATE(AG$68,$B99,"W")))/(COUNTIFS(Database!$F:$I,CONCATENATE($B99,AG$68,"L"))+COUNTIFS(Database!$F:$I,CONCATENATE(AG$68,$B99,"L"))+COUNTIFS(Database!$F:$I,CONCATENATE($B99,AG$68,"W"))+COUNTIFS(Database!$F:$I,CONCATENATE(AG$68,$B99,"W"))),"-")</f>
        <v>-</v>
      </c>
      <c r="AH99" s="122">
        <f>IFERROR((COUNTIFS(Database!$F:$I,CONCATENATE($B99,AH$68,"W"))+COUNTIFS(Database!$F:$I,CONCATENATE(AH$68,$B99,"W")))/(COUNTIFS(Database!$F:$I,CONCATENATE($B99,AH$68,"L"))+COUNTIFS(Database!$F:$I,CONCATENATE(AH$68,$B99,"L"))+COUNTIFS(Database!$F:$I,CONCATENATE($B99,AH$68,"W"))+COUNTIFS(Database!$F:$I,CONCATENATE(AH$68,$B99,"W"))),"-")</f>
        <v>1</v>
      </c>
      <c r="AI99" s="122" t="str">
        <f>IFERROR((COUNTIFS(Database!$F:$I,CONCATENATE($B99,AI$68,"W"))+COUNTIFS(Database!$F:$I,CONCATENATE(AI$68,$B99,"W")))/(COUNTIFS(Database!$F:$I,CONCATENATE($B99,AI$68,"L"))+COUNTIFS(Database!$F:$I,CONCATENATE(AI$68,$B99,"L"))+COUNTIFS(Database!$F:$I,CONCATENATE($B99,AI$68,"W"))+COUNTIFS(Database!$F:$I,CONCATENATE(AI$68,$B99,"W"))),"-")</f>
        <v>-</v>
      </c>
      <c r="AJ99" s="122" t="str">
        <f>IFERROR((COUNTIFS(Database!$F:$I,CONCATENATE($B99,AJ$68,"W"))+COUNTIFS(Database!$F:$I,CONCATENATE(AJ$68,$B99,"W")))/(COUNTIFS(Database!$F:$I,CONCATENATE($B99,AJ$68,"L"))+COUNTIFS(Database!$F:$I,CONCATENATE(AJ$68,$B99,"L"))+COUNTIFS(Database!$F:$I,CONCATENATE($B99,AJ$68,"W"))+COUNTIFS(Database!$F:$I,CONCATENATE(AJ$68,$B99,"W"))),"-")</f>
        <v>-</v>
      </c>
      <c r="AK99" s="122" t="str">
        <f>IFERROR((COUNTIFS(Database!$F:$I,CONCATENATE($B99,AK$68,"W"))+COUNTIFS(Database!$F:$I,CONCATENATE(AK$68,$B99,"W")))/(COUNTIFS(Database!$F:$I,CONCATENATE($B99,AK$68,"L"))+COUNTIFS(Database!$F:$I,CONCATENATE(AK$68,$B99,"L"))+COUNTIFS(Database!$F:$I,CONCATENATE($B99,AK$68,"W"))+COUNTIFS(Database!$F:$I,CONCATENATE(AK$68,$B99,"W"))),"-")</f>
        <v>-</v>
      </c>
      <c r="AL99" s="122">
        <f>IFERROR((COUNTIFS(Database!$F:$I,CONCATENATE($B99,AL$68,"W"))+COUNTIFS(Database!$F:$I,CONCATENATE(AL$68,$B99,"W")))/(COUNTIFS(Database!$F:$I,CONCATENATE($B99,AL$68,"L"))+COUNTIFS(Database!$F:$I,CONCATENATE(AL$68,$B99,"L"))+COUNTIFS(Database!$F:$I,CONCATENATE($B99,AL$68,"W"))+COUNTIFS(Database!$F:$I,CONCATENATE(AL$68,$B99,"W"))),"-")</f>
        <v>1</v>
      </c>
      <c r="AM99" s="122" t="str">
        <f>IFERROR((COUNTIFS(Database!$F:$I,CONCATENATE($B99,AM$68,"W"))+COUNTIFS(Database!$F:$I,CONCATENATE(AM$68,$B99,"W")))/(COUNTIFS(Database!$F:$I,CONCATENATE($B99,AM$68,"L"))+COUNTIFS(Database!$F:$I,CONCATENATE(AM$68,$B99,"L"))+COUNTIFS(Database!$F:$I,CONCATENATE($B99,AM$68,"W"))+COUNTIFS(Database!$F:$I,CONCATENATE(AM$68,$B99,"W"))),"-")</f>
        <v>-</v>
      </c>
      <c r="AN99" s="122" t="str">
        <f>IFERROR((COUNTIFS(Database!$F:$I,CONCATENATE($B99,AN$68,"W"))+COUNTIFS(Database!$F:$I,CONCATENATE(AN$68,$B99,"W")))/(COUNTIFS(Database!$F:$I,CONCATENATE($B99,AN$68,"L"))+COUNTIFS(Database!$F:$I,CONCATENATE(AN$68,$B99,"L"))+COUNTIFS(Database!$F:$I,CONCATENATE($B99,AN$68,"W"))+COUNTIFS(Database!$F:$I,CONCATENATE(AN$68,$B99,"W"))),"-")</f>
        <v>-</v>
      </c>
      <c r="AO99" s="122">
        <f>IFERROR((COUNTIFS(Database!$F:$I,CONCATENATE($B99,AO$68,"W"))+COUNTIFS(Database!$F:$I,CONCATENATE(AO$68,$B99,"W")))/(COUNTIFS(Database!$F:$I,CONCATENATE($B99,AO$68,"L"))+COUNTIFS(Database!$F:$I,CONCATENATE(AO$68,$B99,"L"))+COUNTIFS(Database!$F:$I,CONCATENATE($B99,AO$68,"W"))+COUNTIFS(Database!$F:$I,CONCATENATE(AO$68,$B99,"W"))),"-")</f>
        <v>1</v>
      </c>
      <c r="AP99" s="122" t="str">
        <f>IFERROR((COUNTIFS(Database!$F:$I,CONCATENATE($B99,AP$68,"W"))+COUNTIFS(Database!$F:$I,CONCATENATE(AP$68,$B99,"W")))/(COUNTIFS(Database!$F:$I,CONCATENATE($B99,AP$68,"L"))+COUNTIFS(Database!$F:$I,CONCATENATE(AP$68,$B99,"L"))+COUNTIFS(Database!$F:$I,CONCATENATE($B99,AP$68,"W"))+COUNTIFS(Database!$F:$I,CONCATENATE(AP$68,$B99,"W"))),"-")</f>
        <v>-</v>
      </c>
      <c r="AQ99" s="122">
        <f>IFERROR((COUNTIFS(Database!$F:$I,CONCATENATE($B99,AQ$68,"W"))+COUNTIFS(Database!$F:$I,CONCATENATE(AQ$68,$B99,"W")))/(COUNTIFS(Database!$F:$I,CONCATENATE($B99,AQ$68,"L"))+COUNTIFS(Database!$F:$I,CONCATENATE(AQ$68,$B99,"L"))+COUNTIFS(Database!$F:$I,CONCATENATE($B99,AQ$68,"W"))+COUNTIFS(Database!$F:$I,CONCATENATE(AQ$68,$B99,"W"))),"-")</f>
        <v>0</v>
      </c>
      <c r="AR99" s="122">
        <f>IFERROR((COUNTIFS(Database!$F:$I,CONCATENATE($B99,AR$68,"W"))+COUNTIFS(Database!$F:$I,CONCATENATE(AR$68,$B99,"W")))/(COUNTIFS(Database!$F:$I,CONCATENATE($B99,AR$68,"L"))+COUNTIFS(Database!$F:$I,CONCATENATE(AR$68,$B99,"L"))+COUNTIFS(Database!$F:$I,CONCATENATE($B99,AR$68,"W"))+COUNTIFS(Database!$F:$I,CONCATENATE(AR$68,$B99,"W"))),"-")</f>
        <v>1</v>
      </c>
      <c r="AS99" s="122" t="str">
        <f>IFERROR((COUNTIFS(Database!$F:$I,CONCATENATE($B99,AS$68,"W"))+COUNTIFS(Database!$F:$I,CONCATENATE(AS$68,$B99,"W")))/(COUNTIFS(Database!$F:$I,CONCATENATE($B99,AS$68,"L"))+COUNTIFS(Database!$F:$I,CONCATENATE(AS$68,$B99,"L"))+COUNTIFS(Database!$F:$I,CONCATENATE($B99,AS$68,"W"))+COUNTIFS(Database!$F:$I,CONCATENATE(AS$68,$B99,"W"))),"-")</f>
        <v>-</v>
      </c>
      <c r="AT99" s="122" t="str">
        <f>IFERROR((COUNTIFS(Database!$F:$I,CONCATENATE($B99,AT$68,"W"))+COUNTIFS(Database!$F:$I,CONCATENATE(AT$68,$B99,"W")))/(COUNTIFS(Database!$F:$I,CONCATENATE($B99,AT$68,"L"))+COUNTIFS(Database!$F:$I,CONCATENATE(AT$68,$B99,"L"))+COUNTIFS(Database!$F:$I,CONCATENATE($B99,AT$68,"W"))+COUNTIFS(Database!$F:$I,CONCATENATE(AT$68,$B99,"W"))),"-")</f>
        <v>-</v>
      </c>
      <c r="AU99" s="122" t="str">
        <f>IFERROR((COUNTIFS(Database!$F:$I,CONCATENATE($B99,AU$68,"W"))+COUNTIFS(Database!$F:$I,CONCATENATE(AU$68,$B99,"W")))/(COUNTIFS(Database!$F:$I,CONCATENATE($B99,AU$68,"L"))+COUNTIFS(Database!$F:$I,CONCATENATE(AU$68,$B99,"L"))+COUNTIFS(Database!$F:$I,CONCATENATE($B99,AU$68,"W"))+COUNTIFS(Database!$F:$I,CONCATENATE(AU$68,$B99,"W"))),"-")</f>
        <v>-</v>
      </c>
      <c r="AV99" s="122" t="str">
        <f>IFERROR((COUNTIFS(Database!$F:$I,CONCATENATE($B99,AV$68,"W"))+COUNTIFS(Database!$F:$I,CONCATENATE(AV$68,$B99,"W")))/(COUNTIFS(Database!$F:$I,CONCATENATE($B99,AV$68,"L"))+COUNTIFS(Database!$F:$I,CONCATENATE(AV$68,$B99,"L"))+COUNTIFS(Database!$F:$I,CONCATENATE($B99,AV$68,"W"))+COUNTIFS(Database!$F:$I,CONCATENATE(AV$68,$B99,"W"))),"-")</f>
        <v>-</v>
      </c>
      <c r="AW99" s="122" t="str">
        <f>IFERROR((COUNTIFS(Database!$F:$I,CONCATENATE($B99,AW$68,"W"))+COUNTIFS(Database!$F:$I,CONCATENATE(AW$68,$B99,"W")))/(COUNTIFS(Database!$F:$I,CONCATENATE($B99,AW$68,"L"))+COUNTIFS(Database!$F:$I,CONCATENATE(AW$68,$B99,"L"))+COUNTIFS(Database!$F:$I,CONCATENATE($B99,AW$68,"W"))+COUNTIFS(Database!$F:$I,CONCATENATE(AW$68,$B99,"W"))),"-")</f>
        <v>-</v>
      </c>
      <c r="AX99" s="122">
        <f>IFERROR((COUNTIFS(Database!$F:$I,CONCATENATE($B99,AX$68,"W"))+COUNTIFS(Database!$F:$I,CONCATENATE(AX$68,$B99,"W")))/(COUNTIFS(Database!$F:$I,CONCATENATE($B99,AX$68,"L"))+COUNTIFS(Database!$F:$I,CONCATENATE(AX$68,$B99,"L"))+COUNTIFS(Database!$F:$I,CONCATENATE($B99,AX$68,"W"))+COUNTIFS(Database!$F:$I,CONCATENATE(AX$68,$B99,"W"))),"-")</f>
        <v>0</v>
      </c>
      <c r="AY99" s="122" t="str">
        <f>IFERROR((COUNTIFS(Database!$F:$I,CONCATENATE($B99,AY$68,"W"))+COUNTIFS(Database!$F:$I,CONCATENATE(AY$68,$B99,"W")))/(COUNTIFS(Database!$F:$I,CONCATENATE($B99,AY$68,"L"))+COUNTIFS(Database!$F:$I,CONCATENATE(AY$68,$B99,"L"))+COUNTIFS(Database!$F:$I,CONCATENATE($B99,AY$68,"W"))+COUNTIFS(Database!$F:$I,CONCATENATE(AY$68,$B99,"W"))),"-")</f>
        <v>-</v>
      </c>
    </row>
    <row r="100" spans="2:51" x14ac:dyDescent="0.25">
      <c r="B100" s="120" t="s">
        <v>140</v>
      </c>
      <c r="C100" s="122" t="str">
        <f>IFERROR((COUNTIFS(Database!$F:$I,CONCATENATE($B100,C$68,"W"))+COUNTIFS(Database!$F:$I,CONCATENATE(C$68,$B100,"W")))/(COUNTIFS(Database!$F:$I,CONCATENATE($B100,C$68,"L"))+COUNTIFS(Database!$F:$I,CONCATENATE(C$68,$B100,"L"))+COUNTIFS(Database!$F:$I,CONCATENATE($B100,C$68,"W"))+COUNTIFS(Database!$F:$I,CONCATENATE(C$68,$B100,"W"))),"-")</f>
        <v>-</v>
      </c>
      <c r="D100" s="122" t="str">
        <f>IFERROR((COUNTIFS(Database!$F:$I,CONCATENATE($B100,D$68,"W"))+COUNTIFS(Database!$F:$I,CONCATENATE(D$68,$B100,"W")))/(COUNTIFS(Database!$F:$I,CONCATENATE($B100,D$68,"L"))+COUNTIFS(Database!$F:$I,CONCATENATE(D$68,$B100,"L"))+COUNTIFS(Database!$F:$I,CONCATENATE($B100,D$68,"W"))+COUNTIFS(Database!$F:$I,CONCATENATE(D$68,$B100,"W"))),"-")</f>
        <v>-</v>
      </c>
      <c r="E100" s="122" t="str">
        <f>IFERROR((COUNTIFS(Database!$F:$I,CONCATENATE($B100,E$68,"W"))+COUNTIFS(Database!$F:$I,CONCATENATE(E$68,$B100,"W")))/(COUNTIFS(Database!$F:$I,CONCATENATE($B100,E$68,"L"))+COUNTIFS(Database!$F:$I,CONCATENATE(E$68,$B100,"L"))+COUNTIFS(Database!$F:$I,CONCATENATE($B100,E$68,"W"))+COUNTIFS(Database!$F:$I,CONCATENATE(E$68,$B100,"W"))),"-")</f>
        <v>-</v>
      </c>
      <c r="F100" s="122" t="str">
        <f>IFERROR((COUNTIFS(Database!$F:$I,CONCATENATE($B100,F$68,"W"))+COUNTIFS(Database!$F:$I,CONCATENATE(F$68,$B100,"W")))/(COUNTIFS(Database!$F:$I,CONCATENATE($B100,F$68,"L"))+COUNTIFS(Database!$F:$I,CONCATENATE(F$68,$B100,"L"))+COUNTIFS(Database!$F:$I,CONCATENATE($B100,F$68,"W"))+COUNTIFS(Database!$F:$I,CONCATENATE(F$68,$B100,"W"))),"-")</f>
        <v>-</v>
      </c>
      <c r="G100" s="122" t="str">
        <f>IFERROR((COUNTIFS(Database!$F:$I,CONCATENATE($B100,G$68,"W"))+COUNTIFS(Database!$F:$I,CONCATENATE(G$68,$B100,"W")))/(COUNTIFS(Database!$F:$I,CONCATENATE($B100,G$68,"L"))+COUNTIFS(Database!$F:$I,CONCATENATE(G$68,$B100,"L"))+COUNTIFS(Database!$F:$I,CONCATENATE($B100,G$68,"W"))+COUNTIFS(Database!$F:$I,CONCATENATE(G$68,$B100,"W"))),"-")</f>
        <v>-</v>
      </c>
      <c r="H100" s="122" t="str">
        <f>IFERROR((COUNTIFS(Database!$F:$I,CONCATENATE($B100,H$68,"W"))+COUNTIFS(Database!$F:$I,CONCATENATE(H$68,$B100,"W")))/(COUNTIFS(Database!$F:$I,CONCATENATE($B100,H$68,"L"))+COUNTIFS(Database!$F:$I,CONCATENATE(H$68,$B100,"L"))+COUNTIFS(Database!$F:$I,CONCATENATE($B100,H$68,"W"))+COUNTIFS(Database!$F:$I,CONCATENATE(H$68,$B100,"W"))),"-")</f>
        <v>-</v>
      </c>
      <c r="I100" s="122" t="str">
        <f>IFERROR((COUNTIFS(Database!$F:$I,CONCATENATE($B100,I$68,"W"))+COUNTIFS(Database!$F:$I,CONCATENATE(I$68,$B100,"W")))/(COUNTIFS(Database!$F:$I,CONCATENATE($B100,I$68,"L"))+COUNTIFS(Database!$F:$I,CONCATENATE(I$68,$B100,"L"))+COUNTIFS(Database!$F:$I,CONCATENATE($B100,I$68,"W"))+COUNTIFS(Database!$F:$I,CONCATENATE(I$68,$B100,"W"))),"-")</f>
        <v>-</v>
      </c>
      <c r="J100" s="122" t="str">
        <f>IFERROR((COUNTIFS(Database!$F:$I,CONCATENATE($B100,J$68,"W"))+COUNTIFS(Database!$F:$I,CONCATENATE(J$68,$B100,"W")))/(COUNTIFS(Database!$F:$I,CONCATENATE($B100,J$68,"L"))+COUNTIFS(Database!$F:$I,CONCATENATE(J$68,$B100,"L"))+COUNTIFS(Database!$F:$I,CONCATENATE($B100,J$68,"W"))+COUNTIFS(Database!$F:$I,CONCATENATE(J$68,$B100,"W"))),"-")</f>
        <v>-</v>
      </c>
      <c r="K100" s="122" t="str">
        <f>IFERROR((COUNTIFS(Database!$F:$I,CONCATENATE($B100,K$68,"W"))+COUNTIFS(Database!$F:$I,CONCATENATE(K$68,$B100,"W")))/(COUNTIFS(Database!$F:$I,CONCATENATE($B100,K$68,"L"))+COUNTIFS(Database!$F:$I,CONCATENATE(K$68,$B100,"L"))+COUNTIFS(Database!$F:$I,CONCATENATE($B100,K$68,"W"))+COUNTIFS(Database!$F:$I,CONCATENATE(K$68,$B100,"W"))),"-")</f>
        <v>-</v>
      </c>
      <c r="L100" s="122" t="str">
        <f>IFERROR((COUNTIFS(Database!$F:$I,CONCATENATE($B100,L$68,"W"))+COUNTIFS(Database!$F:$I,CONCATENATE(L$68,$B100,"W")))/(COUNTIFS(Database!$F:$I,CONCATENATE($B100,L$68,"L"))+COUNTIFS(Database!$F:$I,CONCATENATE(L$68,$B100,"L"))+COUNTIFS(Database!$F:$I,CONCATENATE($B100,L$68,"W"))+COUNTIFS(Database!$F:$I,CONCATENATE(L$68,$B100,"W"))),"-")</f>
        <v>-</v>
      </c>
      <c r="M100" s="122" t="str">
        <f>IFERROR((COUNTIFS(Database!$F:$I,CONCATENATE($B100,M$68,"W"))+COUNTIFS(Database!$F:$I,CONCATENATE(M$68,$B100,"W")))/(COUNTIFS(Database!$F:$I,CONCATENATE($B100,M$68,"L"))+COUNTIFS(Database!$F:$I,CONCATENATE(M$68,$B100,"L"))+COUNTIFS(Database!$F:$I,CONCATENATE($B100,M$68,"W"))+COUNTIFS(Database!$F:$I,CONCATENATE(M$68,$B100,"W"))),"-")</f>
        <v>-</v>
      </c>
      <c r="N100" s="122" t="str">
        <f>IFERROR((COUNTIFS(Database!$F:$I,CONCATENATE($B100,N$68,"W"))+COUNTIFS(Database!$F:$I,CONCATENATE(N$68,$B100,"W")))/(COUNTIFS(Database!$F:$I,CONCATENATE($B100,N$68,"L"))+COUNTIFS(Database!$F:$I,CONCATENATE(N$68,$B100,"L"))+COUNTIFS(Database!$F:$I,CONCATENATE($B100,N$68,"W"))+COUNTIFS(Database!$F:$I,CONCATENATE(N$68,$B100,"W"))),"-")</f>
        <v>-</v>
      </c>
      <c r="O100" s="122" t="str">
        <f>IFERROR((COUNTIFS(Database!$F:$I,CONCATENATE($B100,O$68,"W"))+COUNTIFS(Database!$F:$I,CONCATENATE(O$68,$B100,"W")))/(COUNTIFS(Database!$F:$I,CONCATENATE($B100,O$68,"L"))+COUNTIFS(Database!$F:$I,CONCATENATE(O$68,$B100,"L"))+COUNTIFS(Database!$F:$I,CONCATENATE($B100,O$68,"W"))+COUNTIFS(Database!$F:$I,CONCATENATE(O$68,$B100,"W"))),"-")</f>
        <v>-</v>
      </c>
      <c r="P100" s="122" t="str">
        <f>IFERROR((COUNTIFS(Database!$F:$I,CONCATENATE($B100,P$68,"W"))+COUNTIFS(Database!$F:$I,CONCATENATE(P$68,$B100,"W")))/(COUNTIFS(Database!$F:$I,CONCATENATE($B100,P$68,"L"))+COUNTIFS(Database!$F:$I,CONCATENATE(P$68,$B100,"L"))+COUNTIFS(Database!$F:$I,CONCATENATE($B100,P$68,"W"))+COUNTIFS(Database!$F:$I,CONCATENATE(P$68,$B100,"W"))),"-")</f>
        <v>-</v>
      </c>
      <c r="Q100" s="122" t="str">
        <f>IFERROR((COUNTIFS(Database!$F:$I,CONCATENATE($B100,Q$68,"W"))+COUNTIFS(Database!$F:$I,CONCATENATE(Q$68,$B100,"W")))/(COUNTIFS(Database!$F:$I,CONCATENATE($B100,Q$68,"L"))+COUNTIFS(Database!$F:$I,CONCATENATE(Q$68,$B100,"L"))+COUNTIFS(Database!$F:$I,CONCATENATE($B100,Q$68,"W"))+COUNTIFS(Database!$F:$I,CONCATENATE(Q$68,$B100,"W"))),"-")</f>
        <v>-</v>
      </c>
      <c r="R100" s="122" t="str">
        <f>IFERROR((COUNTIFS(Database!$F:$I,CONCATENATE($B100,R$68,"W"))+COUNTIFS(Database!$F:$I,CONCATENATE(R$68,$B100,"W")))/(COUNTIFS(Database!$F:$I,CONCATENATE($B100,R$68,"L"))+COUNTIFS(Database!$F:$I,CONCATENATE(R$68,$B100,"L"))+COUNTIFS(Database!$F:$I,CONCATENATE($B100,R$68,"W"))+COUNTIFS(Database!$F:$I,CONCATENATE(R$68,$B100,"W"))),"-")</f>
        <v>-</v>
      </c>
      <c r="S100" s="122" t="str">
        <f>IFERROR((COUNTIFS(Database!$F:$I,CONCATENATE($B100,S$68,"W"))+COUNTIFS(Database!$F:$I,CONCATENATE(S$68,$B100,"W")))/(COUNTIFS(Database!$F:$I,CONCATENATE($B100,S$68,"L"))+COUNTIFS(Database!$F:$I,CONCATENATE(S$68,$B100,"L"))+COUNTIFS(Database!$F:$I,CONCATENATE($B100,S$68,"W"))+COUNTIFS(Database!$F:$I,CONCATENATE(S$68,$B100,"W"))),"-")</f>
        <v>-</v>
      </c>
      <c r="T100" s="122" t="str">
        <f>IFERROR((COUNTIFS(Database!$F:$I,CONCATENATE($B100,T$68,"W"))+COUNTIFS(Database!$F:$I,CONCATENATE(T$68,$B100,"W")))/(COUNTIFS(Database!$F:$I,CONCATENATE($B100,T$68,"L"))+COUNTIFS(Database!$F:$I,CONCATENATE(T$68,$B100,"L"))+COUNTIFS(Database!$F:$I,CONCATENATE($B100,T$68,"W"))+COUNTIFS(Database!$F:$I,CONCATENATE(T$68,$B100,"W"))),"-")</f>
        <v>-</v>
      </c>
      <c r="U100" s="122" t="str">
        <f>IFERROR((COUNTIFS(Database!$F:$I,CONCATENATE($B100,U$68,"W"))+COUNTIFS(Database!$F:$I,CONCATENATE(U$68,$B100,"W")))/(COUNTIFS(Database!$F:$I,CONCATENATE($B100,U$68,"L"))+COUNTIFS(Database!$F:$I,CONCATENATE(U$68,$B100,"L"))+COUNTIFS(Database!$F:$I,CONCATENATE($B100,U$68,"W"))+COUNTIFS(Database!$F:$I,CONCATENATE(U$68,$B100,"W"))),"-")</f>
        <v>-</v>
      </c>
      <c r="V100" s="122" t="str">
        <f>IFERROR((COUNTIFS(Database!$F:$I,CONCATENATE($B100,V$68,"W"))+COUNTIFS(Database!$F:$I,CONCATENATE(V$68,$B100,"W")))/(COUNTIFS(Database!$F:$I,CONCATENATE($B100,V$68,"L"))+COUNTIFS(Database!$F:$I,CONCATENATE(V$68,$B100,"L"))+COUNTIFS(Database!$F:$I,CONCATENATE($B100,V$68,"W"))+COUNTIFS(Database!$F:$I,CONCATENATE(V$68,$B100,"W"))),"-")</f>
        <v>-</v>
      </c>
      <c r="W100" s="122" t="str">
        <f>IFERROR((COUNTIFS(Database!$F:$I,CONCATENATE($B100,W$68,"W"))+COUNTIFS(Database!$F:$I,CONCATENATE(W$68,$B100,"W")))/(COUNTIFS(Database!$F:$I,CONCATENATE($B100,W$68,"L"))+COUNTIFS(Database!$F:$I,CONCATENATE(W$68,$B100,"L"))+COUNTIFS(Database!$F:$I,CONCATENATE($B100,W$68,"W"))+COUNTIFS(Database!$F:$I,CONCATENATE(W$68,$B100,"W"))),"-")</f>
        <v>-</v>
      </c>
      <c r="X100" s="122" t="str">
        <f>IFERROR((COUNTIFS(Database!$F:$I,CONCATENATE($B100,X$68,"W"))+COUNTIFS(Database!$F:$I,CONCATENATE(X$68,$B100,"W")))/(COUNTIFS(Database!$F:$I,CONCATENATE($B100,X$68,"L"))+COUNTIFS(Database!$F:$I,CONCATENATE(X$68,$B100,"L"))+COUNTIFS(Database!$F:$I,CONCATENATE($B100,X$68,"W"))+COUNTIFS(Database!$F:$I,CONCATENATE(X$68,$B100,"W"))),"-")</f>
        <v>-</v>
      </c>
      <c r="Y100" s="122" t="str">
        <f>IFERROR((COUNTIFS(Database!$F:$I,CONCATENATE($B100,Y$68,"W"))+COUNTIFS(Database!$F:$I,CONCATENATE(Y$68,$B100,"W")))/(COUNTIFS(Database!$F:$I,CONCATENATE($B100,Y$68,"L"))+COUNTIFS(Database!$F:$I,CONCATENATE(Y$68,$B100,"L"))+COUNTIFS(Database!$F:$I,CONCATENATE($B100,Y$68,"W"))+COUNTIFS(Database!$F:$I,CONCATENATE(Y$68,$B100,"W"))),"-")</f>
        <v>-</v>
      </c>
      <c r="Z100" s="122" t="str">
        <f>IFERROR((COUNTIFS(Database!$F:$I,CONCATENATE($B100,Z$68,"W"))+COUNTIFS(Database!$F:$I,CONCATENATE(Z$68,$B100,"W")))/(COUNTIFS(Database!$F:$I,CONCATENATE($B100,Z$68,"L"))+COUNTIFS(Database!$F:$I,CONCATENATE(Z$68,$B100,"L"))+COUNTIFS(Database!$F:$I,CONCATENATE($B100,Z$68,"W"))+COUNTIFS(Database!$F:$I,CONCATENATE(Z$68,$B100,"W"))),"-")</f>
        <v>-</v>
      </c>
      <c r="AA100" s="122" t="str">
        <f>IFERROR((COUNTIFS(Database!$F:$I,CONCATENATE($B100,AA$68,"W"))+COUNTIFS(Database!$F:$I,CONCATENATE(AA$68,$B100,"W")))/(COUNTIFS(Database!$F:$I,CONCATENATE($B100,AA$68,"L"))+COUNTIFS(Database!$F:$I,CONCATENATE(AA$68,$B100,"L"))+COUNTIFS(Database!$F:$I,CONCATENATE($B100,AA$68,"W"))+COUNTIFS(Database!$F:$I,CONCATENATE(AA$68,$B100,"W"))),"-")</f>
        <v>-</v>
      </c>
      <c r="AB100" s="122">
        <f>IFERROR((COUNTIFS(Database!$F:$I,CONCATENATE($B100,AB$68,"W"))+COUNTIFS(Database!$F:$I,CONCATENATE(AB$68,$B100,"W")))/(COUNTIFS(Database!$F:$I,CONCATENATE($B100,AB$68,"L"))+COUNTIFS(Database!$F:$I,CONCATENATE(AB$68,$B100,"L"))+COUNTIFS(Database!$F:$I,CONCATENATE($B100,AB$68,"W"))+COUNTIFS(Database!$F:$I,CONCATENATE(AB$68,$B100,"W"))),"-")</f>
        <v>1</v>
      </c>
      <c r="AC100" s="122">
        <f>IFERROR((COUNTIFS(Database!$F:$I,CONCATENATE($B100,AC$68,"W"))+COUNTIFS(Database!$F:$I,CONCATENATE(AC$68,$B100,"W")))/(COUNTIFS(Database!$F:$I,CONCATENATE($B100,AC$68,"L"))+COUNTIFS(Database!$F:$I,CONCATENATE(AC$68,$B100,"L"))+COUNTIFS(Database!$F:$I,CONCATENATE($B100,AC$68,"W"))+COUNTIFS(Database!$F:$I,CONCATENATE(AC$68,$B100,"W"))),"-")</f>
        <v>1</v>
      </c>
      <c r="AD100" s="122" t="str">
        <f>IFERROR((COUNTIFS(Database!$F:$I,CONCATENATE($B100,AD$68,"W"))+COUNTIFS(Database!$F:$I,CONCATENATE(AD$68,$B100,"W")))/(COUNTIFS(Database!$F:$I,CONCATENATE($B100,AD$68,"L"))+COUNTIFS(Database!$F:$I,CONCATENATE(AD$68,$B100,"L"))+COUNTIFS(Database!$F:$I,CONCATENATE($B100,AD$68,"W"))+COUNTIFS(Database!$F:$I,CONCATENATE(AD$68,$B100,"W"))),"-")</f>
        <v>-</v>
      </c>
      <c r="AE100" s="122" t="str">
        <f>IFERROR((COUNTIFS(Database!$F:$I,CONCATENATE($B100,AE$68,"W"))+COUNTIFS(Database!$F:$I,CONCATENATE(AE$68,$B100,"W")))/(COUNTIFS(Database!$F:$I,CONCATENATE($B100,AE$68,"L"))+COUNTIFS(Database!$F:$I,CONCATENATE(AE$68,$B100,"L"))+COUNTIFS(Database!$F:$I,CONCATENATE($B100,AE$68,"W"))+COUNTIFS(Database!$F:$I,CONCATENATE(AE$68,$B100,"W"))),"-")</f>
        <v>-</v>
      </c>
      <c r="AF100" s="122" t="str">
        <f>IFERROR((COUNTIFS(Database!$F:$I,CONCATENATE($B100,AF$68,"W"))+COUNTIFS(Database!$F:$I,CONCATENATE(AF$68,$B100,"W")))/(COUNTIFS(Database!$F:$I,CONCATENATE($B100,AF$68,"L"))+COUNTIFS(Database!$F:$I,CONCATENATE(AF$68,$B100,"L"))+COUNTIFS(Database!$F:$I,CONCATENATE($B100,AF$68,"W"))+COUNTIFS(Database!$F:$I,CONCATENATE(AF$68,$B100,"W"))),"-")</f>
        <v>-</v>
      </c>
      <c r="AG100" s="122">
        <f>IFERROR((COUNTIFS(Database!$F:$I,CONCATENATE($B100,AG$68,"W"))+COUNTIFS(Database!$F:$I,CONCATENATE(AG$68,$B100,"W")))/(COUNTIFS(Database!$F:$I,CONCATENATE($B100,AG$68,"L"))+COUNTIFS(Database!$F:$I,CONCATENATE(AG$68,$B100,"L"))+COUNTIFS(Database!$F:$I,CONCATENATE($B100,AG$68,"W"))+COUNTIFS(Database!$F:$I,CONCATENATE(AG$68,$B100,"W"))),"-")</f>
        <v>1</v>
      </c>
      <c r="AH100" s="122" t="str">
        <f>IFERROR((COUNTIFS(Database!$F:$I,CONCATENATE($B100,AH$68,"W"))+COUNTIFS(Database!$F:$I,CONCATENATE(AH$68,$B100,"W")))/(COUNTIFS(Database!$F:$I,CONCATENATE($B100,AH$68,"L"))+COUNTIFS(Database!$F:$I,CONCATENATE(AH$68,$B100,"L"))+COUNTIFS(Database!$F:$I,CONCATENATE($B100,AH$68,"W"))+COUNTIFS(Database!$F:$I,CONCATENATE(AH$68,$B100,"W"))),"-")</f>
        <v>-</v>
      </c>
      <c r="AI100" s="122" t="str">
        <f>IFERROR((COUNTIFS(Database!$F:$I,CONCATENATE($B100,AI$68,"W"))+COUNTIFS(Database!$F:$I,CONCATENATE(AI$68,$B100,"W")))/(COUNTIFS(Database!$F:$I,CONCATENATE($B100,AI$68,"L"))+COUNTIFS(Database!$F:$I,CONCATENATE(AI$68,$B100,"L"))+COUNTIFS(Database!$F:$I,CONCATENATE($B100,AI$68,"W"))+COUNTIFS(Database!$F:$I,CONCATENATE(AI$68,$B100,"W"))),"-")</f>
        <v>-</v>
      </c>
      <c r="AJ100" s="122" t="str">
        <f>IFERROR((COUNTIFS(Database!$F:$I,CONCATENATE($B100,AJ$68,"W"))+COUNTIFS(Database!$F:$I,CONCATENATE(AJ$68,$B100,"W")))/(COUNTIFS(Database!$F:$I,CONCATENATE($B100,AJ$68,"L"))+COUNTIFS(Database!$F:$I,CONCATENATE(AJ$68,$B100,"L"))+COUNTIFS(Database!$F:$I,CONCATENATE($B100,AJ$68,"W"))+COUNTIFS(Database!$F:$I,CONCATENATE(AJ$68,$B100,"W"))),"-")</f>
        <v>-</v>
      </c>
      <c r="AK100" s="122" t="str">
        <f>IFERROR((COUNTIFS(Database!$F:$I,CONCATENATE($B100,AK$68,"W"))+COUNTIFS(Database!$F:$I,CONCATENATE(AK$68,$B100,"W")))/(COUNTIFS(Database!$F:$I,CONCATENATE($B100,AK$68,"L"))+COUNTIFS(Database!$F:$I,CONCATENATE(AK$68,$B100,"L"))+COUNTIFS(Database!$F:$I,CONCATENATE($B100,AK$68,"W"))+COUNTIFS(Database!$F:$I,CONCATENATE(AK$68,$B100,"W"))),"-")</f>
        <v>-</v>
      </c>
      <c r="AL100" s="122" t="str">
        <f>IFERROR((COUNTIFS(Database!$F:$I,CONCATENATE($B100,AL$68,"W"))+COUNTIFS(Database!$F:$I,CONCATENATE(AL$68,$B100,"W")))/(COUNTIFS(Database!$F:$I,CONCATENATE($B100,AL$68,"L"))+COUNTIFS(Database!$F:$I,CONCATENATE(AL$68,$B100,"L"))+COUNTIFS(Database!$F:$I,CONCATENATE($B100,AL$68,"W"))+COUNTIFS(Database!$F:$I,CONCATENATE(AL$68,$B100,"W"))),"-")</f>
        <v>-</v>
      </c>
      <c r="AM100" s="122" t="str">
        <f>IFERROR((COUNTIFS(Database!$F:$I,CONCATENATE($B100,AM$68,"W"))+COUNTIFS(Database!$F:$I,CONCATENATE(AM$68,$B100,"W")))/(COUNTIFS(Database!$F:$I,CONCATENATE($B100,AM$68,"L"))+COUNTIFS(Database!$F:$I,CONCATENATE(AM$68,$B100,"L"))+COUNTIFS(Database!$F:$I,CONCATENATE($B100,AM$68,"W"))+COUNTIFS(Database!$F:$I,CONCATENATE(AM$68,$B100,"W"))),"-")</f>
        <v>-</v>
      </c>
      <c r="AN100" s="122" t="str">
        <f>IFERROR((COUNTIFS(Database!$F:$I,CONCATENATE($B100,AN$68,"W"))+COUNTIFS(Database!$F:$I,CONCATENATE(AN$68,$B100,"W")))/(COUNTIFS(Database!$F:$I,CONCATENATE($B100,AN$68,"L"))+COUNTIFS(Database!$F:$I,CONCATENATE(AN$68,$B100,"L"))+COUNTIFS(Database!$F:$I,CONCATENATE($B100,AN$68,"W"))+COUNTIFS(Database!$F:$I,CONCATENATE(AN$68,$B100,"W"))),"-")</f>
        <v>-</v>
      </c>
      <c r="AO100" s="122" t="str">
        <f>IFERROR((COUNTIFS(Database!$F:$I,CONCATENATE($B100,AO$68,"W"))+COUNTIFS(Database!$F:$I,CONCATENATE(AO$68,$B100,"W")))/(COUNTIFS(Database!$F:$I,CONCATENATE($B100,AO$68,"L"))+COUNTIFS(Database!$F:$I,CONCATENATE(AO$68,$B100,"L"))+COUNTIFS(Database!$F:$I,CONCATENATE($B100,AO$68,"W"))+COUNTIFS(Database!$F:$I,CONCATENATE(AO$68,$B100,"W"))),"-")</f>
        <v>-</v>
      </c>
      <c r="AP100" s="122" t="str">
        <f>IFERROR((COUNTIFS(Database!$F:$I,CONCATENATE($B100,AP$68,"W"))+COUNTIFS(Database!$F:$I,CONCATENATE(AP$68,$B100,"W")))/(COUNTIFS(Database!$F:$I,CONCATENATE($B100,AP$68,"L"))+COUNTIFS(Database!$F:$I,CONCATENATE(AP$68,$B100,"L"))+COUNTIFS(Database!$F:$I,CONCATENATE($B100,AP$68,"W"))+COUNTIFS(Database!$F:$I,CONCATENATE(AP$68,$B100,"W"))),"-")</f>
        <v>-</v>
      </c>
      <c r="AQ100" s="122" t="str">
        <f>IFERROR((COUNTIFS(Database!$F:$I,CONCATENATE($B100,AQ$68,"W"))+COUNTIFS(Database!$F:$I,CONCATENATE(AQ$68,$B100,"W")))/(COUNTIFS(Database!$F:$I,CONCATENATE($B100,AQ$68,"L"))+COUNTIFS(Database!$F:$I,CONCATENATE(AQ$68,$B100,"L"))+COUNTIFS(Database!$F:$I,CONCATENATE($B100,AQ$68,"W"))+COUNTIFS(Database!$F:$I,CONCATENATE(AQ$68,$B100,"W"))),"-")</f>
        <v>-</v>
      </c>
      <c r="AR100" s="122" t="str">
        <f>IFERROR((COUNTIFS(Database!$F:$I,CONCATENATE($B100,AR$68,"W"))+COUNTIFS(Database!$F:$I,CONCATENATE(AR$68,$B100,"W")))/(COUNTIFS(Database!$F:$I,CONCATENATE($B100,AR$68,"L"))+COUNTIFS(Database!$F:$I,CONCATENATE(AR$68,$B100,"L"))+COUNTIFS(Database!$F:$I,CONCATENATE($B100,AR$68,"W"))+COUNTIFS(Database!$F:$I,CONCATENATE(AR$68,$B100,"W"))),"-")</f>
        <v>-</v>
      </c>
      <c r="AS100" s="122" t="str">
        <f>IFERROR((COUNTIFS(Database!$F:$I,CONCATENATE($B100,AS$68,"W"))+COUNTIFS(Database!$F:$I,CONCATENATE(AS$68,$B100,"W")))/(COUNTIFS(Database!$F:$I,CONCATENATE($B100,AS$68,"L"))+COUNTIFS(Database!$F:$I,CONCATENATE(AS$68,$B100,"L"))+COUNTIFS(Database!$F:$I,CONCATENATE($B100,AS$68,"W"))+COUNTIFS(Database!$F:$I,CONCATENATE(AS$68,$B100,"W"))),"-")</f>
        <v>-</v>
      </c>
      <c r="AT100" s="122" t="str">
        <f>IFERROR((COUNTIFS(Database!$F:$I,CONCATENATE($B100,AT$68,"W"))+COUNTIFS(Database!$F:$I,CONCATENATE(AT$68,$B100,"W")))/(COUNTIFS(Database!$F:$I,CONCATENATE($B100,AT$68,"L"))+COUNTIFS(Database!$F:$I,CONCATENATE(AT$68,$B100,"L"))+COUNTIFS(Database!$F:$I,CONCATENATE($B100,AT$68,"W"))+COUNTIFS(Database!$F:$I,CONCATENATE(AT$68,$B100,"W"))),"-")</f>
        <v>-</v>
      </c>
      <c r="AU100" s="122" t="str">
        <f>IFERROR((COUNTIFS(Database!$F:$I,CONCATENATE($B100,AU$68,"W"))+COUNTIFS(Database!$F:$I,CONCATENATE(AU$68,$B100,"W")))/(COUNTIFS(Database!$F:$I,CONCATENATE($B100,AU$68,"L"))+COUNTIFS(Database!$F:$I,CONCATENATE(AU$68,$B100,"L"))+COUNTIFS(Database!$F:$I,CONCATENATE($B100,AU$68,"W"))+COUNTIFS(Database!$F:$I,CONCATENATE(AU$68,$B100,"W"))),"-")</f>
        <v>-</v>
      </c>
      <c r="AV100" s="122" t="str">
        <f>IFERROR((COUNTIFS(Database!$F:$I,CONCATENATE($B100,AV$68,"W"))+COUNTIFS(Database!$F:$I,CONCATENATE(AV$68,$B100,"W")))/(COUNTIFS(Database!$F:$I,CONCATENATE($B100,AV$68,"L"))+COUNTIFS(Database!$F:$I,CONCATENATE(AV$68,$B100,"L"))+COUNTIFS(Database!$F:$I,CONCATENATE($B100,AV$68,"W"))+COUNTIFS(Database!$F:$I,CONCATENATE(AV$68,$B100,"W"))),"-")</f>
        <v>-</v>
      </c>
      <c r="AW100" s="122" t="str">
        <f>IFERROR((COUNTIFS(Database!$F:$I,CONCATENATE($B100,AW$68,"W"))+COUNTIFS(Database!$F:$I,CONCATENATE(AW$68,$B100,"W")))/(COUNTIFS(Database!$F:$I,CONCATENATE($B100,AW$68,"L"))+COUNTIFS(Database!$F:$I,CONCATENATE(AW$68,$B100,"L"))+COUNTIFS(Database!$F:$I,CONCATENATE($B100,AW$68,"W"))+COUNTIFS(Database!$F:$I,CONCATENATE(AW$68,$B100,"W"))),"-")</f>
        <v>-</v>
      </c>
      <c r="AX100" s="122" t="str">
        <f>IFERROR((COUNTIFS(Database!$F:$I,CONCATENATE($B100,AX$68,"W"))+COUNTIFS(Database!$F:$I,CONCATENATE(AX$68,$B100,"W")))/(COUNTIFS(Database!$F:$I,CONCATENATE($B100,AX$68,"L"))+COUNTIFS(Database!$F:$I,CONCATENATE(AX$68,$B100,"L"))+COUNTIFS(Database!$F:$I,CONCATENATE($B100,AX$68,"W"))+COUNTIFS(Database!$F:$I,CONCATENATE(AX$68,$B100,"W"))),"-")</f>
        <v>-</v>
      </c>
      <c r="AY100" s="122" t="str">
        <f>IFERROR((COUNTIFS(Database!$F:$I,CONCATENATE($B100,AY$68,"W"))+COUNTIFS(Database!$F:$I,CONCATENATE(AY$68,$B100,"W")))/(COUNTIFS(Database!$F:$I,CONCATENATE($B100,AY$68,"L"))+COUNTIFS(Database!$F:$I,CONCATENATE(AY$68,$B100,"L"))+COUNTIFS(Database!$F:$I,CONCATENATE($B100,AY$68,"W"))+COUNTIFS(Database!$F:$I,CONCATENATE(AY$68,$B100,"W"))),"-")</f>
        <v>-</v>
      </c>
    </row>
    <row r="101" spans="2:51" x14ac:dyDescent="0.25">
      <c r="B101" s="120" t="s">
        <v>43</v>
      </c>
      <c r="C101" s="122">
        <f>IFERROR((COUNTIFS(Database!$F:$I,CONCATENATE($B101,C$68,"W"))+COUNTIFS(Database!$F:$I,CONCATENATE(C$68,$B101,"W")))/(COUNTIFS(Database!$F:$I,CONCATENATE($B101,C$68,"L"))+COUNTIFS(Database!$F:$I,CONCATENATE(C$68,$B101,"L"))+COUNTIFS(Database!$F:$I,CONCATENATE($B101,C$68,"W"))+COUNTIFS(Database!$F:$I,CONCATENATE(C$68,$B101,"W"))),"-")</f>
        <v>0</v>
      </c>
      <c r="D101" s="122">
        <f>IFERROR((COUNTIFS(Database!$F:$I,CONCATENATE($B101,D$68,"W"))+COUNTIFS(Database!$F:$I,CONCATENATE(D$68,$B101,"W")))/(COUNTIFS(Database!$F:$I,CONCATENATE($B101,D$68,"L"))+COUNTIFS(Database!$F:$I,CONCATENATE(D$68,$B101,"L"))+COUNTIFS(Database!$F:$I,CONCATENATE($B101,D$68,"W"))+COUNTIFS(Database!$F:$I,CONCATENATE(D$68,$B101,"W"))),"-")</f>
        <v>1</v>
      </c>
      <c r="E101" s="122">
        <f>IFERROR((COUNTIFS(Database!$F:$I,CONCATENATE($B101,E$68,"W"))+COUNTIFS(Database!$F:$I,CONCATENATE(E$68,$B101,"W")))/(COUNTIFS(Database!$F:$I,CONCATENATE($B101,E$68,"L"))+COUNTIFS(Database!$F:$I,CONCATENATE(E$68,$B101,"L"))+COUNTIFS(Database!$F:$I,CONCATENATE($B101,E$68,"W"))+COUNTIFS(Database!$F:$I,CONCATENATE(E$68,$B101,"W"))),"-")</f>
        <v>1</v>
      </c>
      <c r="F101" s="122" t="str">
        <f>IFERROR((COUNTIFS(Database!$F:$I,CONCATENATE($B101,F$68,"W"))+COUNTIFS(Database!$F:$I,CONCATENATE(F$68,$B101,"W")))/(COUNTIFS(Database!$F:$I,CONCATENATE($B101,F$68,"L"))+COUNTIFS(Database!$F:$I,CONCATENATE(F$68,$B101,"L"))+COUNTIFS(Database!$F:$I,CONCATENATE($B101,F$68,"W"))+COUNTIFS(Database!$F:$I,CONCATENATE(F$68,$B101,"W"))),"-")</f>
        <v>-</v>
      </c>
      <c r="G101" s="122" t="str">
        <f>IFERROR((COUNTIFS(Database!$F:$I,CONCATENATE($B101,G$68,"W"))+COUNTIFS(Database!$F:$I,CONCATENATE(G$68,$B101,"W")))/(COUNTIFS(Database!$F:$I,CONCATENATE($B101,G$68,"L"))+COUNTIFS(Database!$F:$I,CONCATENATE(G$68,$B101,"L"))+COUNTIFS(Database!$F:$I,CONCATENATE($B101,G$68,"W"))+COUNTIFS(Database!$F:$I,CONCATENATE(G$68,$B101,"W"))),"-")</f>
        <v>-</v>
      </c>
      <c r="H101" s="122" t="str">
        <f>IFERROR((COUNTIFS(Database!$F:$I,CONCATENATE($B101,H$68,"W"))+COUNTIFS(Database!$F:$I,CONCATENATE(H$68,$B101,"W")))/(COUNTIFS(Database!$F:$I,CONCATENATE($B101,H$68,"L"))+COUNTIFS(Database!$F:$I,CONCATENATE(H$68,$B101,"L"))+COUNTIFS(Database!$F:$I,CONCATENATE($B101,H$68,"W"))+COUNTIFS(Database!$F:$I,CONCATENATE(H$68,$B101,"W"))),"-")</f>
        <v>-</v>
      </c>
      <c r="I101" s="122" t="str">
        <f>IFERROR((COUNTIFS(Database!$F:$I,CONCATENATE($B101,I$68,"W"))+COUNTIFS(Database!$F:$I,CONCATENATE(I$68,$B101,"W")))/(COUNTIFS(Database!$F:$I,CONCATENATE($B101,I$68,"L"))+COUNTIFS(Database!$F:$I,CONCATENATE(I$68,$B101,"L"))+COUNTIFS(Database!$F:$I,CONCATENATE($B101,I$68,"W"))+COUNTIFS(Database!$F:$I,CONCATENATE(I$68,$B101,"W"))),"-")</f>
        <v>-</v>
      </c>
      <c r="J101" s="122" t="str">
        <f>IFERROR((COUNTIFS(Database!$F:$I,CONCATENATE($B101,J$68,"W"))+COUNTIFS(Database!$F:$I,CONCATENATE(J$68,$B101,"W")))/(COUNTIFS(Database!$F:$I,CONCATENATE($B101,J$68,"L"))+COUNTIFS(Database!$F:$I,CONCATENATE(J$68,$B101,"L"))+COUNTIFS(Database!$F:$I,CONCATENATE($B101,J$68,"W"))+COUNTIFS(Database!$F:$I,CONCATENATE(J$68,$B101,"W"))),"-")</f>
        <v>-</v>
      </c>
      <c r="K101" s="122">
        <f>IFERROR((COUNTIFS(Database!$F:$I,CONCATENATE($B101,K$68,"W"))+COUNTIFS(Database!$F:$I,CONCATENATE(K$68,$B101,"W")))/(COUNTIFS(Database!$F:$I,CONCATENATE($B101,K$68,"L"))+COUNTIFS(Database!$F:$I,CONCATENATE(K$68,$B101,"L"))+COUNTIFS(Database!$F:$I,CONCATENATE($B101,K$68,"W"))+COUNTIFS(Database!$F:$I,CONCATENATE(K$68,$B101,"W"))),"-")</f>
        <v>1</v>
      </c>
      <c r="L101" s="122" t="str">
        <f>IFERROR((COUNTIFS(Database!$F:$I,CONCATENATE($B101,L$68,"W"))+COUNTIFS(Database!$F:$I,CONCATENATE(L$68,$B101,"W")))/(COUNTIFS(Database!$F:$I,CONCATENATE($B101,L$68,"L"))+COUNTIFS(Database!$F:$I,CONCATENATE(L$68,$B101,"L"))+COUNTIFS(Database!$F:$I,CONCATENATE($B101,L$68,"W"))+COUNTIFS(Database!$F:$I,CONCATENATE(L$68,$B101,"W"))),"-")</f>
        <v>-</v>
      </c>
      <c r="M101" s="122" t="str">
        <f>IFERROR((COUNTIFS(Database!$F:$I,CONCATENATE($B101,M$68,"W"))+COUNTIFS(Database!$F:$I,CONCATENATE(M$68,$B101,"W")))/(COUNTIFS(Database!$F:$I,CONCATENATE($B101,M$68,"L"))+COUNTIFS(Database!$F:$I,CONCATENATE(M$68,$B101,"L"))+COUNTIFS(Database!$F:$I,CONCATENATE($B101,M$68,"W"))+COUNTIFS(Database!$F:$I,CONCATENATE(M$68,$B101,"W"))),"-")</f>
        <v>-</v>
      </c>
      <c r="N101" s="122" t="str">
        <f>IFERROR((COUNTIFS(Database!$F:$I,CONCATENATE($B101,N$68,"W"))+COUNTIFS(Database!$F:$I,CONCATENATE(N$68,$B101,"W")))/(COUNTIFS(Database!$F:$I,CONCATENATE($B101,N$68,"L"))+COUNTIFS(Database!$F:$I,CONCATENATE(N$68,$B101,"L"))+COUNTIFS(Database!$F:$I,CONCATENATE($B101,N$68,"W"))+COUNTIFS(Database!$F:$I,CONCATENATE(N$68,$B101,"W"))),"-")</f>
        <v>-</v>
      </c>
      <c r="O101" s="122">
        <f>IFERROR((COUNTIFS(Database!$F:$I,CONCATENATE($B101,O$68,"W"))+COUNTIFS(Database!$F:$I,CONCATENATE(O$68,$B101,"W")))/(COUNTIFS(Database!$F:$I,CONCATENATE($B101,O$68,"L"))+COUNTIFS(Database!$F:$I,CONCATENATE(O$68,$B101,"L"))+COUNTIFS(Database!$F:$I,CONCATENATE($B101,O$68,"W"))+COUNTIFS(Database!$F:$I,CONCATENATE(O$68,$B101,"W"))),"-")</f>
        <v>1</v>
      </c>
      <c r="P101" s="122" t="str">
        <f>IFERROR((COUNTIFS(Database!$F:$I,CONCATENATE($B101,P$68,"W"))+COUNTIFS(Database!$F:$I,CONCATENATE(P$68,$B101,"W")))/(COUNTIFS(Database!$F:$I,CONCATENATE($B101,P$68,"L"))+COUNTIFS(Database!$F:$I,CONCATENATE(P$68,$B101,"L"))+COUNTIFS(Database!$F:$I,CONCATENATE($B101,P$68,"W"))+COUNTIFS(Database!$F:$I,CONCATENATE(P$68,$B101,"W"))),"-")</f>
        <v>-</v>
      </c>
      <c r="Q101" s="122" t="str">
        <f>IFERROR((COUNTIFS(Database!$F:$I,CONCATENATE($B101,Q$68,"W"))+COUNTIFS(Database!$F:$I,CONCATENATE(Q$68,$B101,"W")))/(COUNTIFS(Database!$F:$I,CONCATENATE($B101,Q$68,"L"))+COUNTIFS(Database!$F:$I,CONCATENATE(Q$68,$B101,"L"))+COUNTIFS(Database!$F:$I,CONCATENATE($B101,Q$68,"W"))+COUNTIFS(Database!$F:$I,CONCATENATE(Q$68,$B101,"W"))),"-")</f>
        <v>-</v>
      </c>
      <c r="R101" s="122" t="str">
        <f>IFERROR((COUNTIFS(Database!$F:$I,CONCATENATE($B101,R$68,"W"))+COUNTIFS(Database!$F:$I,CONCATENATE(R$68,$B101,"W")))/(COUNTIFS(Database!$F:$I,CONCATENATE($B101,R$68,"L"))+COUNTIFS(Database!$F:$I,CONCATENATE(R$68,$B101,"L"))+COUNTIFS(Database!$F:$I,CONCATENATE($B101,R$68,"W"))+COUNTIFS(Database!$F:$I,CONCATENATE(R$68,$B101,"W"))),"-")</f>
        <v>-</v>
      </c>
      <c r="S101" s="122">
        <f>IFERROR((COUNTIFS(Database!$F:$I,CONCATENATE($B101,S$68,"W"))+COUNTIFS(Database!$F:$I,CONCATENATE(S$68,$B101,"W")))/(COUNTIFS(Database!$F:$I,CONCATENATE($B101,S$68,"L"))+COUNTIFS(Database!$F:$I,CONCATENATE(S$68,$B101,"L"))+COUNTIFS(Database!$F:$I,CONCATENATE($B101,S$68,"W"))+COUNTIFS(Database!$F:$I,CONCATENATE(S$68,$B101,"W"))),"-")</f>
        <v>0</v>
      </c>
      <c r="T101" s="122">
        <f>IFERROR((COUNTIFS(Database!$F:$I,CONCATENATE($B101,T$68,"W"))+COUNTIFS(Database!$F:$I,CONCATENATE(T$68,$B101,"W")))/(COUNTIFS(Database!$F:$I,CONCATENATE($B101,T$68,"L"))+COUNTIFS(Database!$F:$I,CONCATENATE(T$68,$B101,"L"))+COUNTIFS(Database!$F:$I,CONCATENATE($B101,T$68,"W"))+COUNTIFS(Database!$F:$I,CONCATENATE(T$68,$B101,"W"))),"-")</f>
        <v>1</v>
      </c>
      <c r="U101" s="122" t="str">
        <f>IFERROR((COUNTIFS(Database!$F:$I,CONCATENATE($B101,U$68,"W"))+COUNTIFS(Database!$F:$I,CONCATENATE(U$68,$B101,"W")))/(COUNTIFS(Database!$F:$I,CONCATENATE($B101,U$68,"L"))+COUNTIFS(Database!$F:$I,CONCATENATE(U$68,$B101,"L"))+COUNTIFS(Database!$F:$I,CONCATENATE($B101,U$68,"W"))+COUNTIFS(Database!$F:$I,CONCATENATE(U$68,$B101,"W"))),"-")</f>
        <v>-</v>
      </c>
      <c r="V101" s="122" t="str">
        <f>IFERROR((COUNTIFS(Database!$F:$I,CONCATENATE($B101,V$68,"W"))+COUNTIFS(Database!$F:$I,CONCATENATE(V$68,$B101,"W")))/(COUNTIFS(Database!$F:$I,CONCATENATE($B101,V$68,"L"))+COUNTIFS(Database!$F:$I,CONCATENATE(V$68,$B101,"L"))+COUNTIFS(Database!$F:$I,CONCATENATE($B101,V$68,"W"))+COUNTIFS(Database!$F:$I,CONCATENATE(V$68,$B101,"W"))),"-")</f>
        <v>-</v>
      </c>
      <c r="W101" s="122">
        <f>IFERROR((COUNTIFS(Database!$F:$I,CONCATENATE($B101,W$68,"W"))+COUNTIFS(Database!$F:$I,CONCATENATE(W$68,$B101,"W")))/(COUNTIFS(Database!$F:$I,CONCATENATE($B101,W$68,"L"))+COUNTIFS(Database!$F:$I,CONCATENATE(W$68,$B101,"L"))+COUNTIFS(Database!$F:$I,CONCATENATE($B101,W$68,"W"))+COUNTIFS(Database!$F:$I,CONCATENATE(W$68,$B101,"W"))),"-")</f>
        <v>0.5</v>
      </c>
      <c r="X101" s="122">
        <f>IFERROR((COUNTIFS(Database!$F:$I,CONCATENATE($B101,X$68,"W"))+COUNTIFS(Database!$F:$I,CONCATENATE(X$68,$B101,"W")))/(COUNTIFS(Database!$F:$I,CONCATENATE($B101,X$68,"L"))+COUNTIFS(Database!$F:$I,CONCATENATE(X$68,$B101,"L"))+COUNTIFS(Database!$F:$I,CONCATENATE($B101,X$68,"W"))+COUNTIFS(Database!$F:$I,CONCATENATE(X$68,$B101,"W"))),"-")</f>
        <v>0</v>
      </c>
      <c r="Y101" s="122" t="str">
        <f>IFERROR((COUNTIFS(Database!$F:$I,CONCATENATE($B101,Y$68,"W"))+COUNTIFS(Database!$F:$I,CONCATENATE(Y$68,$B101,"W")))/(COUNTIFS(Database!$F:$I,CONCATENATE($B101,Y$68,"L"))+COUNTIFS(Database!$F:$I,CONCATENATE(Y$68,$B101,"L"))+COUNTIFS(Database!$F:$I,CONCATENATE($B101,Y$68,"W"))+COUNTIFS(Database!$F:$I,CONCATENATE(Y$68,$B101,"W"))),"-")</f>
        <v>-</v>
      </c>
      <c r="Z101" s="122" t="str">
        <f>IFERROR((COUNTIFS(Database!$F:$I,CONCATENATE($B101,Z$68,"W"))+COUNTIFS(Database!$F:$I,CONCATENATE(Z$68,$B101,"W")))/(COUNTIFS(Database!$F:$I,CONCATENATE($B101,Z$68,"L"))+COUNTIFS(Database!$F:$I,CONCATENATE(Z$68,$B101,"L"))+COUNTIFS(Database!$F:$I,CONCATENATE($B101,Z$68,"W"))+COUNTIFS(Database!$F:$I,CONCATENATE(Z$68,$B101,"W"))),"-")</f>
        <v>-</v>
      </c>
      <c r="AA101" s="122" t="str">
        <f>IFERROR((COUNTIFS(Database!$F:$I,CONCATENATE($B101,AA$68,"W"))+COUNTIFS(Database!$F:$I,CONCATENATE(AA$68,$B101,"W")))/(COUNTIFS(Database!$F:$I,CONCATENATE($B101,AA$68,"L"))+COUNTIFS(Database!$F:$I,CONCATENATE(AA$68,$B101,"L"))+COUNTIFS(Database!$F:$I,CONCATENATE($B101,AA$68,"W"))+COUNTIFS(Database!$F:$I,CONCATENATE(AA$68,$B101,"W"))),"-")</f>
        <v>-</v>
      </c>
      <c r="AB101" s="122">
        <f>IFERROR((COUNTIFS(Database!$F:$I,CONCATENATE($B101,AB$68,"W"))+COUNTIFS(Database!$F:$I,CONCATENATE(AB$68,$B101,"W")))/(COUNTIFS(Database!$F:$I,CONCATENATE($B101,AB$68,"L"))+COUNTIFS(Database!$F:$I,CONCATENATE(AB$68,$B101,"L"))+COUNTIFS(Database!$F:$I,CONCATENATE($B101,AB$68,"W"))+COUNTIFS(Database!$F:$I,CONCATENATE(AB$68,$B101,"W"))),"-")</f>
        <v>1</v>
      </c>
      <c r="AC101" s="122">
        <f>IFERROR((COUNTIFS(Database!$F:$I,CONCATENATE($B101,AC$68,"W"))+COUNTIFS(Database!$F:$I,CONCATENATE(AC$68,$B101,"W")))/(COUNTIFS(Database!$F:$I,CONCATENATE($B101,AC$68,"L"))+COUNTIFS(Database!$F:$I,CONCATENATE(AC$68,$B101,"L"))+COUNTIFS(Database!$F:$I,CONCATENATE($B101,AC$68,"W"))+COUNTIFS(Database!$F:$I,CONCATENATE(AC$68,$B101,"W"))),"-")</f>
        <v>0.75</v>
      </c>
      <c r="AD101" s="122" t="str">
        <f>IFERROR((COUNTIFS(Database!$F:$I,CONCATENATE($B101,AD$68,"W"))+COUNTIFS(Database!$F:$I,CONCATENATE(AD$68,$B101,"W")))/(COUNTIFS(Database!$F:$I,CONCATENATE($B101,AD$68,"L"))+COUNTIFS(Database!$F:$I,CONCATENATE(AD$68,$B101,"L"))+COUNTIFS(Database!$F:$I,CONCATENATE($B101,AD$68,"W"))+COUNTIFS(Database!$F:$I,CONCATENATE(AD$68,$B101,"W"))),"-")</f>
        <v>-</v>
      </c>
      <c r="AE101" s="122" t="str">
        <f>IFERROR((COUNTIFS(Database!$F:$I,CONCATENATE($B101,AE$68,"W"))+COUNTIFS(Database!$F:$I,CONCATENATE(AE$68,$B101,"W")))/(COUNTIFS(Database!$F:$I,CONCATENATE($B101,AE$68,"L"))+COUNTIFS(Database!$F:$I,CONCATENATE(AE$68,$B101,"L"))+COUNTIFS(Database!$F:$I,CONCATENATE($B101,AE$68,"W"))+COUNTIFS(Database!$F:$I,CONCATENATE(AE$68,$B101,"W"))),"-")</f>
        <v>-</v>
      </c>
      <c r="AF101" s="122">
        <f>IFERROR((COUNTIFS(Database!$F:$I,CONCATENATE($B101,AF$68,"W"))+COUNTIFS(Database!$F:$I,CONCATENATE(AF$68,$B101,"W")))/(COUNTIFS(Database!$F:$I,CONCATENATE($B101,AF$68,"L"))+COUNTIFS(Database!$F:$I,CONCATENATE(AF$68,$B101,"L"))+COUNTIFS(Database!$F:$I,CONCATENATE($B101,AF$68,"W"))+COUNTIFS(Database!$F:$I,CONCATENATE(AF$68,$B101,"W"))),"-")</f>
        <v>0.5</v>
      </c>
      <c r="AG101" s="122" t="str">
        <f>IFERROR((COUNTIFS(Database!$F:$I,CONCATENATE($B101,AG$68,"W"))+COUNTIFS(Database!$F:$I,CONCATENATE(AG$68,$B101,"W")))/(COUNTIFS(Database!$F:$I,CONCATENATE($B101,AG$68,"L"))+COUNTIFS(Database!$F:$I,CONCATENATE(AG$68,$B101,"L"))+COUNTIFS(Database!$F:$I,CONCATENATE($B101,AG$68,"W"))+COUNTIFS(Database!$F:$I,CONCATENATE(AG$68,$B101,"W"))),"-")</f>
        <v>-</v>
      </c>
      <c r="AH101" s="122" t="str">
        <f>IFERROR((COUNTIFS(Database!$F:$I,CONCATENATE($B101,AH$68,"W"))+COUNTIFS(Database!$F:$I,CONCATENATE(AH$68,$B101,"W")))/(COUNTIFS(Database!$F:$I,CONCATENATE($B101,AH$68,"L"))+COUNTIFS(Database!$F:$I,CONCATENATE(AH$68,$B101,"L"))+COUNTIFS(Database!$F:$I,CONCATENATE($B101,AH$68,"W"))+COUNTIFS(Database!$F:$I,CONCATENATE(AH$68,$B101,"W"))),"-")</f>
        <v>-</v>
      </c>
      <c r="AI101" s="122" t="str">
        <f>IFERROR((COUNTIFS(Database!$F:$I,CONCATENATE($B101,AI$68,"W"))+COUNTIFS(Database!$F:$I,CONCATENATE(AI$68,$B101,"W")))/(COUNTIFS(Database!$F:$I,CONCATENATE($B101,AI$68,"L"))+COUNTIFS(Database!$F:$I,CONCATENATE(AI$68,$B101,"L"))+COUNTIFS(Database!$F:$I,CONCATENATE($B101,AI$68,"W"))+COUNTIFS(Database!$F:$I,CONCATENATE(AI$68,$B101,"W"))),"-")</f>
        <v>-</v>
      </c>
      <c r="AJ101" s="122" t="str">
        <f>IFERROR((COUNTIFS(Database!$F:$I,CONCATENATE($B101,AJ$68,"W"))+COUNTIFS(Database!$F:$I,CONCATENATE(AJ$68,$B101,"W")))/(COUNTIFS(Database!$F:$I,CONCATENATE($B101,AJ$68,"L"))+COUNTIFS(Database!$F:$I,CONCATENATE(AJ$68,$B101,"L"))+COUNTIFS(Database!$F:$I,CONCATENATE($B101,AJ$68,"W"))+COUNTIFS(Database!$F:$I,CONCATENATE(AJ$68,$B101,"W"))),"-")</f>
        <v>-</v>
      </c>
      <c r="AK101" s="122" t="str">
        <f>IFERROR((COUNTIFS(Database!$F:$I,CONCATENATE($B101,AK$68,"W"))+COUNTIFS(Database!$F:$I,CONCATENATE(AK$68,$B101,"W")))/(COUNTIFS(Database!$F:$I,CONCATENATE($B101,AK$68,"L"))+COUNTIFS(Database!$F:$I,CONCATENATE(AK$68,$B101,"L"))+COUNTIFS(Database!$F:$I,CONCATENATE($B101,AK$68,"W"))+COUNTIFS(Database!$F:$I,CONCATENATE(AK$68,$B101,"W"))),"-")</f>
        <v>-</v>
      </c>
      <c r="AL101" s="122" t="str">
        <f>IFERROR((COUNTIFS(Database!$F:$I,CONCATENATE($B101,AL$68,"W"))+COUNTIFS(Database!$F:$I,CONCATENATE(AL$68,$B101,"W")))/(COUNTIFS(Database!$F:$I,CONCATENATE($B101,AL$68,"L"))+COUNTIFS(Database!$F:$I,CONCATENATE(AL$68,$B101,"L"))+COUNTIFS(Database!$F:$I,CONCATENATE($B101,AL$68,"W"))+COUNTIFS(Database!$F:$I,CONCATENATE(AL$68,$B101,"W"))),"-")</f>
        <v>-</v>
      </c>
      <c r="AM101" s="122" t="str">
        <f>IFERROR((COUNTIFS(Database!$F:$I,CONCATENATE($B101,AM$68,"W"))+COUNTIFS(Database!$F:$I,CONCATENATE(AM$68,$B101,"W")))/(COUNTIFS(Database!$F:$I,CONCATENATE($B101,AM$68,"L"))+COUNTIFS(Database!$F:$I,CONCATENATE(AM$68,$B101,"L"))+COUNTIFS(Database!$F:$I,CONCATENATE($B101,AM$68,"W"))+COUNTIFS(Database!$F:$I,CONCATENATE(AM$68,$B101,"W"))),"-")</f>
        <v>-</v>
      </c>
      <c r="AN101" s="122" t="str">
        <f>IFERROR((COUNTIFS(Database!$F:$I,CONCATENATE($B101,AN$68,"W"))+COUNTIFS(Database!$F:$I,CONCATENATE(AN$68,$B101,"W")))/(COUNTIFS(Database!$F:$I,CONCATENATE($B101,AN$68,"L"))+COUNTIFS(Database!$F:$I,CONCATENATE(AN$68,$B101,"L"))+COUNTIFS(Database!$F:$I,CONCATENATE($B101,AN$68,"W"))+COUNTIFS(Database!$F:$I,CONCATENATE(AN$68,$B101,"W"))),"-")</f>
        <v>-</v>
      </c>
      <c r="AO101" s="122">
        <f>IFERROR((COUNTIFS(Database!$F:$I,CONCATENATE($B101,AO$68,"W"))+COUNTIFS(Database!$F:$I,CONCATENATE(AO$68,$B101,"W")))/(COUNTIFS(Database!$F:$I,CONCATENATE($B101,AO$68,"L"))+COUNTIFS(Database!$F:$I,CONCATENATE(AO$68,$B101,"L"))+COUNTIFS(Database!$F:$I,CONCATENATE($B101,AO$68,"W"))+COUNTIFS(Database!$F:$I,CONCATENATE(AO$68,$B101,"W"))),"-")</f>
        <v>0.75</v>
      </c>
      <c r="AP101" s="122">
        <f>IFERROR((COUNTIFS(Database!$F:$I,CONCATENATE($B101,AP$68,"W"))+COUNTIFS(Database!$F:$I,CONCATENATE(AP$68,$B101,"W")))/(COUNTIFS(Database!$F:$I,CONCATENATE($B101,AP$68,"L"))+COUNTIFS(Database!$F:$I,CONCATENATE(AP$68,$B101,"L"))+COUNTIFS(Database!$F:$I,CONCATENATE($B101,AP$68,"W"))+COUNTIFS(Database!$F:$I,CONCATENATE(AP$68,$B101,"W"))),"-")</f>
        <v>0.5</v>
      </c>
      <c r="AQ101" s="122" t="str">
        <f>IFERROR((COUNTIFS(Database!$F:$I,CONCATENATE($B101,AQ$68,"W"))+COUNTIFS(Database!$F:$I,CONCATENATE(AQ$68,$B101,"W")))/(COUNTIFS(Database!$F:$I,CONCATENATE($B101,AQ$68,"L"))+COUNTIFS(Database!$F:$I,CONCATENATE(AQ$68,$B101,"L"))+COUNTIFS(Database!$F:$I,CONCATENATE($B101,AQ$68,"W"))+COUNTIFS(Database!$F:$I,CONCATENATE(AQ$68,$B101,"W"))),"-")</f>
        <v>-</v>
      </c>
      <c r="AR101" s="122">
        <f>IFERROR((COUNTIFS(Database!$F:$I,CONCATENATE($B101,AR$68,"W"))+COUNTIFS(Database!$F:$I,CONCATENATE(AR$68,$B101,"W")))/(COUNTIFS(Database!$F:$I,CONCATENATE($B101,AR$68,"L"))+COUNTIFS(Database!$F:$I,CONCATENATE(AR$68,$B101,"L"))+COUNTIFS(Database!$F:$I,CONCATENATE($B101,AR$68,"W"))+COUNTIFS(Database!$F:$I,CONCATENATE(AR$68,$B101,"W"))),"-")</f>
        <v>0.5</v>
      </c>
      <c r="AS101" s="122" t="str">
        <f>IFERROR((COUNTIFS(Database!$F:$I,CONCATENATE($B101,AS$68,"W"))+COUNTIFS(Database!$F:$I,CONCATENATE(AS$68,$B101,"W")))/(COUNTIFS(Database!$F:$I,CONCATENATE($B101,AS$68,"L"))+COUNTIFS(Database!$F:$I,CONCATENATE(AS$68,$B101,"L"))+COUNTIFS(Database!$F:$I,CONCATENATE($B101,AS$68,"W"))+COUNTIFS(Database!$F:$I,CONCATENATE(AS$68,$B101,"W"))),"-")</f>
        <v>-</v>
      </c>
      <c r="AT101" s="122" t="str">
        <f>IFERROR((COUNTIFS(Database!$F:$I,CONCATENATE($B101,AT$68,"W"))+COUNTIFS(Database!$F:$I,CONCATENATE(AT$68,$B101,"W")))/(COUNTIFS(Database!$F:$I,CONCATENATE($B101,AT$68,"L"))+COUNTIFS(Database!$F:$I,CONCATENATE(AT$68,$B101,"L"))+COUNTIFS(Database!$F:$I,CONCATENATE($B101,AT$68,"W"))+COUNTIFS(Database!$F:$I,CONCATENATE(AT$68,$B101,"W"))),"-")</f>
        <v>-</v>
      </c>
      <c r="AU101" s="122">
        <f>IFERROR((COUNTIFS(Database!$F:$I,CONCATENATE($B101,AU$68,"W"))+COUNTIFS(Database!$F:$I,CONCATENATE(AU$68,$B101,"W")))/(COUNTIFS(Database!$F:$I,CONCATENATE($B101,AU$68,"L"))+COUNTIFS(Database!$F:$I,CONCATENATE(AU$68,$B101,"L"))+COUNTIFS(Database!$F:$I,CONCATENATE($B101,AU$68,"W"))+COUNTIFS(Database!$F:$I,CONCATENATE(AU$68,$B101,"W"))),"-")</f>
        <v>0.66666666666666663</v>
      </c>
      <c r="AV101" s="122">
        <f>IFERROR((COUNTIFS(Database!$F:$I,CONCATENATE($B101,AV$68,"W"))+COUNTIFS(Database!$F:$I,CONCATENATE(AV$68,$B101,"W")))/(COUNTIFS(Database!$F:$I,CONCATENATE($B101,AV$68,"L"))+COUNTIFS(Database!$F:$I,CONCATENATE(AV$68,$B101,"L"))+COUNTIFS(Database!$F:$I,CONCATENATE($B101,AV$68,"W"))+COUNTIFS(Database!$F:$I,CONCATENATE(AV$68,$B101,"W"))),"-")</f>
        <v>0</v>
      </c>
      <c r="AW101" s="122">
        <f>IFERROR((COUNTIFS(Database!$F:$I,CONCATENATE($B101,AW$68,"W"))+COUNTIFS(Database!$F:$I,CONCATENATE(AW$68,$B101,"W")))/(COUNTIFS(Database!$F:$I,CONCATENATE($B101,AW$68,"L"))+COUNTIFS(Database!$F:$I,CONCATENATE(AW$68,$B101,"L"))+COUNTIFS(Database!$F:$I,CONCATENATE($B101,AW$68,"W"))+COUNTIFS(Database!$F:$I,CONCATENATE(AW$68,$B101,"W"))),"-")</f>
        <v>1</v>
      </c>
      <c r="AX101" s="122">
        <f>IFERROR((COUNTIFS(Database!$F:$I,CONCATENATE($B101,AX$68,"W"))+COUNTIFS(Database!$F:$I,CONCATENATE(AX$68,$B101,"W")))/(COUNTIFS(Database!$F:$I,CONCATENATE($B101,AX$68,"L"))+COUNTIFS(Database!$F:$I,CONCATENATE(AX$68,$B101,"L"))+COUNTIFS(Database!$F:$I,CONCATENATE($B101,AX$68,"W"))+COUNTIFS(Database!$F:$I,CONCATENATE(AX$68,$B101,"W"))),"-")</f>
        <v>1</v>
      </c>
      <c r="AY101" s="122">
        <f>IFERROR((COUNTIFS(Database!$F:$I,CONCATENATE($B101,AY$68,"W"))+COUNTIFS(Database!$F:$I,CONCATENATE(AY$68,$B101,"W")))/(COUNTIFS(Database!$F:$I,CONCATENATE($B101,AY$68,"L"))+COUNTIFS(Database!$F:$I,CONCATENATE(AY$68,$B101,"L"))+COUNTIFS(Database!$F:$I,CONCATENATE($B101,AY$68,"W"))+COUNTIFS(Database!$F:$I,CONCATENATE(AY$68,$B101,"W"))),"-")</f>
        <v>0</v>
      </c>
    </row>
    <row r="102" spans="2:51" x14ac:dyDescent="0.25">
      <c r="B102" s="120" t="s">
        <v>39</v>
      </c>
      <c r="C102" s="122" t="str">
        <f>IFERROR((COUNTIFS(Database!$F:$I,CONCATENATE($B102,C$68,"W"))+COUNTIFS(Database!$F:$I,CONCATENATE(C$68,$B102,"W")))/(COUNTIFS(Database!$F:$I,CONCATENATE($B102,C$68,"L"))+COUNTIFS(Database!$F:$I,CONCATENATE(C$68,$B102,"L"))+COUNTIFS(Database!$F:$I,CONCATENATE($B102,C$68,"W"))+COUNTIFS(Database!$F:$I,CONCATENATE(C$68,$B102,"W"))),"-")</f>
        <v>-</v>
      </c>
      <c r="D102" s="122">
        <f>IFERROR((COUNTIFS(Database!$F:$I,CONCATENATE($B102,D$68,"W"))+COUNTIFS(Database!$F:$I,CONCATENATE(D$68,$B102,"W")))/(COUNTIFS(Database!$F:$I,CONCATENATE($B102,D$68,"L"))+COUNTIFS(Database!$F:$I,CONCATENATE(D$68,$B102,"L"))+COUNTIFS(Database!$F:$I,CONCATENATE($B102,D$68,"W"))+COUNTIFS(Database!$F:$I,CONCATENATE(D$68,$B102,"W"))),"-")</f>
        <v>1</v>
      </c>
      <c r="E102" s="122">
        <f>IFERROR((COUNTIFS(Database!$F:$I,CONCATENATE($B102,E$68,"W"))+COUNTIFS(Database!$F:$I,CONCATENATE(E$68,$B102,"W")))/(COUNTIFS(Database!$F:$I,CONCATENATE($B102,E$68,"L"))+COUNTIFS(Database!$F:$I,CONCATENATE(E$68,$B102,"L"))+COUNTIFS(Database!$F:$I,CONCATENATE($B102,E$68,"W"))+COUNTIFS(Database!$F:$I,CONCATENATE(E$68,$B102,"W"))),"-")</f>
        <v>0.25</v>
      </c>
      <c r="F102" s="122">
        <f>IFERROR((COUNTIFS(Database!$F:$I,CONCATENATE($B102,F$68,"W"))+COUNTIFS(Database!$F:$I,CONCATENATE(F$68,$B102,"W")))/(COUNTIFS(Database!$F:$I,CONCATENATE($B102,F$68,"L"))+COUNTIFS(Database!$F:$I,CONCATENATE(F$68,$B102,"L"))+COUNTIFS(Database!$F:$I,CONCATENATE($B102,F$68,"W"))+COUNTIFS(Database!$F:$I,CONCATENATE(F$68,$B102,"W"))),"-")</f>
        <v>0.25</v>
      </c>
      <c r="G102" s="122" t="str">
        <f>IFERROR((COUNTIFS(Database!$F:$I,CONCATENATE($B102,G$68,"W"))+COUNTIFS(Database!$F:$I,CONCATENATE(G$68,$B102,"W")))/(COUNTIFS(Database!$F:$I,CONCATENATE($B102,G$68,"L"))+COUNTIFS(Database!$F:$I,CONCATENATE(G$68,$B102,"L"))+COUNTIFS(Database!$F:$I,CONCATENATE($B102,G$68,"W"))+COUNTIFS(Database!$F:$I,CONCATENATE(G$68,$B102,"W"))),"-")</f>
        <v>-</v>
      </c>
      <c r="H102" s="122" t="str">
        <f>IFERROR((COUNTIFS(Database!$F:$I,CONCATENATE($B102,H$68,"W"))+COUNTIFS(Database!$F:$I,CONCATENATE(H$68,$B102,"W")))/(COUNTIFS(Database!$F:$I,CONCATENATE($B102,H$68,"L"))+COUNTIFS(Database!$F:$I,CONCATENATE(H$68,$B102,"L"))+COUNTIFS(Database!$F:$I,CONCATENATE($B102,H$68,"W"))+COUNTIFS(Database!$F:$I,CONCATENATE(H$68,$B102,"W"))),"-")</f>
        <v>-</v>
      </c>
      <c r="I102" s="122" t="str">
        <f>IFERROR((COUNTIFS(Database!$F:$I,CONCATENATE($B102,I$68,"W"))+COUNTIFS(Database!$F:$I,CONCATENATE(I$68,$B102,"W")))/(COUNTIFS(Database!$F:$I,CONCATENATE($B102,I$68,"L"))+COUNTIFS(Database!$F:$I,CONCATENATE(I$68,$B102,"L"))+COUNTIFS(Database!$F:$I,CONCATENATE($B102,I$68,"W"))+COUNTIFS(Database!$F:$I,CONCATENATE(I$68,$B102,"W"))),"-")</f>
        <v>-</v>
      </c>
      <c r="J102" s="122" t="str">
        <f>IFERROR((COUNTIFS(Database!$F:$I,CONCATENATE($B102,J$68,"W"))+COUNTIFS(Database!$F:$I,CONCATENATE(J$68,$B102,"W")))/(COUNTIFS(Database!$F:$I,CONCATENATE($B102,J$68,"L"))+COUNTIFS(Database!$F:$I,CONCATENATE(J$68,$B102,"L"))+COUNTIFS(Database!$F:$I,CONCATENATE($B102,J$68,"W"))+COUNTIFS(Database!$F:$I,CONCATENATE(J$68,$B102,"W"))),"-")</f>
        <v>-</v>
      </c>
      <c r="K102" s="122">
        <f>IFERROR((COUNTIFS(Database!$F:$I,CONCATENATE($B102,K$68,"W"))+COUNTIFS(Database!$F:$I,CONCATENATE(K$68,$B102,"W")))/(COUNTIFS(Database!$F:$I,CONCATENATE($B102,K$68,"L"))+COUNTIFS(Database!$F:$I,CONCATENATE(K$68,$B102,"L"))+COUNTIFS(Database!$F:$I,CONCATENATE($B102,K$68,"W"))+COUNTIFS(Database!$F:$I,CONCATENATE(K$68,$B102,"W"))),"-")</f>
        <v>0.33333333333333331</v>
      </c>
      <c r="L102" s="122">
        <f>IFERROR((COUNTIFS(Database!$F:$I,CONCATENATE($B102,L$68,"W"))+COUNTIFS(Database!$F:$I,CONCATENATE(L$68,$B102,"W")))/(COUNTIFS(Database!$F:$I,CONCATENATE($B102,L$68,"L"))+COUNTIFS(Database!$F:$I,CONCATENATE(L$68,$B102,"L"))+COUNTIFS(Database!$F:$I,CONCATENATE($B102,L$68,"W"))+COUNTIFS(Database!$F:$I,CONCATENATE(L$68,$B102,"W"))),"-")</f>
        <v>0</v>
      </c>
      <c r="M102" s="122" t="str">
        <f>IFERROR((COUNTIFS(Database!$F:$I,CONCATENATE($B102,M$68,"W"))+COUNTIFS(Database!$F:$I,CONCATENATE(M$68,$B102,"W")))/(COUNTIFS(Database!$F:$I,CONCATENATE($B102,M$68,"L"))+COUNTIFS(Database!$F:$I,CONCATENATE(M$68,$B102,"L"))+COUNTIFS(Database!$F:$I,CONCATENATE($B102,M$68,"W"))+COUNTIFS(Database!$F:$I,CONCATENATE(M$68,$B102,"W"))),"-")</f>
        <v>-</v>
      </c>
      <c r="N102" s="122" t="str">
        <f>IFERROR((COUNTIFS(Database!$F:$I,CONCATENATE($B102,N$68,"W"))+COUNTIFS(Database!$F:$I,CONCATENATE(N$68,$B102,"W")))/(COUNTIFS(Database!$F:$I,CONCATENATE($B102,N$68,"L"))+COUNTIFS(Database!$F:$I,CONCATENATE(N$68,$B102,"L"))+COUNTIFS(Database!$F:$I,CONCATENATE($B102,N$68,"W"))+COUNTIFS(Database!$F:$I,CONCATENATE(N$68,$B102,"W"))),"-")</f>
        <v>-</v>
      </c>
      <c r="O102" s="122">
        <f>IFERROR((COUNTIFS(Database!$F:$I,CONCATENATE($B102,O$68,"W"))+COUNTIFS(Database!$F:$I,CONCATENATE(O$68,$B102,"W")))/(COUNTIFS(Database!$F:$I,CONCATENATE($B102,O$68,"L"))+COUNTIFS(Database!$F:$I,CONCATENATE(O$68,$B102,"L"))+COUNTIFS(Database!$F:$I,CONCATENATE($B102,O$68,"W"))+COUNTIFS(Database!$F:$I,CONCATENATE(O$68,$B102,"W"))),"-")</f>
        <v>0</v>
      </c>
      <c r="P102" s="122" t="str">
        <f>IFERROR((COUNTIFS(Database!$F:$I,CONCATENATE($B102,P$68,"W"))+COUNTIFS(Database!$F:$I,CONCATENATE(P$68,$B102,"W")))/(COUNTIFS(Database!$F:$I,CONCATENATE($B102,P$68,"L"))+COUNTIFS(Database!$F:$I,CONCATENATE(P$68,$B102,"L"))+COUNTIFS(Database!$F:$I,CONCATENATE($B102,P$68,"W"))+COUNTIFS(Database!$F:$I,CONCATENATE(P$68,$B102,"W"))),"-")</f>
        <v>-</v>
      </c>
      <c r="Q102" s="122" t="str">
        <f>IFERROR((COUNTIFS(Database!$F:$I,CONCATENATE($B102,Q$68,"W"))+COUNTIFS(Database!$F:$I,CONCATENATE(Q$68,$B102,"W")))/(COUNTIFS(Database!$F:$I,CONCATENATE($B102,Q$68,"L"))+COUNTIFS(Database!$F:$I,CONCATENATE(Q$68,$B102,"L"))+COUNTIFS(Database!$F:$I,CONCATENATE($B102,Q$68,"W"))+COUNTIFS(Database!$F:$I,CONCATENATE(Q$68,$B102,"W"))),"-")</f>
        <v>-</v>
      </c>
      <c r="R102" s="122" t="str">
        <f>IFERROR((COUNTIFS(Database!$F:$I,CONCATENATE($B102,R$68,"W"))+COUNTIFS(Database!$F:$I,CONCATENATE(R$68,$B102,"W")))/(COUNTIFS(Database!$F:$I,CONCATENATE($B102,R$68,"L"))+COUNTIFS(Database!$F:$I,CONCATENATE(R$68,$B102,"L"))+COUNTIFS(Database!$F:$I,CONCATENATE($B102,R$68,"W"))+COUNTIFS(Database!$F:$I,CONCATENATE(R$68,$B102,"W"))),"-")</f>
        <v>-</v>
      </c>
      <c r="S102" s="122">
        <f>IFERROR((COUNTIFS(Database!$F:$I,CONCATENATE($B102,S$68,"W"))+COUNTIFS(Database!$F:$I,CONCATENATE(S$68,$B102,"W")))/(COUNTIFS(Database!$F:$I,CONCATENATE($B102,S$68,"L"))+COUNTIFS(Database!$F:$I,CONCATENATE(S$68,$B102,"L"))+COUNTIFS(Database!$F:$I,CONCATENATE($B102,S$68,"W"))+COUNTIFS(Database!$F:$I,CONCATENATE(S$68,$B102,"W"))),"-")</f>
        <v>0</v>
      </c>
      <c r="T102" s="122" t="str">
        <f>IFERROR((COUNTIFS(Database!$F:$I,CONCATENATE($B102,T$68,"W"))+COUNTIFS(Database!$F:$I,CONCATENATE(T$68,$B102,"W")))/(COUNTIFS(Database!$F:$I,CONCATENATE($B102,T$68,"L"))+COUNTIFS(Database!$F:$I,CONCATENATE(T$68,$B102,"L"))+COUNTIFS(Database!$F:$I,CONCATENATE($B102,T$68,"W"))+COUNTIFS(Database!$F:$I,CONCATENATE(T$68,$B102,"W"))),"-")</f>
        <v>-</v>
      </c>
      <c r="U102" s="122" t="str">
        <f>IFERROR((COUNTIFS(Database!$F:$I,CONCATENATE($B102,U$68,"W"))+COUNTIFS(Database!$F:$I,CONCATENATE(U$68,$B102,"W")))/(COUNTIFS(Database!$F:$I,CONCATENATE($B102,U$68,"L"))+COUNTIFS(Database!$F:$I,CONCATENATE(U$68,$B102,"L"))+COUNTIFS(Database!$F:$I,CONCATENATE($B102,U$68,"W"))+COUNTIFS(Database!$F:$I,CONCATENATE(U$68,$B102,"W"))),"-")</f>
        <v>-</v>
      </c>
      <c r="V102" s="122" t="str">
        <f>IFERROR((COUNTIFS(Database!$F:$I,CONCATENATE($B102,V$68,"W"))+COUNTIFS(Database!$F:$I,CONCATENATE(V$68,$B102,"W")))/(COUNTIFS(Database!$F:$I,CONCATENATE($B102,V$68,"L"))+COUNTIFS(Database!$F:$I,CONCATENATE(V$68,$B102,"L"))+COUNTIFS(Database!$F:$I,CONCATENATE($B102,V$68,"W"))+COUNTIFS(Database!$F:$I,CONCATENATE(V$68,$B102,"W"))),"-")</f>
        <v>-</v>
      </c>
      <c r="W102" s="122">
        <f>IFERROR((COUNTIFS(Database!$F:$I,CONCATENATE($B102,W$68,"W"))+COUNTIFS(Database!$F:$I,CONCATENATE(W$68,$B102,"W")))/(COUNTIFS(Database!$F:$I,CONCATENATE($B102,W$68,"L"))+COUNTIFS(Database!$F:$I,CONCATENATE(W$68,$B102,"L"))+COUNTIFS(Database!$F:$I,CONCATENATE($B102,W$68,"W"))+COUNTIFS(Database!$F:$I,CONCATENATE(W$68,$B102,"W"))),"-")</f>
        <v>0.25</v>
      </c>
      <c r="X102" s="122">
        <f>IFERROR((COUNTIFS(Database!$F:$I,CONCATENATE($B102,X$68,"W"))+COUNTIFS(Database!$F:$I,CONCATENATE(X$68,$B102,"W")))/(COUNTIFS(Database!$F:$I,CONCATENATE($B102,X$68,"L"))+COUNTIFS(Database!$F:$I,CONCATENATE(X$68,$B102,"L"))+COUNTIFS(Database!$F:$I,CONCATENATE($B102,X$68,"W"))+COUNTIFS(Database!$F:$I,CONCATENATE(X$68,$B102,"W"))),"-")</f>
        <v>1</v>
      </c>
      <c r="Y102" s="122" t="str">
        <f>IFERROR((COUNTIFS(Database!$F:$I,CONCATENATE($B102,Y$68,"W"))+COUNTIFS(Database!$F:$I,CONCATENATE(Y$68,$B102,"W")))/(COUNTIFS(Database!$F:$I,CONCATENATE($B102,Y$68,"L"))+COUNTIFS(Database!$F:$I,CONCATENATE(Y$68,$B102,"L"))+COUNTIFS(Database!$F:$I,CONCATENATE($B102,Y$68,"W"))+COUNTIFS(Database!$F:$I,CONCATENATE(Y$68,$B102,"W"))),"-")</f>
        <v>-</v>
      </c>
      <c r="Z102" s="122" t="str">
        <f>IFERROR((COUNTIFS(Database!$F:$I,CONCATENATE($B102,Z$68,"W"))+COUNTIFS(Database!$F:$I,CONCATENATE(Z$68,$B102,"W")))/(COUNTIFS(Database!$F:$I,CONCATENATE($B102,Z$68,"L"))+COUNTIFS(Database!$F:$I,CONCATENATE(Z$68,$B102,"L"))+COUNTIFS(Database!$F:$I,CONCATENATE($B102,Z$68,"W"))+COUNTIFS(Database!$F:$I,CONCATENATE(Z$68,$B102,"W"))),"-")</f>
        <v>-</v>
      </c>
      <c r="AA102" s="122">
        <f>IFERROR((COUNTIFS(Database!$F:$I,CONCATENATE($B102,AA$68,"W"))+COUNTIFS(Database!$F:$I,CONCATENATE(AA$68,$B102,"W")))/(COUNTIFS(Database!$F:$I,CONCATENATE($B102,AA$68,"L"))+COUNTIFS(Database!$F:$I,CONCATENATE(AA$68,$B102,"L"))+COUNTIFS(Database!$F:$I,CONCATENATE($B102,AA$68,"W"))+COUNTIFS(Database!$F:$I,CONCATENATE(AA$68,$B102,"W"))),"-")</f>
        <v>1</v>
      </c>
      <c r="AB102" s="122">
        <f>IFERROR((COUNTIFS(Database!$F:$I,CONCATENATE($B102,AB$68,"W"))+COUNTIFS(Database!$F:$I,CONCATENATE(AB$68,$B102,"W")))/(COUNTIFS(Database!$F:$I,CONCATENATE($B102,AB$68,"L"))+COUNTIFS(Database!$F:$I,CONCATENATE(AB$68,$B102,"L"))+COUNTIFS(Database!$F:$I,CONCATENATE($B102,AB$68,"W"))+COUNTIFS(Database!$F:$I,CONCATENATE(AB$68,$B102,"W"))),"-")</f>
        <v>0.5</v>
      </c>
      <c r="AC102" s="122">
        <f>IFERROR((COUNTIFS(Database!$F:$I,CONCATENATE($B102,AC$68,"W"))+COUNTIFS(Database!$F:$I,CONCATENATE(AC$68,$B102,"W")))/(COUNTIFS(Database!$F:$I,CONCATENATE($B102,AC$68,"L"))+COUNTIFS(Database!$F:$I,CONCATENATE(AC$68,$B102,"L"))+COUNTIFS(Database!$F:$I,CONCATENATE($B102,AC$68,"W"))+COUNTIFS(Database!$F:$I,CONCATENATE(AC$68,$B102,"W"))),"-")</f>
        <v>0.5</v>
      </c>
      <c r="AD102" s="122" t="str">
        <f>IFERROR((COUNTIFS(Database!$F:$I,CONCATENATE($B102,AD$68,"W"))+COUNTIFS(Database!$F:$I,CONCATENATE(AD$68,$B102,"W")))/(COUNTIFS(Database!$F:$I,CONCATENATE($B102,AD$68,"L"))+COUNTIFS(Database!$F:$I,CONCATENATE(AD$68,$B102,"L"))+COUNTIFS(Database!$F:$I,CONCATENATE($B102,AD$68,"W"))+COUNTIFS(Database!$F:$I,CONCATENATE(AD$68,$B102,"W"))),"-")</f>
        <v>-</v>
      </c>
      <c r="AE102" s="122" t="str">
        <f>IFERROR((COUNTIFS(Database!$F:$I,CONCATENATE($B102,AE$68,"W"))+COUNTIFS(Database!$F:$I,CONCATENATE(AE$68,$B102,"W")))/(COUNTIFS(Database!$F:$I,CONCATENATE($B102,AE$68,"L"))+COUNTIFS(Database!$F:$I,CONCATENATE(AE$68,$B102,"L"))+COUNTIFS(Database!$F:$I,CONCATENATE($B102,AE$68,"W"))+COUNTIFS(Database!$F:$I,CONCATENATE(AE$68,$B102,"W"))),"-")</f>
        <v>-</v>
      </c>
      <c r="AF102" s="122" t="str">
        <f>IFERROR((COUNTIFS(Database!$F:$I,CONCATENATE($B102,AF$68,"W"))+COUNTIFS(Database!$F:$I,CONCATENATE(AF$68,$B102,"W")))/(COUNTIFS(Database!$F:$I,CONCATENATE($B102,AF$68,"L"))+COUNTIFS(Database!$F:$I,CONCATENATE(AF$68,$B102,"L"))+COUNTIFS(Database!$F:$I,CONCATENATE($B102,AF$68,"W"))+COUNTIFS(Database!$F:$I,CONCATENATE(AF$68,$B102,"W"))),"-")</f>
        <v>-</v>
      </c>
      <c r="AG102" s="122" t="str">
        <f>IFERROR((COUNTIFS(Database!$F:$I,CONCATENATE($B102,AG$68,"W"))+COUNTIFS(Database!$F:$I,CONCATENATE(AG$68,$B102,"W")))/(COUNTIFS(Database!$F:$I,CONCATENATE($B102,AG$68,"L"))+COUNTIFS(Database!$F:$I,CONCATENATE(AG$68,$B102,"L"))+COUNTIFS(Database!$F:$I,CONCATENATE($B102,AG$68,"W"))+COUNTIFS(Database!$F:$I,CONCATENATE(AG$68,$B102,"W"))),"-")</f>
        <v>-</v>
      </c>
      <c r="AH102" s="122" t="str">
        <f>IFERROR((COUNTIFS(Database!$F:$I,CONCATENATE($B102,AH$68,"W"))+COUNTIFS(Database!$F:$I,CONCATENATE(AH$68,$B102,"W")))/(COUNTIFS(Database!$F:$I,CONCATENATE($B102,AH$68,"L"))+COUNTIFS(Database!$F:$I,CONCATENATE(AH$68,$B102,"L"))+COUNTIFS(Database!$F:$I,CONCATENATE($B102,AH$68,"W"))+COUNTIFS(Database!$F:$I,CONCATENATE(AH$68,$B102,"W"))),"-")</f>
        <v>-</v>
      </c>
      <c r="AI102" s="122" t="str">
        <f>IFERROR((COUNTIFS(Database!$F:$I,CONCATENATE($B102,AI$68,"W"))+COUNTIFS(Database!$F:$I,CONCATENATE(AI$68,$B102,"W")))/(COUNTIFS(Database!$F:$I,CONCATENATE($B102,AI$68,"L"))+COUNTIFS(Database!$F:$I,CONCATENATE(AI$68,$B102,"L"))+COUNTIFS(Database!$F:$I,CONCATENATE($B102,AI$68,"W"))+COUNTIFS(Database!$F:$I,CONCATENATE(AI$68,$B102,"W"))),"-")</f>
        <v>-</v>
      </c>
      <c r="AJ102" s="122" t="str">
        <f>IFERROR((COUNTIFS(Database!$F:$I,CONCATENATE($B102,AJ$68,"W"))+COUNTIFS(Database!$F:$I,CONCATENATE(AJ$68,$B102,"W")))/(COUNTIFS(Database!$F:$I,CONCATENATE($B102,AJ$68,"L"))+COUNTIFS(Database!$F:$I,CONCATENATE(AJ$68,$B102,"L"))+COUNTIFS(Database!$F:$I,CONCATENATE($B102,AJ$68,"W"))+COUNTIFS(Database!$F:$I,CONCATENATE(AJ$68,$B102,"W"))),"-")</f>
        <v>-</v>
      </c>
      <c r="AK102" s="122" t="str">
        <f>IFERROR((COUNTIFS(Database!$F:$I,CONCATENATE($B102,AK$68,"W"))+COUNTIFS(Database!$F:$I,CONCATENATE(AK$68,$B102,"W")))/(COUNTIFS(Database!$F:$I,CONCATENATE($B102,AK$68,"L"))+COUNTIFS(Database!$F:$I,CONCATENATE(AK$68,$B102,"L"))+COUNTIFS(Database!$F:$I,CONCATENATE($B102,AK$68,"W"))+COUNTIFS(Database!$F:$I,CONCATENATE(AK$68,$B102,"W"))),"-")</f>
        <v>-</v>
      </c>
      <c r="AL102" s="122" t="str">
        <f>IFERROR((COUNTIFS(Database!$F:$I,CONCATENATE($B102,AL$68,"W"))+COUNTIFS(Database!$F:$I,CONCATENATE(AL$68,$B102,"W")))/(COUNTIFS(Database!$F:$I,CONCATENATE($B102,AL$68,"L"))+COUNTIFS(Database!$F:$I,CONCATENATE(AL$68,$B102,"L"))+COUNTIFS(Database!$F:$I,CONCATENATE($B102,AL$68,"W"))+COUNTIFS(Database!$F:$I,CONCATENATE(AL$68,$B102,"W"))),"-")</f>
        <v>-</v>
      </c>
      <c r="AM102" s="122" t="str">
        <f>IFERROR((COUNTIFS(Database!$F:$I,CONCATENATE($B102,AM$68,"W"))+COUNTIFS(Database!$F:$I,CONCATENATE(AM$68,$B102,"W")))/(COUNTIFS(Database!$F:$I,CONCATENATE($B102,AM$68,"L"))+COUNTIFS(Database!$F:$I,CONCATENATE(AM$68,$B102,"L"))+COUNTIFS(Database!$F:$I,CONCATENATE($B102,AM$68,"W"))+COUNTIFS(Database!$F:$I,CONCATENATE(AM$68,$B102,"W"))),"-")</f>
        <v>-</v>
      </c>
      <c r="AN102" s="122" t="str">
        <f>IFERROR((COUNTIFS(Database!$F:$I,CONCATENATE($B102,AN$68,"W"))+COUNTIFS(Database!$F:$I,CONCATENATE(AN$68,$B102,"W")))/(COUNTIFS(Database!$F:$I,CONCATENATE($B102,AN$68,"L"))+COUNTIFS(Database!$F:$I,CONCATENATE(AN$68,$B102,"L"))+COUNTIFS(Database!$F:$I,CONCATENATE($B102,AN$68,"W"))+COUNTIFS(Database!$F:$I,CONCATENATE(AN$68,$B102,"W"))),"-")</f>
        <v>-</v>
      </c>
      <c r="AO102" s="122">
        <f>IFERROR((COUNTIFS(Database!$F:$I,CONCATENATE($B102,AO$68,"W"))+COUNTIFS(Database!$F:$I,CONCATENATE(AO$68,$B102,"W")))/(COUNTIFS(Database!$F:$I,CONCATENATE($B102,AO$68,"L"))+COUNTIFS(Database!$F:$I,CONCATENATE(AO$68,$B102,"L"))+COUNTIFS(Database!$F:$I,CONCATENATE($B102,AO$68,"W"))+COUNTIFS(Database!$F:$I,CONCATENATE(AO$68,$B102,"W"))),"-")</f>
        <v>1</v>
      </c>
      <c r="AP102" s="122" t="str">
        <f>IFERROR((COUNTIFS(Database!$F:$I,CONCATENATE($B102,AP$68,"W"))+COUNTIFS(Database!$F:$I,CONCATENATE(AP$68,$B102,"W")))/(COUNTIFS(Database!$F:$I,CONCATENATE($B102,AP$68,"L"))+COUNTIFS(Database!$F:$I,CONCATENATE(AP$68,$B102,"L"))+COUNTIFS(Database!$F:$I,CONCATENATE($B102,AP$68,"W"))+COUNTIFS(Database!$F:$I,CONCATENATE(AP$68,$B102,"W"))),"-")</f>
        <v>-</v>
      </c>
      <c r="AQ102" s="122" t="str">
        <f>IFERROR((COUNTIFS(Database!$F:$I,CONCATENATE($B102,AQ$68,"W"))+COUNTIFS(Database!$F:$I,CONCATENATE(AQ$68,$B102,"W")))/(COUNTIFS(Database!$F:$I,CONCATENATE($B102,AQ$68,"L"))+COUNTIFS(Database!$F:$I,CONCATENATE(AQ$68,$B102,"L"))+COUNTIFS(Database!$F:$I,CONCATENATE($B102,AQ$68,"W"))+COUNTIFS(Database!$F:$I,CONCATENATE(AQ$68,$B102,"W"))),"-")</f>
        <v>-</v>
      </c>
      <c r="AR102" s="122">
        <f>IFERROR((COUNTIFS(Database!$F:$I,CONCATENATE($B102,AR$68,"W"))+COUNTIFS(Database!$F:$I,CONCATENATE(AR$68,$B102,"W")))/(COUNTIFS(Database!$F:$I,CONCATENATE($B102,AR$68,"L"))+COUNTIFS(Database!$F:$I,CONCATENATE(AR$68,$B102,"L"))+COUNTIFS(Database!$F:$I,CONCATENATE($B102,AR$68,"W"))+COUNTIFS(Database!$F:$I,CONCATENATE(AR$68,$B102,"W"))),"-")</f>
        <v>0.5</v>
      </c>
      <c r="AS102" s="122" t="str">
        <f>IFERROR((COUNTIFS(Database!$F:$I,CONCATENATE($B102,AS$68,"W"))+COUNTIFS(Database!$F:$I,CONCATENATE(AS$68,$B102,"W")))/(COUNTIFS(Database!$F:$I,CONCATENATE($B102,AS$68,"L"))+COUNTIFS(Database!$F:$I,CONCATENATE(AS$68,$B102,"L"))+COUNTIFS(Database!$F:$I,CONCATENATE($B102,AS$68,"W"))+COUNTIFS(Database!$F:$I,CONCATENATE(AS$68,$B102,"W"))),"-")</f>
        <v>-</v>
      </c>
      <c r="AT102" s="122" t="str">
        <f>IFERROR((COUNTIFS(Database!$F:$I,CONCATENATE($B102,AT$68,"W"))+COUNTIFS(Database!$F:$I,CONCATENATE(AT$68,$B102,"W")))/(COUNTIFS(Database!$F:$I,CONCATENATE($B102,AT$68,"L"))+COUNTIFS(Database!$F:$I,CONCATENATE(AT$68,$B102,"L"))+COUNTIFS(Database!$F:$I,CONCATENATE($B102,AT$68,"W"))+COUNTIFS(Database!$F:$I,CONCATENATE(AT$68,$B102,"W"))),"-")</f>
        <v>-</v>
      </c>
      <c r="AU102" s="122">
        <f>IFERROR((COUNTIFS(Database!$F:$I,CONCATENATE($B102,AU$68,"W"))+COUNTIFS(Database!$F:$I,CONCATENATE(AU$68,$B102,"W")))/(COUNTIFS(Database!$F:$I,CONCATENATE($B102,AU$68,"L"))+COUNTIFS(Database!$F:$I,CONCATENATE(AU$68,$B102,"L"))+COUNTIFS(Database!$F:$I,CONCATENATE($B102,AU$68,"W"))+COUNTIFS(Database!$F:$I,CONCATENATE(AU$68,$B102,"W"))),"-")</f>
        <v>1</v>
      </c>
      <c r="AV102" s="122">
        <f>IFERROR((COUNTIFS(Database!$F:$I,CONCATENATE($B102,AV$68,"W"))+COUNTIFS(Database!$F:$I,CONCATENATE(AV$68,$B102,"W")))/(COUNTIFS(Database!$F:$I,CONCATENATE($B102,AV$68,"L"))+COUNTIFS(Database!$F:$I,CONCATENATE(AV$68,$B102,"L"))+COUNTIFS(Database!$F:$I,CONCATENATE($B102,AV$68,"W"))+COUNTIFS(Database!$F:$I,CONCATENATE(AV$68,$B102,"W"))),"-")</f>
        <v>0</v>
      </c>
      <c r="AW102" s="122">
        <f>IFERROR((COUNTIFS(Database!$F:$I,CONCATENATE($B102,AW$68,"W"))+COUNTIFS(Database!$F:$I,CONCATENATE(AW$68,$B102,"W")))/(COUNTIFS(Database!$F:$I,CONCATENATE($B102,AW$68,"L"))+COUNTIFS(Database!$F:$I,CONCATENATE(AW$68,$B102,"L"))+COUNTIFS(Database!$F:$I,CONCATENATE($B102,AW$68,"W"))+COUNTIFS(Database!$F:$I,CONCATENATE(AW$68,$B102,"W"))),"-")</f>
        <v>0.75</v>
      </c>
      <c r="AX102" s="122" t="str">
        <f>IFERROR((COUNTIFS(Database!$F:$I,CONCATENATE($B102,AX$68,"W"))+COUNTIFS(Database!$F:$I,CONCATENATE(AX$68,$B102,"W")))/(COUNTIFS(Database!$F:$I,CONCATENATE($B102,AX$68,"L"))+COUNTIFS(Database!$F:$I,CONCATENATE(AX$68,$B102,"L"))+COUNTIFS(Database!$F:$I,CONCATENATE($B102,AX$68,"W"))+COUNTIFS(Database!$F:$I,CONCATENATE(AX$68,$B102,"W"))),"-")</f>
        <v>-</v>
      </c>
      <c r="AY102" s="122" t="str">
        <f>IFERROR((COUNTIFS(Database!$F:$I,CONCATENATE($B102,AY$68,"W"))+COUNTIFS(Database!$F:$I,CONCATENATE(AY$68,$B102,"W")))/(COUNTIFS(Database!$F:$I,CONCATENATE($B102,AY$68,"L"))+COUNTIFS(Database!$F:$I,CONCATENATE(AY$68,$B102,"L"))+COUNTIFS(Database!$F:$I,CONCATENATE($B102,AY$68,"W"))+COUNTIFS(Database!$F:$I,CONCATENATE(AY$68,$B102,"W"))),"-")</f>
        <v>-</v>
      </c>
    </row>
    <row r="103" spans="2:51" x14ac:dyDescent="0.25">
      <c r="B103" s="120" t="s">
        <v>42</v>
      </c>
      <c r="C103" s="122">
        <f>IFERROR((COUNTIFS(Database!$F:$I,CONCATENATE($B103,C$68,"W"))+COUNTIFS(Database!$F:$I,CONCATENATE(C$68,$B103,"W")))/(COUNTIFS(Database!$F:$I,CONCATENATE($B103,C$68,"L"))+COUNTIFS(Database!$F:$I,CONCATENATE(C$68,$B103,"L"))+COUNTIFS(Database!$F:$I,CONCATENATE($B103,C$68,"W"))+COUNTIFS(Database!$F:$I,CONCATENATE(C$68,$B103,"W"))),"-")</f>
        <v>0.55555555555555558</v>
      </c>
      <c r="D103" s="122" t="str">
        <f>IFERROR((COUNTIFS(Database!$F:$I,CONCATENATE($B103,D$68,"W"))+COUNTIFS(Database!$F:$I,CONCATENATE(D$68,$B103,"W")))/(COUNTIFS(Database!$F:$I,CONCATENATE($B103,D$68,"L"))+COUNTIFS(Database!$F:$I,CONCATENATE(D$68,$B103,"L"))+COUNTIFS(Database!$F:$I,CONCATENATE($B103,D$68,"W"))+COUNTIFS(Database!$F:$I,CONCATENATE(D$68,$B103,"W"))),"-")</f>
        <v>-</v>
      </c>
      <c r="E103" s="122">
        <f>IFERROR((COUNTIFS(Database!$F:$I,CONCATENATE($B103,E$68,"W"))+COUNTIFS(Database!$F:$I,CONCATENATE(E$68,$B103,"W")))/(COUNTIFS(Database!$F:$I,CONCATENATE($B103,E$68,"L"))+COUNTIFS(Database!$F:$I,CONCATENATE(E$68,$B103,"L"))+COUNTIFS(Database!$F:$I,CONCATENATE($B103,E$68,"W"))+COUNTIFS(Database!$F:$I,CONCATENATE(E$68,$B103,"W"))),"-")</f>
        <v>0.5</v>
      </c>
      <c r="F103" s="122">
        <f>IFERROR((COUNTIFS(Database!$F:$I,CONCATENATE($B103,F$68,"W"))+COUNTIFS(Database!$F:$I,CONCATENATE(F$68,$B103,"W")))/(COUNTIFS(Database!$F:$I,CONCATENATE($B103,F$68,"L"))+COUNTIFS(Database!$F:$I,CONCATENATE(F$68,$B103,"L"))+COUNTIFS(Database!$F:$I,CONCATENATE($B103,F$68,"W"))+COUNTIFS(Database!$F:$I,CONCATENATE(F$68,$B103,"W"))),"-")</f>
        <v>0.5</v>
      </c>
      <c r="G103" s="122" t="str">
        <f>IFERROR((COUNTIFS(Database!$F:$I,CONCATENATE($B103,G$68,"W"))+COUNTIFS(Database!$F:$I,CONCATENATE(G$68,$B103,"W")))/(COUNTIFS(Database!$F:$I,CONCATENATE($B103,G$68,"L"))+COUNTIFS(Database!$F:$I,CONCATENATE(G$68,$B103,"L"))+COUNTIFS(Database!$F:$I,CONCATENATE($B103,G$68,"W"))+COUNTIFS(Database!$F:$I,CONCATENATE(G$68,$B103,"W"))),"-")</f>
        <v>-</v>
      </c>
      <c r="H103" s="122">
        <f>IFERROR((COUNTIFS(Database!$F:$I,CONCATENATE($B103,H$68,"W"))+COUNTIFS(Database!$F:$I,CONCATENATE(H$68,$B103,"W")))/(COUNTIFS(Database!$F:$I,CONCATENATE($B103,H$68,"L"))+COUNTIFS(Database!$F:$I,CONCATENATE(H$68,$B103,"L"))+COUNTIFS(Database!$F:$I,CONCATENATE($B103,H$68,"W"))+COUNTIFS(Database!$F:$I,CONCATENATE(H$68,$B103,"W"))),"-")</f>
        <v>1</v>
      </c>
      <c r="I103" s="122">
        <f>IFERROR((COUNTIFS(Database!$F:$I,CONCATENATE($B103,I$68,"W"))+COUNTIFS(Database!$F:$I,CONCATENATE(I$68,$B103,"W")))/(COUNTIFS(Database!$F:$I,CONCATENATE($B103,I$68,"L"))+COUNTIFS(Database!$F:$I,CONCATENATE(I$68,$B103,"L"))+COUNTIFS(Database!$F:$I,CONCATENATE($B103,I$68,"W"))+COUNTIFS(Database!$F:$I,CONCATENATE(I$68,$B103,"W"))),"-")</f>
        <v>0.66666666666666663</v>
      </c>
      <c r="J103" s="122">
        <f>IFERROR((COUNTIFS(Database!$F:$I,CONCATENATE($B103,J$68,"W"))+COUNTIFS(Database!$F:$I,CONCATENATE(J$68,$B103,"W")))/(COUNTIFS(Database!$F:$I,CONCATENATE($B103,J$68,"L"))+COUNTIFS(Database!$F:$I,CONCATENATE(J$68,$B103,"L"))+COUNTIFS(Database!$F:$I,CONCATENATE($B103,J$68,"W"))+COUNTIFS(Database!$F:$I,CONCATENATE(J$68,$B103,"W"))),"-")</f>
        <v>0.625</v>
      </c>
      <c r="K103" s="122">
        <f>IFERROR((COUNTIFS(Database!$F:$I,CONCATENATE($B103,K$68,"W"))+COUNTIFS(Database!$F:$I,CONCATENATE(K$68,$B103,"W")))/(COUNTIFS(Database!$F:$I,CONCATENATE($B103,K$68,"L"))+COUNTIFS(Database!$F:$I,CONCATENATE(K$68,$B103,"L"))+COUNTIFS(Database!$F:$I,CONCATENATE($B103,K$68,"W"))+COUNTIFS(Database!$F:$I,CONCATENATE(K$68,$B103,"W"))),"-")</f>
        <v>0.8</v>
      </c>
      <c r="L103" s="122">
        <f>IFERROR((COUNTIFS(Database!$F:$I,CONCATENATE($B103,L$68,"W"))+COUNTIFS(Database!$F:$I,CONCATENATE(L$68,$B103,"W")))/(COUNTIFS(Database!$F:$I,CONCATENATE($B103,L$68,"L"))+COUNTIFS(Database!$F:$I,CONCATENATE(L$68,$B103,"L"))+COUNTIFS(Database!$F:$I,CONCATENATE($B103,L$68,"W"))+COUNTIFS(Database!$F:$I,CONCATENATE(L$68,$B103,"W"))),"-")</f>
        <v>1</v>
      </c>
      <c r="M103" s="122">
        <f>IFERROR((COUNTIFS(Database!$F:$I,CONCATENATE($B103,M$68,"W"))+COUNTIFS(Database!$F:$I,CONCATENATE(M$68,$B103,"W")))/(COUNTIFS(Database!$F:$I,CONCATENATE($B103,M$68,"L"))+COUNTIFS(Database!$F:$I,CONCATENATE(M$68,$B103,"L"))+COUNTIFS(Database!$F:$I,CONCATENATE($B103,M$68,"W"))+COUNTIFS(Database!$F:$I,CONCATENATE(M$68,$B103,"W"))),"-")</f>
        <v>1</v>
      </c>
      <c r="N103" s="122">
        <f>IFERROR((COUNTIFS(Database!$F:$I,CONCATENATE($B103,N$68,"W"))+COUNTIFS(Database!$F:$I,CONCATENATE(N$68,$B103,"W")))/(COUNTIFS(Database!$F:$I,CONCATENATE($B103,N$68,"L"))+COUNTIFS(Database!$F:$I,CONCATENATE(N$68,$B103,"L"))+COUNTIFS(Database!$F:$I,CONCATENATE($B103,N$68,"W"))+COUNTIFS(Database!$F:$I,CONCATENATE(N$68,$B103,"W"))),"-")</f>
        <v>1</v>
      </c>
      <c r="O103" s="122">
        <f>IFERROR((COUNTIFS(Database!$F:$I,CONCATENATE($B103,O$68,"W"))+COUNTIFS(Database!$F:$I,CONCATENATE(O$68,$B103,"W")))/(COUNTIFS(Database!$F:$I,CONCATENATE($B103,O$68,"L"))+COUNTIFS(Database!$F:$I,CONCATENATE(O$68,$B103,"L"))+COUNTIFS(Database!$F:$I,CONCATENATE($B103,O$68,"W"))+COUNTIFS(Database!$F:$I,CONCATENATE(O$68,$B103,"W"))),"-")</f>
        <v>0.75</v>
      </c>
      <c r="P103" s="122" t="str">
        <f>IFERROR((COUNTIFS(Database!$F:$I,CONCATENATE($B103,P$68,"W"))+COUNTIFS(Database!$F:$I,CONCATENATE(P$68,$B103,"W")))/(COUNTIFS(Database!$F:$I,CONCATENATE($B103,P$68,"L"))+COUNTIFS(Database!$F:$I,CONCATENATE(P$68,$B103,"L"))+COUNTIFS(Database!$F:$I,CONCATENATE($B103,P$68,"W"))+COUNTIFS(Database!$F:$I,CONCATENATE(P$68,$B103,"W"))),"-")</f>
        <v>-</v>
      </c>
      <c r="Q103" s="122" t="str">
        <f>IFERROR((COUNTIFS(Database!$F:$I,CONCATENATE($B103,Q$68,"W"))+COUNTIFS(Database!$F:$I,CONCATENATE(Q$68,$B103,"W")))/(COUNTIFS(Database!$F:$I,CONCATENATE($B103,Q$68,"L"))+COUNTIFS(Database!$F:$I,CONCATENATE(Q$68,$B103,"L"))+COUNTIFS(Database!$F:$I,CONCATENATE($B103,Q$68,"W"))+COUNTIFS(Database!$F:$I,CONCATENATE(Q$68,$B103,"W"))),"-")</f>
        <v>-</v>
      </c>
      <c r="R103" s="122">
        <f>IFERROR((COUNTIFS(Database!$F:$I,CONCATENATE($B103,R$68,"W"))+COUNTIFS(Database!$F:$I,CONCATENATE(R$68,$B103,"W")))/(COUNTIFS(Database!$F:$I,CONCATENATE($B103,R$68,"L"))+COUNTIFS(Database!$F:$I,CONCATENATE(R$68,$B103,"L"))+COUNTIFS(Database!$F:$I,CONCATENATE($B103,R$68,"W"))+COUNTIFS(Database!$F:$I,CONCATENATE(R$68,$B103,"W"))),"-")</f>
        <v>0</v>
      </c>
      <c r="S103" s="122">
        <f>IFERROR((COUNTIFS(Database!$F:$I,CONCATENATE($B103,S$68,"W"))+COUNTIFS(Database!$F:$I,CONCATENATE(S$68,$B103,"W")))/(COUNTIFS(Database!$F:$I,CONCATENATE($B103,S$68,"L"))+COUNTIFS(Database!$F:$I,CONCATENATE(S$68,$B103,"L"))+COUNTIFS(Database!$F:$I,CONCATENATE($B103,S$68,"W"))+COUNTIFS(Database!$F:$I,CONCATENATE(S$68,$B103,"W"))),"-")</f>
        <v>0.33333333333333331</v>
      </c>
      <c r="T103" s="122">
        <f>IFERROR((COUNTIFS(Database!$F:$I,CONCATENATE($B103,T$68,"W"))+COUNTIFS(Database!$F:$I,CONCATENATE(T$68,$B103,"W")))/(COUNTIFS(Database!$F:$I,CONCATENATE($B103,T$68,"L"))+COUNTIFS(Database!$F:$I,CONCATENATE(T$68,$B103,"L"))+COUNTIFS(Database!$F:$I,CONCATENATE($B103,T$68,"W"))+COUNTIFS(Database!$F:$I,CONCATENATE(T$68,$B103,"W"))),"-")</f>
        <v>1</v>
      </c>
      <c r="U103" s="122">
        <f>IFERROR((COUNTIFS(Database!$F:$I,CONCATENATE($B103,U$68,"W"))+COUNTIFS(Database!$F:$I,CONCATENATE(U$68,$B103,"W")))/(COUNTIFS(Database!$F:$I,CONCATENATE($B103,U$68,"L"))+COUNTIFS(Database!$F:$I,CONCATENATE(U$68,$B103,"L"))+COUNTIFS(Database!$F:$I,CONCATENATE($B103,U$68,"W"))+COUNTIFS(Database!$F:$I,CONCATENATE(U$68,$B103,"W"))),"-")</f>
        <v>0</v>
      </c>
      <c r="V103" s="122">
        <f>IFERROR((COUNTIFS(Database!$F:$I,CONCATENATE($B103,V$68,"W"))+COUNTIFS(Database!$F:$I,CONCATENATE(V$68,$B103,"W")))/(COUNTIFS(Database!$F:$I,CONCATENATE($B103,V$68,"L"))+COUNTIFS(Database!$F:$I,CONCATENATE(V$68,$B103,"L"))+COUNTIFS(Database!$F:$I,CONCATENATE($B103,V$68,"W"))+COUNTIFS(Database!$F:$I,CONCATENATE(V$68,$B103,"W"))),"-")</f>
        <v>0.5</v>
      </c>
      <c r="W103" s="122">
        <f>IFERROR((COUNTIFS(Database!$F:$I,CONCATENATE($B103,W$68,"W"))+COUNTIFS(Database!$F:$I,CONCATENATE(W$68,$B103,"W")))/(COUNTIFS(Database!$F:$I,CONCATENATE($B103,W$68,"L"))+COUNTIFS(Database!$F:$I,CONCATENATE(W$68,$B103,"L"))+COUNTIFS(Database!$F:$I,CONCATENATE($B103,W$68,"W"))+COUNTIFS(Database!$F:$I,CONCATENATE(W$68,$B103,"W"))),"-")</f>
        <v>0.42857142857142855</v>
      </c>
      <c r="X103" s="122">
        <f>IFERROR((COUNTIFS(Database!$F:$I,CONCATENATE($B103,X$68,"W"))+COUNTIFS(Database!$F:$I,CONCATENATE(X$68,$B103,"W")))/(COUNTIFS(Database!$F:$I,CONCATENATE($B103,X$68,"L"))+COUNTIFS(Database!$F:$I,CONCATENATE(X$68,$B103,"L"))+COUNTIFS(Database!$F:$I,CONCATENATE($B103,X$68,"W"))+COUNTIFS(Database!$F:$I,CONCATENATE(X$68,$B103,"W"))),"-")</f>
        <v>0</v>
      </c>
      <c r="Y103" s="122">
        <f>IFERROR((COUNTIFS(Database!$F:$I,CONCATENATE($B103,Y$68,"W"))+COUNTIFS(Database!$F:$I,CONCATENATE(Y$68,$B103,"W")))/(COUNTIFS(Database!$F:$I,CONCATENATE($B103,Y$68,"L"))+COUNTIFS(Database!$F:$I,CONCATENATE(Y$68,$B103,"L"))+COUNTIFS(Database!$F:$I,CONCATENATE($B103,Y$68,"W"))+COUNTIFS(Database!$F:$I,CONCATENATE(Y$68,$B103,"W"))),"-")</f>
        <v>0.5</v>
      </c>
      <c r="Z103" s="122" t="str">
        <f>IFERROR((COUNTIFS(Database!$F:$I,CONCATENATE($B103,Z$68,"W"))+COUNTIFS(Database!$F:$I,CONCATENATE(Z$68,$B103,"W")))/(COUNTIFS(Database!$F:$I,CONCATENATE($B103,Z$68,"L"))+COUNTIFS(Database!$F:$I,CONCATENATE(Z$68,$B103,"L"))+COUNTIFS(Database!$F:$I,CONCATENATE($B103,Z$68,"W"))+COUNTIFS(Database!$F:$I,CONCATENATE(Z$68,$B103,"W"))),"-")</f>
        <v>-</v>
      </c>
      <c r="AA103" s="122">
        <f>IFERROR((COUNTIFS(Database!$F:$I,CONCATENATE($B103,AA$68,"W"))+COUNTIFS(Database!$F:$I,CONCATENATE(AA$68,$B103,"W")))/(COUNTIFS(Database!$F:$I,CONCATENATE($B103,AA$68,"L"))+COUNTIFS(Database!$F:$I,CONCATENATE(AA$68,$B103,"L"))+COUNTIFS(Database!$F:$I,CONCATENATE($B103,AA$68,"W"))+COUNTIFS(Database!$F:$I,CONCATENATE(AA$68,$B103,"W"))),"-")</f>
        <v>1</v>
      </c>
      <c r="AB103" s="122">
        <f>IFERROR((COUNTIFS(Database!$F:$I,CONCATENATE($B103,AB$68,"W"))+COUNTIFS(Database!$F:$I,CONCATENATE(AB$68,$B103,"W")))/(COUNTIFS(Database!$F:$I,CONCATENATE($B103,AB$68,"L"))+COUNTIFS(Database!$F:$I,CONCATENATE(AB$68,$B103,"L"))+COUNTIFS(Database!$F:$I,CONCATENATE($B103,AB$68,"W"))+COUNTIFS(Database!$F:$I,CONCATENATE(AB$68,$B103,"W"))),"-")</f>
        <v>0.66666666666666663</v>
      </c>
      <c r="AC103" s="122">
        <f>IFERROR((COUNTIFS(Database!$F:$I,CONCATENATE($B103,AC$68,"W"))+COUNTIFS(Database!$F:$I,CONCATENATE(AC$68,$B103,"W")))/(COUNTIFS(Database!$F:$I,CONCATENATE($B103,AC$68,"L"))+COUNTIFS(Database!$F:$I,CONCATENATE(AC$68,$B103,"L"))+COUNTIFS(Database!$F:$I,CONCATENATE($B103,AC$68,"W"))+COUNTIFS(Database!$F:$I,CONCATENATE(AC$68,$B103,"W"))),"-")</f>
        <v>0.33333333333333331</v>
      </c>
      <c r="AD103" s="122">
        <f>IFERROR((COUNTIFS(Database!$F:$I,CONCATENATE($B103,AD$68,"W"))+COUNTIFS(Database!$F:$I,CONCATENATE(AD$68,$B103,"W")))/(COUNTIFS(Database!$F:$I,CONCATENATE($B103,AD$68,"L"))+COUNTIFS(Database!$F:$I,CONCATENATE(AD$68,$B103,"L"))+COUNTIFS(Database!$F:$I,CONCATENATE($B103,AD$68,"W"))+COUNTIFS(Database!$F:$I,CONCATENATE(AD$68,$B103,"W"))),"-")</f>
        <v>0.75</v>
      </c>
      <c r="AE103" s="122">
        <f>IFERROR((COUNTIFS(Database!$F:$I,CONCATENATE($B103,AE$68,"W"))+COUNTIFS(Database!$F:$I,CONCATENATE(AE$68,$B103,"W")))/(COUNTIFS(Database!$F:$I,CONCATENATE($B103,AE$68,"L"))+COUNTIFS(Database!$F:$I,CONCATENATE(AE$68,$B103,"L"))+COUNTIFS(Database!$F:$I,CONCATENATE($B103,AE$68,"W"))+COUNTIFS(Database!$F:$I,CONCATENATE(AE$68,$B103,"W"))),"-")</f>
        <v>1</v>
      </c>
      <c r="AF103" s="122">
        <f>IFERROR((COUNTIFS(Database!$F:$I,CONCATENATE($B103,AF$68,"W"))+COUNTIFS(Database!$F:$I,CONCATENATE(AF$68,$B103,"W")))/(COUNTIFS(Database!$F:$I,CONCATENATE($B103,AF$68,"L"))+COUNTIFS(Database!$F:$I,CONCATENATE(AF$68,$B103,"L"))+COUNTIFS(Database!$F:$I,CONCATENATE($B103,AF$68,"W"))+COUNTIFS(Database!$F:$I,CONCATENATE(AF$68,$B103,"W"))),"-")</f>
        <v>0</v>
      </c>
      <c r="AG103" s="122" t="str">
        <f>IFERROR((COUNTIFS(Database!$F:$I,CONCATENATE($B103,AG$68,"W"))+COUNTIFS(Database!$F:$I,CONCATENATE(AG$68,$B103,"W")))/(COUNTIFS(Database!$F:$I,CONCATENATE($B103,AG$68,"L"))+COUNTIFS(Database!$F:$I,CONCATENATE(AG$68,$B103,"L"))+COUNTIFS(Database!$F:$I,CONCATENATE($B103,AG$68,"W"))+COUNTIFS(Database!$F:$I,CONCATENATE(AG$68,$B103,"W"))),"-")</f>
        <v>-</v>
      </c>
      <c r="AH103" s="122" t="str">
        <f>IFERROR((COUNTIFS(Database!$F:$I,CONCATENATE($B103,AH$68,"W"))+COUNTIFS(Database!$F:$I,CONCATENATE(AH$68,$B103,"W")))/(COUNTIFS(Database!$F:$I,CONCATENATE($B103,AH$68,"L"))+COUNTIFS(Database!$F:$I,CONCATENATE(AH$68,$B103,"L"))+COUNTIFS(Database!$F:$I,CONCATENATE($B103,AH$68,"W"))+COUNTIFS(Database!$F:$I,CONCATENATE(AH$68,$B103,"W"))),"-")</f>
        <v>-</v>
      </c>
      <c r="AI103" s="122" t="str">
        <f>IFERROR((COUNTIFS(Database!$F:$I,CONCATENATE($B103,AI$68,"W"))+COUNTIFS(Database!$F:$I,CONCATENATE(AI$68,$B103,"W")))/(COUNTIFS(Database!$F:$I,CONCATENATE($B103,AI$68,"L"))+COUNTIFS(Database!$F:$I,CONCATENATE(AI$68,$B103,"L"))+COUNTIFS(Database!$F:$I,CONCATENATE($B103,AI$68,"W"))+COUNTIFS(Database!$F:$I,CONCATENATE(AI$68,$B103,"W"))),"-")</f>
        <v>-</v>
      </c>
      <c r="AJ103" s="122" t="str">
        <f>IFERROR((COUNTIFS(Database!$F:$I,CONCATENATE($B103,AJ$68,"W"))+COUNTIFS(Database!$F:$I,CONCATENATE(AJ$68,$B103,"W")))/(COUNTIFS(Database!$F:$I,CONCATENATE($B103,AJ$68,"L"))+COUNTIFS(Database!$F:$I,CONCATENATE(AJ$68,$B103,"L"))+COUNTIFS(Database!$F:$I,CONCATENATE($B103,AJ$68,"W"))+COUNTIFS(Database!$F:$I,CONCATENATE(AJ$68,$B103,"W"))),"-")</f>
        <v>-</v>
      </c>
      <c r="AK103" s="122" t="str">
        <f>IFERROR((COUNTIFS(Database!$F:$I,CONCATENATE($B103,AK$68,"W"))+COUNTIFS(Database!$F:$I,CONCATENATE(AK$68,$B103,"W")))/(COUNTIFS(Database!$F:$I,CONCATENATE($B103,AK$68,"L"))+COUNTIFS(Database!$F:$I,CONCATENATE(AK$68,$B103,"L"))+COUNTIFS(Database!$F:$I,CONCATENATE($B103,AK$68,"W"))+COUNTIFS(Database!$F:$I,CONCATENATE(AK$68,$B103,"W"))),"-")</f>
        <v>-</v>
      </c>
      <c r="AL103" s="122">
        <f>IFERROR((COUNTIFS(Database!$F:$I,CONCATENATE($B103,AL$68,"W"))+COUNTIFS(Database!$F:$I,CONCATENATE(AL$68,$B103,"W")))/(COUNTIFS(Database!$F:$I,CONCATENATE($B103,AL$68,"L"))+COUNTIFS(Database!$F:$I,CONCATENATE(AL$68,$B103,"L"))+COUNTIFS(Database!$F:$I,CONCATENATE($B103,AL$68,"W"))+COUNTIFS(Database!$F:$I,CONCATENATE(AL$68,$B103,"W"))),"-")</f>
        <v>0.5</v>
      </c>
      <c r="AM103" s="122" t="str">
        <f>IFERROR((COUNTIFS(Database!$F:$I,CONCATENATE($B103,AM$68,"W"))+COUNTIFS(Database!$F:$I,CONCATENATE(AM$68,$B103,"W")))/(COUNTIFS(Database!$F:$I,CONCATENATE($B103,AM$68,"L"))+COUNTIFS(Database!$F:$I,CONCATENATE(AM$68,$B103,"L"))+COUNTIFS(Database!$F:$I,CONCATENATE($B103,AM$68,"W"))+COUNTIFS(Database!$F:$I,CONCATENATE(AM$68,$B103,"W"))),"-")</f>
        <v>-</v>
      </c>
      <c r="AN103" s="122">
        <f>IFERROR((COUNTIFS(Database!$F:$I,CONCATENATE($B103,AN$68,"W"))+COUNTIFS(Database!$F:$I,CONCATENATE(AN$68,$B103,"W")))/(COUNTIFS(Database!$F:$I,CONCATENATE($B103,AN$68,"L"))+COUNTIFS(Database!$F:$I,CONCATENATE(AN$68,$B103,"L"))+COUNTIFS(Database!$F:$I,CONCATENATE($B103,AN$68,"W"))+COUNTIFS(Database!$F:$I,CONCATENATE(AN$68,$B103,"W"))),"-")</f>
        <v>0</v>
      </c>
      <c r="AO103" s="122">
        <f>IFERROR((COUNTIFS(Database!$F:$I,CONCATENATE($B103,AO$68,"W"))+COUNTIFS(Database!$F:$I,CONCATENATE(AO$68,$B103,"W")))/(COUNTIFS(Database!$F:$I,CONCATENATE($B103,AO$68,"L"))+COUNTIFS(Database!$F:$I,CONCATENATE(AO$68,$B103,"L"))+COUNTIFS(Database!$F:$I,CONCATENATE($B103,AO$68,"W"))+COUNTIFS(Database!$F:$I,CONCATENATE(AO$68,$B103,"W"))),"-")</f>
        <v>0.66666666666666663</v>
      </c>
      <c r="AP103" s="122" t="str">
        <f>IFERROR((COUNTIFS(Database!$F:$I,CONCATENATE($B103,AP$68,"W"))+COUNTIFS(Database!$F:$I,CONCATENATE(AP$68,$B103,"W")))/(COUNTIFS(Database!$F:$I,CONCATENATE($B103,AP$68,"L"))+COUNTIFS(Database!$F:$I,CONCATENATE(AP$68,$B103,"L"))+COUNTIFS(Database!$F:$I,CONCATENATE($B103,AP$68,"W"))+COUNTIFS(Database!$F:$I,CONCATENATE(AP$68,$B103,"W"))),"-")</f>
        <v>-</v>
      </c>
      <c r="AQ103" s="122">
        <f>IFERROR((COUNTIFS(Database!$F:$I,CONCATENATE($B103,AQ$68,"W"))+COUNTIFS(Database!$F:$I,CONCATENATE(AQ$68,$B103,"W")))/(COUNTIFS(Database!$F:$I,CONCATENATE($B103,AQ$68,"L"))+COUNTIFS(Database!$F:$I,CONCATENATE(AQ$68,$B103,"L"))+COUNTIFS(Database!$F:$I,CONCATENATE($B103,AQ$68,"W"))+COUNTIFS(Database!$F:$I,CONCATENATE(AQ$68,$B103,"W"))),"-")</f>
        <v>0.5</v>
      </c>
      <c r="AR103" s="122">
        <f>IFERROR((COUNTIFS(Database!$F:$I,CONCATENATE($B103,AR$68,"W"))+COUNTIFS(Database!$F:$I,CONCATENATE(AR$68,$B103,"W")))/(COUNTIFS(Database!$F:$I,CONCATENATE($B103,AR$68,"L"))+COUNTIFS(Database!$F:$I,CONCATENATE(AR$68,$B103,"L"))+COUNTIFS(Database!$F:$I,CONCATENATE($B103,AR$68,"W"))+COUNTIFS(Database!$F:$I,CONCATENATE(AR$68,$B103,"W"))),"-")</f>
        <v>0.75</v>
      </c>
      <c r="AS103" s="122" t="str">
        <f>IFERROR((COUNTIFS(Database!$F:$I,CONCATENATE($B103,AS$68,"W"))+COUNTIFS(Database!$F:$I,CONCATENATE(AS$68,$B103,"W")))/(COUNTIFS(Database!$F:$I,CONCATENATE($B103,AS$68,"L"))+COUNTIFS(Database!$F:$I,CONCATENATE(AS$68,$B103,"L"))+COUNTIFS(Database!$F:$I,CONCATENATE($B103,AS$68,"W"))+COUNTIFS(Database!$F:$I,CONCATENATE(AS$68,$B103,"W"))),"-")</f>
        <v>-</v>
      </c>
      <c r="AT103" s="122">
        <f>IFERROR((COUNTIFS(Database!$F:$I,CONCATENATE($B103,AT$68,"W"))+COUNTIFS(Database!$F:$I,CONCATENATE(AT$68,$B103,"W")))/(COUNTIFS(Database!$F:$I,CONCATENATE($B103,AT$68,"L"))+COUNTIFS(Database!$F:$I,CONCATENATE(AT$68,$B103,"L"))+COUNTIFS(Database!$F:$I,CONCATENATE($B103,AT$68,"W"))+COUNTIFS(Database!$F:$I,CONCATENATE(AT$68,$B103,"W"))),"-")</f>
        <v>1</v>
      </c>
      <c r="AU103" s="122">
        <f>IFERROR((COUNTIFS(Database!$F:$I,CONCATENATE($B103,AU$68,"W"))+COUNTIFS(Database!$F:$I,CONCATENATE(AU$68,$B103,"W")))/(COUNTIFS(Database!$F:$I,CONCATENATE($B103,AU$68,"L"))+COUNTIFS(Database!$F:$I,CONCATENATE(AU$68,$B103,"L"))+COUNTIFS(Database!$F:$I,CONCATENATE($B103,AU$68,"W"))+COUNTIFS(Database!$F:$I,CONCATENATE(AU$68,$B103,"W"))),"-")</f>
        <v>0.8571428571428571</v>
      </c>
      <c r="AV103" s="122">
        <f>IFERROR((COUNTIFS(Database!$F:$I,CONCATENATE($B103,AV$68,"W"))+COUNTIFS(Database!$F:$I,CONCATENATE(AV$68,$B103,"W")))/(COUNTIFS(Database!$F:$I,CONCATENATE($B103,AV$68,"L"))+COUNTIFS(Database!$F:$I,CONCATENATE(AV$68,$B103,"L"))+COUNTIFS(Database!$F:$I,CONCATENATE($B103,AV$68,"W"))+COUNTIFS(Database!$F:$I,CONCATENATE(AV$68,$B103,"W"))),"-")</f>
        <v>0</v>
      </c>
      <c r="AW103" s="122">
        <f>IFERROR((COUNTIFS(Database!$F:$I,CONCATENATE($B103,AW$68,"W"))+COUNTIFS(Database!$F:$I,CONCATENATE(AW$68,$B103,"W")))/(COUNTIFS(Database!$F:$I,CONCATENATE($B103,AW$68,"L"))+COUNTIFS(Database!$F:$I,CONCATENATE(AW$68,$B103,"L"))+COUNTIFS(Database!$F:$I,CONCATENATE($B103,AW$68,"W"))+COUNTIFS(Database!$F:$I,CONCATENATE(AW$68,$B103,"W"))),"-")</f>
        <v>0.75</v>
      </c>
      <c r="AX103" s="122" t="str">
        <f>IFERROR((COUNTIFS(Database!$F:$I,CONCATENATE($B103,AX$68,"W"))+COUNTIFS(Database!$F:$I,CONCATENATE(AX$68,$B103,"W")))/(COUNTIFS(Database!$F:$I,CONCATENATE($B103,AX$68,"L"))+COUNTIFS(Database!$F:$I,CONCATENATE(AX$68,$B103,"L"))+COUNTIFS(Database!$F:$I,CONCATENATE($B103,AX$68,"W"))+COUNTIFS(Database!$F:$I,CONCATENATE(AX$68,$B103,"W"))),"-")</f>
        <v>-</v>
      </c>
      <c r="AY103" s="122">
        <f>IFERROR((COUNTIFS(Database!$F:$I,CONCATENATE($B103,AY$68,"W"))+COUNTIFS(Database!$F:$I,CONCATENATE(AY$68,$B103,"W")))/(COUNTIFS(Database!$F:$I,CONCATENATE($B103,AY$68,"L"))+COUNTIFS(Database!$F:$I,CONCATENATE(AY$68,$B103,"L"))+COUNTIFS(Database!$F:$I,CONCATENATE($B103,AY$68,"W"))+COUNTIFS(Database!$F:$I,CONCATENATE(AY$68,$B103,"W"))),"-")</f>
        <v>0.5714285714285714</v>
      </c>
    </row>
    <row r="104" spans="2:51" x14ac:dyDescent="0.25">
      <c r="B104" s="120" t="s">
        <v>48</v>
      </c>
      <c r="C104" s="122">
        <f>IFERROR((COUNTIFS(Database!$F:$I,CONCATENATE($B104,C$68,"W"))+COUNTIFS(Database!$F:$I,CONCATENATE(C$68,$B104,"W")))/(COUNTIFS(Database!$F:$I,CONCATENATE($B104,C$68,"L"))+COUNTIFS(Database!$F:$I,CONCATENATE(C$68,$B104,"L"))+COUNTIFS(Database!$F:$I,CONCATENATE($B104,C$68,"W"))+COUNTIFS(Database!$F:$I,CONCATENATE(C$68,$B104,"W"))),"-")</f>
        <v>0.4</v>
      </c>
      <c r="D104" s="122">
        <f>IFERROR((COUNTIFS(Database!$F:$I,CONCATENATE($B104,D$68,"W"))+COUNTIFS(Database!$F:$I,CONCATENATE(D$68,$B104,"W")))/(COUNTIFS(Database!$F:$I,CONCATENATE($B104,D$68,"L"))+COUNTIFS(Database!$F:$I,CONCATENATE(D$68,$B104,"L"))+COUNTIFS(Database!$F:$I,CONCATENATE($B104,D$68,"W"))+COUNTIFS(Database!$F:$I,CONCATENATE(D$68,$B104,"W"))),"-")</f>
        <v>1</v>
      </c>
      <c r="E104" s="122">
        <f>IFERROR((COUNTIFS(Database!$F:$I,CONCATENATE($B104,E$68,"W"))+COUNTIFS(Database!$F:$I,CONCATENATE(E$68,$B104,"W")))/(COUNTIFS(Database!$F:$I,CONCATENATE($B104,E$68,"L"))+COUNTIFS(Database!$F:$I,CONCATENATE(E$68,$B104,"L"))+COUNTIFS(Database!$F:$I,CONCATENATE($B104,E$68,"W"))+COUNTIFS(Database!$F:$I,CONCATENATE(E$68,$B104,"W"))),"-")</f>
        <v>1</v>
      </c>
      <c r="F104" s="122">
        <f>IFERROR((COUNTIFS(Database!$F:$I,CONCATENATE($B104,F$68,"W"))+COUNTIFS(Database!$F:$I,CONCATENATE(F$68,$B104,"W")))/(COUNTIFS(Database!$F:$I,CONCATENATE($B104,F$68,"L"))+COUNTIFS(Database!$F:$I,CONCATENATE(F$68,$B104,"L"))+COUNTIFS(Database!$F:$I,CONCATENATE($B104,F$68,"W"))+COUNTIFS(Database!$F:$I,CONCATENATE(F$68,$B104,"W"))),"-")</f>
        <v>0.5</v>
      </c>
      <c r="G104" s="122">
        <f>IFERROR((COUNTIFS(Database!$F:$I,CONCATENATE($B104,G$68,"W"))+COUNTIFS(Database!$F:$I,CONCATENATE(G$68,$B104,"W")))/(COUNTIFS(Database!$F:$I,CONCATENATE($B104,G$68,"L"))+COUNTIFS(Database!$F:$I,CONCATENATE(G$68,$B104,"L"))+COUNTIFS(Database!$F:$I,CONCATENATE($B104,G$68,"W"))+COUNTIFS(Database!$F:$I,CONCATENATE(G$68,$B104,"W"))),"-")</f>
        <v>1</v>
      </c>
      <c r="H104" s="122" t="str">
        <f>IFERROR((COUNTIFS(Database!$F:$I,CONCATENATE($B104,H$68,"W"))+COUNTIFS(Database!$F:$I,CONCATENATE(H$68,$B104,"W")))/(COUNTIFS(Database!$F:$I,CONCATENATE($B104,H$68,"L"))+COUNTIFS(Database!$F:$I,CONCATENATE(H$68,$B104,"L"))+COUNTIFS(Database!$F:$I,CONCATENATE($B104,H$68,"W"))+COUNTIFS(Database!$F:$I,CONCATENATE(H$68,$B104,"W"))),"-")</f>
        <v>-</v>
      </c>
      <c r="I104" s="122" t="str">
        <f>IFERROR((COUNTIFS(Database!$F:$I,CONCATENATE($B104,I$68,"W"))+COUNTIFS(Database!$F:$I,CONCATENATE(I$68,$B104,"W")))/(COUNTIFS(Database!$F:$I,CONCATENATE($B104,I$68,"L"))+COUNTIFS(Database!$F:$I,CONCATENATE(I$68,$B104,"L"))+COUNTIFS(Database!$F:$I,CONCATENATE($B104,I$68,"W"))+COUNTIFS(Database!$F:$I,CONCATENATE(I$68,$B104,"W"))),"-")</f>
        <v>-</v>
      </c>
      <c r="J104" s="122">
        <f>IFERROR((COUNTIFS(Database!$F:$I,CONCATENATE($B104,J$68,"W"))+COUNTIFS(Database!$F:$I,CONCATENATE(J$68,$B104,"W")))/(COUNTIFS(Database!$F:$I,CONCATENATE($B104,J$68,"L"))+COUNTIFS(Database!$F:$I,CONCATENATE(J$68,$B104,"L"))+COUNTIFS(Database!$F:$I,CONCATENATE($B104,J$68,"W"))+COUNTIFS(Database!$F:$I,CONCATENATE(J$68,$B104,"W"))),"-")</f>
        <v>0</v>
      </c>
      <c r="K104" s="122">
        <f>IFERROR((COUNTIFS(Database!$F:$I,CONCATENATE($B104,K$68,"W"))+COUNTIFS(Database!$F:$I,CONCATENATE(K$68,$B104,"W")))/(COUNTIFS(Database!$F:$I,CONCATENATE($B104,K$68,"L"))+COUNTIFS(Database!$F:$I,CONCATENATE(K$68,$B104,"L"))+COUNTIFS(Database!$F:$I,CONCATENATE($B104,K$68,"W"))+COUNTIFS(Database!$F:$I,CONCATENATE(K$68,$B104,"W"))),"-")</f>
        <v>0.33333333333333331</v>
      </c>
      <c r="L104" s="122" t="str">
        <f>IFERROR((COUNTIFS(Database!$F:$I,CONCATENATE($B104,L$68,"W"))+COUNTIFS(Database!$F:$I,CONCATENATE(L$68,$B104,"W")))/(COUNTIFS(Database!$F:$I,CONCATENATE($B104,L$68,"L"))+COUNTIFS(Database!$F:$I,CONCATENATE(L$68,$B104,"L"))+COUNTIFS(Database!$F:$I,CONCATENATE($B104,L$68,"W"))+COUNTIFS(Database!$F:$I,CONCATENATE(L$68,$B104,"W"))),"-")</f>
        <v>-</v>
      </c>
      <c r="M104" s="122" t="str">
        <f>IFERROR((COUNTIFS(Database!$F:$I,CONCATENATE($B104,M$68,"W"))+COUNTIFS(Database!$F:$I,CONCATENATE(M$68,$B104,"W")))/(COUNTIFS(Database!$F:$I,CONCATENATE($B104,M$68,"L"))+COUNTIFS(Database!$F:$I,CONCATENATE(M$68,$B104,"L"))+COUNTIFS(Database!$F:$I,CONCATENATE($B104,M$68,"W"))+COUNTIFS(Database!$F:$I,CONCATENATE(M$68,$B104,"W"))),"-")</f>
        <v>-</v>
      </c>
      <c r="N104" s="122">
        <f>IFERROR((COUNTIFS(Database!$F:$I,CONCATENATE($B104,N$68,"W"))+COUNTIFS(Database!$F:$I,CONCATENATE(N$68,$B104,"W")))/(COUNTIFS(Database!$F:$I,CONCATENATE($B104,N$68,"L"))+COUNTIFS(Database!$F:$I,CONCATENATE(N$68,$B104,"L"))+COUNTIFS(Database!$F:$I,CONCATENATE($B104,N$68,"W"))+COUNTIFS(Database!$F:$I,CONCATENATE(N$68,$B104,"W"))),"-")</f>
        <v>1</v>
      </c>
      <c r="O104" s="122">
        <f>IFERROR((COUNTIFS(Database!$F:$I,CONCATENATE($B104,O$68,"W"))+COUNTIFS(Database!$F:$I,CONCATENATE(O$68,$B104,"W")))/(COUNTIFS(Database!$F:$I,CONCATENATE($B104,O$68,"L"))+COUNTIFS(Database!$F:$I,CONCATENATE(O$68,$B104,"L"))+COUNTIFS(Database!$F:$I,CONCATENATE($B104,O$68,"W"))+COUNTIFS(Database!$F:$I,CONCATENATE(O$68,$B104,"W"))),"-")</f>
        <v>0.33333333333333331</v>
      </c>
      <c r="P104" s="122" t="str">
        <f>IFERROR((COUNTIFS(Database!$F:$I,CONCATENATE($B104,P$68,"W"))+COUNTIFS(Database!$F:$I,CONCATENATE(P$68,$B104,"W")))/(COUNTIFS(Database!$F:$I,CONCATENATE($B104,P$68,"L"))+COUNTIFS(Database!$F:$I,CONCATENATE(P$68,$B104,"L"))+COUNTIFS(Database!$F:$I,CONCATENATE($B104,P$68,"W"))+COUNTIFS(Database!$F:$I,CONCATENATE(P$68,$B104,"W"))),"-")</f>
        <v>-</v>
      </c>
      <c r="Q104" s="122" t="str">
        <f>IFERROR((COUNTIFS(Database!$F:$I,CONCATENATE($B104,Q$68,"W"))+COUNTIFS(Database!$F:$I,CONCATENATE(Q$68,$B104,"W")))/(COUNTIFS(Database!$F:$I,CONCATENATE($B104,Q$68,"L"))+COUNTIFS(Database!$F:$I,CONCATENATE(Q$68,$B104,"L"))+COUNTIFS(Database!$F:$I,CONCATENATE($B104,Q$68,"W"))+COUNTIFS(Database!$F:$I,CONCATENATE(Q$68,$B104,"W"))),"-")</f>
        <v>-</v>
      </c>
      <c r="R104" s="122" t="str">
        <f>IFERROR((COUNTIFS(Database!$F:$I,CONCATENATE($B104,R$68,"W"))+COUNTIFS(Database!$F:$I,CONCATENATE(R$68,$B104,"W")))/(COUNTIFS(Database!$F:$I,CONCATENATE($B104,R$68,"L"))+COUNTIFS(Database!$F:$I,CONCATENATE(R$68,$B104,"L"))+COUNTIFS(Database!$F:$I,CONCATENATE($B104,R$68,"W"))+COUNTIFS(Database!$F:$I,CONCATENATE(R$68,$B104,"W"))),"-")</f>
        <v>-</v>
      </c>
      <c r="S104" s="122" t="str">
        <f>IFERROR((COUNTIFS(Database!$F:$I,CONCATENATE($B104,S$68,"W"))+COUNTIFS(Database!$F:$I,CONCATENATE(S$68,$B104,"W")))/(COUNTIFS(Database!$F:$I,CONCATENATE($B104,S$68,"L"))+COUNTIFS(Database!$F:$I,CONCATENATE(S$68,$B104,"L"))+COUNTIFS(Database!$F:$I,CONCATENATE($B104,S$68,"W"))+COUNTIFS(Database!$F:$I,CONCATENATE(S$68,$B104,"W"))),"-")</f>
        <v>-</v>
      </c>
      <c r="T104" s="122" t="str">
        <f>IFERROR((COUNTIFS(Database!$F:$I,CONCATENATE($B104,T$68,"W"))+COUNTIFS(Database!$F:$I,CONCATENATE(T$68,$B104,"W")))/(COUNTIFS(Database!$F:$I,CONCATENATE($B104,T$68,"L"))+COUNTIFS(Database!$F:$I,CONCATENATE(T$68,$B104,"L"))+COUNTIFS(Database!$F:$I,CONCATENATE($B104,T$68,"W"))+COUNTIFS(Database!$F:$I,CONCATENATE(T$68,$B104,"W"))),"-")</f>
        <v>-</v>
      </c>
      <c r="U104" s="122" t="str">
        <f>IFERROR((COUNTIFS(Database!$F:$I,CONCATENATE($B104,U$68,"W"))+COUNTIFS(Database!$F:$I,CONCATENATE(U$68,$B104,"W")))/(COUNTIFS(Database!$F:$I,CONCATENATE($B104,U$68,"L"))+COUNTIFS(Database!$F:$I,CONCATENATE(U$68,$B104,"L"))+COUNTIFS(Database!$F:$I,CONCATENATE($B104,U$68,"W"))+COUNTIFS(Database!$F:$I,CONCATENATE(U$68,$B104,"W"))),"-")</f>
        <v>-</v>
      </c>
      <c r="V104" s="122" t="str">
        <f>IFERROR((COUNTIFS(Database!$F:$I,CONCATENATE($B104,V$68,"W"))+COUNTIFS(Database!$F:$I,CONCATENATE(V$68,$B104,"W")))/(COUNTIFS(Database!$F:$I,CONCATENATE($B104,V$68,"L"))+COUNTIFS(Database!$F:$I,CONCATENATE(V$68,$B104,"L"))+COUNTIFS(Database!$F:$I,CONCATENATE($B104,V$68,"W"))+COUNTIFS(Database!$F:$I,CONCATENATE(V$68,$B104,"W"))),"-")</f>
        <v>-</v>
      </c>
      <c r="W104" s="122">
        <f>IFERROR((COUNTIFS(Database!$F:$I,CONCATENATE($B104,W$68,"W"))+COUNTIFS(Database!$F:$I,CONCATENATE(W$68,$B104,"W")))/(COUNTIFS(Database!$F:$I,CONCATENATE($B104,W$68,"L"))+COUNTIFS(Database!$F:$I,CONCATENATE(W$68,$B104,"L"))+COUNTIFS(Database!$F:$I,CONCATENATE($B104,W$68,"W"))+COUNTIFS(Database!$F:$I,CONCATENATE(W$68,$B104,"W"))),"-")</f>
        <v>0</v>
      </c>
      <c r="X104" s="122" t="str">
        <f>IFERROR((COUNTIFS(Database!$F:$I,CONCATENATE($B104,X$68,"W"))+COUNTIFS(Database!$F:$I,CONCATENATE(X$68,$B104,"W")))/(COUNTIFS(Database!$F:$I,CONCATENATE($B104,X$68,"L"))+COUNTIFS(Database!$F:$I,CONCATENATE(X$68,$B104,"L"))+COUNTIFS(Database!$F:$I,CONCATENATE($B104,X$68,"W"))+COUNTIFS(Database!$F:$I,CONCATENATE(X$68,$B104,"W"))),"-")</f>
        <v>-</v>
      </c>
      <c r="Y104" s="122" t="str">
        <f>IFERROR((COUNTIFS(Database!$F:$I,CONCATENATE($B104,Y$68,"W"))+COUNTIFS(Database!$F:$I,CONCATENATE(Y$68,$B104,"W")))/(COUNTIFS(Database!$F:$I,CONCATENATE($B104,Y$68,"L"))+COUNTIFS(Database!$F:$I,CONCATENATE(Y$68,$B104,"L"))+COUNTIFS(Database!$F:$I,CONCATENATE($B104,Y$68,"W"))+COUNTIFS(Database!$F:$I,CONCATENATE(Y$68,$B104,"W"))),"-")</f>
        <v>-</v>
      </c>
      <c r="Z104" s="122" t="str">
        <f>IFERROR((COUNTIFS(Database!$F:$I,CONCATENATE($B104,Z$68,"W"))+COUNTIFS(Database!$F:$I,CONCATENATE(Z$68,$B104,"W")))/(COUNTIFS(Database!$F:$I,CONCATENATE($B104,Z$68,"L"))+COUNTIFS(Database!$F:$I,CONCATENATE(Z$68,$B104,"L"))+COUNTIFS(Database!$F:$I,CONCATENATE($B104,Z$68,"W"))+COUNTIFS(Database!$F:$I,CONCATENATE(Z$68,$B104,"W"))),"-")</f>
        <v>-</v>
      </c>
      <c r="AA104" s="122" t="str">
        <f>IFERROR((COUNTIFS(Database!$F:$I,CONCATENATE($B104,AA$68,"W"))+COUNTIFS(Database!$F:$I,CONCATENATE(AA$68,$B104,"W")))/(COUNTIFS(Database!$F:$I,CONCATENATE($B104,AA$68,"L"))+COUNTIFS(Database!$F:$I,CONCATENATE(AA$68,$B104,"L"))+COUNTIFS(Database!$F:$I,CONCATENATE($B104,AA$68,"W"))+COUNTIFS(Database!$F:$I,CONCATENATE(AA$68,$B104,"W"))),"-")</f>
        <v>-</v>
      </c>
      <c r="AB104" s="122">
        <f>IFERROR((COUNTIFS(Database!$F:$I,CONCATENATE($B104,AB$68,"W"))+COUNTIFS(Database!$F:$I,CONCATENATE(AB$68,$B104,"W")))/(COUNTIFS(Database!$F:$I,CONCATENATE($B104,AB$68,"L"))+COUNTIFS(Database!$F:$I,CONCATENATE(AB$68,$B104,"L"))+COUNTIFS(Database!$F:$I,CONCATENATE($B104,AB$68,"W"))+COUNTIFS(Database!$F:$I,CONCATENATE(AB$68,$B104,"W"))),"-")</f>
        <v>0</v>
      </c>
      <c r="AC104" s="122">
        <f>IFERROR((COUNTIFS(Database!$F:$I,CONCATENATE($B104,AC$68,"W"))+COUNTIFS(Database!$F:$I,CONCATENATE(AC$68,$B104,"W")))/(COUNTIFS(Database!$F:$I,CONCATENATE($B104,AC$68,"L"))+COUNTIFS(Database!$F:$I,CONCATENATE(AC$68,$B104,"L"))+COUNTIFS(Database!$F:$I,CONCATENATE($B104,AC$68,"W"))+COUNTIFS(Database!$F:$I,CONCATENATE(AC$68,$B104,"W"))),"-")</f>
        <v>0.5</v>
      </c>
      <c r="AD104" s="122">
        <f>IFERROR((COUNTIFS(Database!$F:$I,CONCATENATE($B104,AD$68,"W"))+COUNTIFS(Database!$F:$I,CONCATENATE(AD$68,$B104,"W")))/(COUNTIFS(Database!$F:$I,CONCATENATE($B104,AD$68,"L"))+COUNTIFS(Database!$F:$I,CONCATENATE(AD$68,$B104,"L"))+COUNTIFS(Database!$F:$I,CONCATENATE($B104,AD$68,"W"))+COUNTIFS(Database!$F:$I,CONCATENATE(AD$68,$B104,"W"))),"-")</f>
        <v>0.5</v>
      </c>
      <c r="AE104" s="122" t="str">
        <f>IFERROR((COUNTIFS(Database!$F:$I,CONCATENATE($B104,AE$68,"W"))+COUNTIFS(Database!$F:$I,CONCATENATE(AE$68,$B104,"W")))/(COUNTIFS(Database!$F:$I,CONCATENATE($B104,AE$68,"L"))+COUNTIFS(Database!$F:$I,CONCATENATE(AE$68,$B104,"L"))+COUNTIFS(Database!$F:$I,CONCATENATE($B104,AE$68,"W"))+COUNTIFS(Database!$F:$I,CONCATENATE(AE$68,$B104,"W"))),"-")</f>
        <v>-</v>
      </c>
      <c r="AF104" s="122" t="str">
        <f>IFERROR((COUNTIFS(Database!$F:$I,CONCATENATE($B104,AF$68,"W"))+COUNTIFS(Database!$F:$I,CONCATENATE(AF$68,$B104,"W")))/(COUNTIFS(Database!$F:$I,CONCATENATE($B104,AF$68,"L"))+COUNTIFS(Database!$F:$I,CONCATENATE(AF$68,$B104,"L"))+COUNTIFS(Database!$F:$I,CONCATENATE($B104,AF$68,"W"))+COUNTIFS(Database!$F:$I,CONCATENATE(AF$68,$B104,"W"))),"-")</f>
        <v>-</v>
      </c>
      <c r="AG104" s="122">
        <f>IFERROR((COUNTIFS(Database!$F:$I,CONCATENATE($B104,AG$68,"W"))+COUNTIFS(Database!$F:$I,CONCATENATE(AG$68,$B104,"W")))/(COUNTIFS(Database!$F:$I,CONCATENATE($B104,AG$68,"L"))+COUNTIFS(Database!$F:$I,CONCATENATE(AG$68,$B104,"L"))+COUNTIFS(Database!$F:$I,CONCATENATE($B104,AG$68,"W"))+COUNTIFS(Database!$F:$I,CONCATENATE(AG$68,$B104,"W"))),"-")</f>
        <v>1</v>
      </c>
      <c r="AH104" s="122" t="str">
        <f>IFERROR((COUNTIFS(Database!$F:$I,CONCATENATE($B104,AH$68,"W"))+COUNTIFS(Database!$F:$I,CONCATENATE(AH$68,$B104,"W")))/(COUNTIFS(Database!$F:$I,CONCATENATE($B104,AH$68,"L"))+COUNTIFS(Database!$F:$I,CONCATENATE(AH$68,$B104,"L"))+COUNTIFS(Database!$F:$I,CONCATENATE($B104,AH$68,"W"))+COUNTIFS(Database!$F:$I,CONCATENATE(AH$68,$B104,"W"))),"-")</f>
        <v>-</v>
      </c>
      <c r="AI104" s="122" t="str">
        <f>IFERROR((COUNTIFS(Database!$F:$I,CONCATENATE($B104,AI$68,"W"))+COUNTIFS(Database!$F:$I,CONCATENATE(AI$68,$B104,"W")))/(COUNTIFS(Database!$F:$I,CONCATENATE($B104,AI$68,"L"))+COUNTIFS(Database!$F:$I,CONCATENATE(AI$68,$B104,"L"))+COUNTIFS(Database!$F:$I,CONCATENATE($B104,AI$68,"W"))+COUNTIFS(Database!$F:$I,CONCATENATE(AI$68,$B104,"W"))),"-")</f>
        <v>-</v>
      </c>
      <c r="AJ104" s="122" t="str">
        <f>IFERROR((COUNTIFS(Database!$F:$I,CONCATENATE($B104,AJ$68,"W"))+COUNTIFS(Database!$F:$I,CONCATENATE(AJ$68,$B104,"W")))/(COUNTIFS(Database!$F:$I,CONCATENATE($B104,AJ$68,"L"))+COUNTIFS(Database!$F:$I,CONCATENATE(AJ$68,$B104,"L"))+COUNTIFS(Database!$F:$I,CONCATENATE($B104,AJ$68,"W"))+COUNTIFS(Database!$F:$I,CONCATENATE(AJ$68,$B104,"W"))),"-")</f>
        <v>-</v>
      </c>
      <c r="AK104" s="122">
        <f>IFERROR((COUNTIFS(Database!$F:$I,CONCATENATE($B104,AK$68,"W"))+COUNTIFS(Database!$F:$I,CONCATENATE(AK$68,$B104,"W")))/(COUNTIFS(Database!$F:$I,CONCATENATE($B104,AK$68,"L"))+COUNTIFS(Database!$F:$I,CONCATENATE(AK$68,$B104,"L"))+COUNTIFS(Database!$F:$I,CONCATENATE($B104,AK$68,"W"))+COUNTIFS(Database!$F:$I,CONCATENATE(AK$68,$B104,"W"))),"-")</f>
        <v>0.5</v>
      </c>
      <c r="AL104" s="122" t="str">
        <f>IFERROR((COUNTIFS(Database!$F:$I,CONCATENATE($B104,AL$68,"W"))+COUNTIFS(Database!$F:$I,CONCATENATE(AL$68,$B104,"W")))/(COUNTIFS(Database!$F:$I,CONCATENATE($B104,AL$68,"L"))+COUNTIFS(Database!$F:$I,CONCATENATE(AL$68,$B104,"L"))+COUNTIFS(Database!$F:$I,CONCATENATE($B104,AL$68,"W"))+COUNTIFS(Database!$F:$I,CONCATENATE(AL$68,$B104,"W"))),"-")</f>
        <v>-</v>
      </c>
      <c r="AM104" s="122">
        <f>IFERROR((COUNTIFS(Database!$F:$I,CONCATENATE($B104,AM$68,"W"))+COUNTIFS(Database!$F:$I,CONCATENATE(AM$68,$B104,"W")))/(COUNTIFS(Database!$F:$I,CONCATENATE($B104,AM$68,"L"))+COUNTIFS(Database!$F:$I,CONCATENATE(AM$68,$B104,"L"))+COUNTIFS(Database!$F:$I,CONCATENATE($B104,AM$68,"W"))+COUNTIFS(Database!$F:$I,CONCATENATE(AM$68,$B104,"W"))),"-")</f>
        <v>0</v>
      </c>
      <c r="AN104" s="122" t="str">
        <f>IFERROR((COUNTIFS(Database!$F:$I,CONCATENATE($B104,AN$68,"W"))+COUNTIFS(Database!$F:$I,CONCATENATE(AN$68,$B104,"W")))/(COUNTIFS(Database!$F:$I,CONCATENATE($B104,AN$68,"L"))+COUNTIFS(Database!$F:$I,CONCATENATE(AN$68,$B104,"L"))+COUNTIFS(Database!$F:$I,CONCATENATE($B104,AN$68,"W"))+COUNTIFS(Database!$F:$I,CONCATENATE(AN$68,$B104,"W"))),"-")</f>
        <v>-</v>
      </c>
      <c r="AO104" s="122">
        <f>IFERROR((COUNTIFS(Database!$F:$I,CONCATENATE($B104,AO$68,"W"))+COUNTIFS(Database!$F:$I,CONCATENATE(AO$68,$B104,"W")))/(COUNTIFS(Database!$F:$I,CONCATENATE($B104,AO$68,"L"))+COUNTIFS(Database!$F:$I,CONCATENATE(AO$68,$B104,"L"))+COUNTIFS(Database!$F:$I,CONCATENATE($B104,AO$68,"W"))+COUNTIFS(Database!$F:$I,CONCATENATE(AO$68,$B104,"W"))),"-")</f>
        <v>1</v>
      </c>
      <c r="AP104" s="122" t="str">
        <f>IFERROR((COUNTIFS(Database!$F:$I,CONCATENATE($B104,AP$68,"W"))+COUNTIFS(Database!$F:$I,CONCATENATE(AP$68,$B104,"W")))/(COUNTIFS(Database!$F:$I,CONCATENATE($B104,AP$68,"L"))+COUNTIFS(Database!$F:$I,CONCATENATE(AP$68,$B104,"L"))+COUNTIFS(Database!$F:$I,CONCATENATE($B104,AP$68,"W"))+COUNTIFS(Database!$F:$I,CONCATENATE(AP$68,$B104,"W"))),"-")</f>
        <v>-</v>
      </c>
      <c r="AQ104" s="122">
        <f>IFERROR((COUNTIFS(Database!$F:$I,CONCATENATE($B104,AQ$68,"W"))+COUNTIFS(Database!$F:$I,CONCATENATE(AQ$68,$B104,"W")))/(COUNTIFS(Database!$F:$I,CONCATENATE($B104,AQ$68,"L"))+COUNTIFS(Database!$F:$I,CONCATENATE(AQ$68,$B104,"L"))+COUNTIFS(Database!$F:$I,CONCATENATE($B104,AQ$68,"W"))+COUNTIFS(Database!$F:$I,CONCATENATE(AQ$68,$B104,"W"))),"-")</f>
        <v>0</v>
      </c>
      <c r="AR104" s="122">
        <f>IFERROR((COUNTIFS(Database!$F:$I,CONCATENATE($B104,AR$68,"W"))+COUNTIFS(Database!$F:$I,CONCATENATE(AR$68,$B104,"W")))/(COUNTIFS(Database!$F:$I,CONCATENATE($B104,AR$68,"L"))+COUNTIFS(Database!$F:$I,CONCATENATE(AR$68,$B104,"L"))+COUNTIFS(Database!$F:$I,CONCATENATE($B104,AR$68,"W"))+COUNTIFS(Database!$F:$I,CONCATENATE(AR$68,$B104,"W"))),"-")</f>
        <v>0.5</v>
      </c>
      <c r="AS104" s="122" t="str">
        <f>IFERROR((COUNTIFS(Database!$F:$I,CONCATENATE($B104,AS$68,"W"))+COUNTIFS(Database!$F:$I,CONCATENATE(AS$68,$B104,"W")))/(COUNTIFS(Database!$F:$I,CONCATENATE($B104,AS$68,"L"))+COUNTIFS(Database!$F:$I,CONCATENATE(AS$68,$B104,"L"))+COUNTIFS(Database!$F:$I,CONCATENATE($B104,AS$68,"W"))+COUNTIFS(Database!$F:$I,CONCATENATE(AS$68,$B104,"W"))),"-")</f>
        <v>-</v>
      </c>
      <c r="AT104" s="122" t="str">
        <f>IFERROR((COUNTIFS(Database!$F:$I,CONCATENATE($B104,AT$68,"W"))+COUNTIFS(Database!$F:$I,CONCATENATE(AT$68,$B104,"W")))/(COUNTIFS(Database!$F:$I,CONCATENATE($B104,AT$68,"L"))+COUNTIFS(Database!$F:$I,CONCATENATE(AT$68,$B104,"L"))+COUNTIFS(Database!$F:$I,CONCATENATE($B104,AT$68,"W"))+COUNTIFS(Database!$F:$I,CONCATENATE(AT$68,$B104,"W"))),"-")</f>
        <v>-</v>
      </c>
      <c r="AU104" s="122">
        <f>IFERROR((COUNTIFS(Database!$F:$I,CONCATENATE($B104,AU$68,"W"))+COUNTIFS(Database!$F:$I,CONCATENATE(AU$68,$B104,"W")))/(COUNTIFS(Database!$F:$I,CONCATENATE($B104,AU$68,"L"))+COUNTIFS(Database!$F:$I,CONCATENATE(AU$68,$B104,"L"))+COUNTIFS(Database!$F:$I,CONCATENATE($B104,AU$68,"W"))+COUNTIFS(Database!$F:$I,CONCATENATE(AU$68,$B104,"W"))),"-")</f>
        <v>0</v>
      </c>
      <c r="AV104" s="122" t="str">
        <f>IFERROR((COUNTIFS(Database!$F:$I,CONCATENATE($B104,AV$68,"W"))+COUNTIFS(Database!$F:$I,CONCATENATE(AV$68,$B104,"W")))/(COUNTIFS(Database!$F:$I,CONCATENATE($B104,AV$68,"L"))+COUNTIFS(Database!$F:$I,CONCATENATE(AV$68,$B104,"L"))+COUNTIFS(Database!$F:$I,CONCATENATE($B104,AV$68,"W"))+COUNTIFS(Database!$F:$I,CONCATENATE(AV$68,$B104,"W"))),"-")</f>
        <v>-</v>
      </c>
      <c r="AW104" s="122">
        <f>IFERROR((COUNTIFS(Database!$F:$I,CONCATENATE($B104,AW$68,"W"))+COUNTIFS(Database!$F:$I,CONCATENATE(AW$68,$B104,"W")))/(COUNTIFS(Database!$F:$I,CONCATENATE($B104,AW$68,"L"))+COUNTIFS(Database!$F:$I,CONCATENATE(AW$68,$B104,"L"))+COUNTIFS(Database!$F:$I,CONCATENATE($B104,AW$68,"W"))+COUNTIFS(Database!$F:$I,CONCATENATE(AW$68,$B104,"W"))),"-")</f>
        <v>0.66666666666666663</v>
      </c>
      <c r="AX104" s="122" t="str">
        <f>IFERROR((COUNTIFS(Database!$F:$I,CONCATENATE($B104,AX$68,"W"))+COUNTIFS(Database!$F:$I,CONCATENATE(AX$68,$B104,"W")))/(COUNTIFS(Database!$F:$I,CONCATENATE($B104,AX$68,"L"))+COUNTIFS(Database!$F:$I,CONCATENATE(AX$68,$B104,"L"))+COUNTIFS(Database!$F:$I,CONCATENATE($B104,AX$68,"W"))+COUNTIFS(Database!$F:$I,CONCATENATE(AX$68,$B104,"W"))),"-")</f>
        <v>-</v>
      </c>
      <c r="AY104" s="122">
        <f>IFERROR((COUNTIFS(Database!$F:$I,CONCATENATE($B104,AY$68,"W"))+COUNTIFS(Database!$F:$I,CONCATENATE(AY$68,$B104,"W")))/(COUNTIFS(Database!$F:$I,CONCATENATE($B104,AY$68,"L"))+COUNTIFS(Database!$F:$I,CONCATENATE(AY$68,$B104,"L"))+COUNTIFS(Database!$F:$I,CONCATENATE($B104,AY$68,"W"))+COUNTIFS(Database!$F:$I,CONCATENATE(AY$68,$B104,"W"))),"-")</f>
        <v>0.33333333333333331</v>
      </c>
    </row>
    <row r="105" spans="2:51" x14ac:dyDescent="0.25">
      <c r="B105" s="120" t="s">
        <v>29</v>
      </c>
      <c r="C105" s="122">
        <f>IFERROR((COUNTIFS(Database!$F:$I,CONCATENATE($B105,C$68,"W"))+COUNTIFS(Database!$F:$I,CONCATENATE(C$68,$B105,"W")))/(COUNTIFS(Database!$F:$I,CONCATENATE($B105,C$68,"L"))+COUNTIFS(Database!$F:$I,CONCATENATE(C$68,$B105,"L"))+COUNTIFS(Database!$F:$I,CONCATENATE($B105,C$68,"W"))+COUNTIFS(Database!$F:$I,CONCATENATE(C$68,$B105,"W"))),"-")</f>
        <v>0</v>
      </c>
      <c r="D105" s="122" t="str">
        <f>IFERROR((COUNTIFS(Database!$F:$I,CONCATENATE($B105,D$68,"W"))+COUNTIFS(Database!$F:$I,CONCATENATE(D$68,$B105,"W")))/(COUNTIFS(Database!$F:$I,CONCATENATE($B105,D$68,"L"))+COUNTIFS(Database!$F:$I,CONCATENATE(D$68,$B105,"L"))+COUNTIFS(Database!$F:$I,CONCATENATE($B105,D$68,"W"))+COUNTIFS(Database!$F:$I,CONCATENATE(D$68,$B105,"W"))),"-")</f>
        <v>-</v>
      </c>
      <c r="E105" s="122" t="str">
        <f>IFERROR((COUNTIFS(Database!$F:$I,CONCATENATE($B105,E$68,"W"))+COUNTIFS(Database!$F:$I,CONCATENATE(E$68,$B105,"W")))/(COUNTIFS(Database!$F:$I,CONCATENATE($B105,E$68,"L"))+COUNTIFS(Database!$F:$I,CONCATENATE(E$68,$B105,"L"))+COUNTIFS(Database!$F:$I,CONCATENATE($B105,E$68,"W"))+COUNTIFS(Database!$F:$I,CONCATENATE(E$68,$B105,"W"))),"-")</f>
        <v>-</v>
      </c>
      <c r="F105" s="122">
        <f>IFERROR((COUNTIFS(Database!$F:$I,CONCATENATE($B105,F$68,"W"))+COUNTIFS(Database!$F:$I,CONCATENATE(F$68,$B105,"W")))/(COUNTIFS(Database!$F:$I,CONCATENATE($B105,F$68,"L"))+COUNTIFS(Database!$F:$I,CONCATENATE(F$68,$B105,"L"))+COUNTIFS(Database!$F:$I,CONCATENATE($B105,F$68,"W"))+COUNTIFS(Database!$F:$I,CONCATENATE(F$68,$B105,"W"))),"-")</f>
        <v>0</v>
      </c>
      <c r="G105" s="122" t="str">
        <f>IFERROR((COUNTIFS(Database!$F:$I,CONCATENATE($B105,G$68,"W"))+COUNTIFS(Database!$F:$I,CONCATENATE(G$68,$B105,"W")))/(COUNTIFS(Database!$F:$I,CONCATENATE($B105,G$68,"L"))+COUNTIFS(Database!$F:$I,CONCATENATE(G$68,$B105,"L"))+COUNTIFS(Database!$F:$I,CONCATENATE($B105,G$68,"W"))+COUNTIFS(Database!$F:$I,CONCATENATE(G$68,$B105,"W"))),"-")</f>
        <v>-</v>
      </c>
      <c r="H105" s="122" t="str">
        <f>IFERROR((COUNTIFS(Database!$F:$I,CONCATENATE($B105,H$68,"W"))+COUNTIFS(Database!$F:$I,CONCATENATE(H$68,$B105,"W")))/(COUNTIFS(Database!$F:$I,CONCATENATE($B105,H$68,"L"))+COUNTIFS(Database!$F:$I,CONCATENATE(H$68,$B105,"L"))+COUNTIFS(Database!$F:$I,CONCATENATE($B105,H$68,"W"))+COUNTIFS(Database!$F:$I,CONCATENATE(H$68,$B105,"W"))),"-")</f>
        <v>-</v>
      </c>
      <c r="I105" s="122" t="str">
        <f>IFERROR((COUNTIFS(Database!$F:$I,CONCATENATE($B105,I$68,"W"))+COUNTIFS(Database!$F:$I,CONCATENATE(I$68,$B105,"W")))/(COUNTIFS(Database!$F:$I,CONCATENATE($B105,I$68,"L"))+COUNTIFS(Database!$F:$I,CONCATENATE(I$68,$B105,"L"))+COUNTIFS(Database!$F:$I,CONCATENATE($B105,I$68,"W"))+COUNTIFS(Database!$F:$I,CONCATENATE(I$68,$B105,"W"))),"-")</f>
        <v>-</v>
      </c>
      <c r="J105" s="122">
        <f>IFERROR((COUNTIFS(Database!$F:$I,CONCATENATE($B105,J$68,"W"))+COUNTIFS(Database!$F:$I,CONCATENATE(J$68,$B105,"W")))/(COUNTIFS(Database!$F:$I,CONCATENATE($B105,J$68,"L"))+COUNTIFS(Database!$F:$I,CONCATENATE(J$68,$B105,"L"))+COUNTIFS(Database!$F:$I,CONCATENATE($B105,J$68,"W"))+COUNTIFS(Database!$F:$I,CONCATENATE(J$68,$B105,"W"))),"-")</f>
        <v>0</v>
      </c>
      <c r="K105" s="122">
        <f>IFERROR((COUNTIFS(Database!$F:$I,CONCATENATE($B105,K$68,"W"))+COUNTIFS(Database!$F:$I,CONCATENATE(K$68,$B105,"W")))/(COUNTIFS(Database!$F:$I,CONCATENATE($B105,K$68,"L"))+COUNTIFS(Database!$F:$I,CONCATENATE(K$68,$B105,"L"))+COUNTIFS(Database!$F:$I,CONCATENATE($B105,K$68,"W"))+COUNTIFS(Database!$F:$I,CONCATENATE(K$68,$B105,"W"))),"-")</f>
        <v>0</v>
      </c>
      <c r="L105" s="122" t="str">
        <f>IFERROR((COUNTIFS(Database!$F:$I,CONCATENATE($B105,L$68,"W"))+COUNTIFS(Database!$F:$I,CONCATENATE(L$68,$B105,"W")))/(COUNTIFS(Database!$F:$I,CONCATENATE($B105,L$68,"L"))+COUNTIFS(Database!$F:$I,CONCATENATE(L$68,$B105,"L"))+COUNTIFS(Database!$F:$I,CONCATENATE($B105,L$68,"W"))+COUNTIFS(Database!$F:$I,CONCATENATE(L$68,$B105,"W"))),"-")</f>
        <v>-</v>
      </c>
      <c r="M105" s="122" t="str">
        <f>IFERROR((COUNTIFS(Database!$F:$I,CONCATENATE($B105,M$68,"W"))+COUNTIFS(Database!$F:$I,CONCATENATE(M$68,$B105,"W")))/(COUNTIFS(Database!$F:$I,CONCATENATE($B105,M$68,"L"))+COUNTIFS(Database!$F:$I,CONCATENATE(M$68,$B105,"L"))+COUNTIFS(Database!$F:$I,CONCATENATE($B105,M$68,"W"))+COUNTIFS(Database!$F:$I,CONCATENATE(M$68,$B105,"W"))),"-")</f>
        <v>-</v>
      </c>
      <c r="N105" s="122" t="str">
        <f>IFERROR((COUNTIFS(Database!$F:$I,CONCATENATE($B105,N$68,"W"))+COUNTIFS(Database!$F:$I,CONCATENATE(N$68,$B105,"W")))/(COUNTIFS(Database!$F:$I,CONCATENATE($B105,N$68,"L"))+COUNTIFS(Database!$F:$I,CONCATENATE(N$68,$B105,"L"))+COUNTIFS(Database!$F:$I,CONCATENATE($B105,N$68,"W"))+COUNTIFS(Database!$F:$I,CONCATENATE(N$68,$B105,"W"))),"-")</f>
        <v>-</v>
      </c>
      <c r="O105" s="122" t="str">
        <f>IFERROR((COUNTIFS(Database!$F:$I,CONCATENATE($B105,O$68,"W"))+COUNTIFS(Database!$F:$I,CONCATENATE(O$68,$B105,"W")))/(COUNTIFS(Database!$F:$I,CONCATENATE($B105,O$68,"L"))+COUNTIFS(Database!$F:$I,CONCATENATE(O$68,$B105,"L"))+COUNTIFS(Database!$F:$I,CONCATENATE($B105,O$68,"W"))+COUNTIFS(Database!$F:$I,CONCATENATE(O$68,$B105,"W"))),"-")</f>
        <v>-</v>
      </c>
      <c r="P105" s="122" t="str">
        <f>IFERROR((COUNTIFS(Database!$F:$I,CONCATENATE($B105,P$68,"W"))+COUNTIFS(Database!$F:$I,CONCATENATE(P$68,$B105,"W")))/(COUNTIFS(Database!$F:$I,CONCATENATE($B105,P$68,"L"))+COUNTIFS(Database!$F:$I,CONCATENATE(P$68,$B105,"L"))+COUNTIFS(Database!$F:$I,CONCATENATE($B105,P$68,"W"))+COUNTIFS(Database!$F:$I,CONCATENATE(P$68,$B105,"W"))),"-")</f>
        <v>-</v>
      </c>
      <c r="Q105" s="122" t="str">
        <f>IFERROR((COUNTIFS(Database!$F:$I,CONCATENATE($B105,Q$68,"W"))+COUNTIFS(Database!$F:$I,CONCATENATE(Q$68,$B105,"W")))/(COUNTIFS(Database!$F:$I,CONCATENATE($B105,Q$68,"L"))+COUNTIFS(Database!$F:$I,CONCATENATE(Q$68,$B105,"L"))+COUNTIFS(Database!$F:$I,CONCATENATE($B105,Q$68,"W"))+COUNTIFS(Database!$F:$I,CONCATENATE(Q$68,$B105,"W"))),"-")</f>
        <v>-</v>
      </c>
      <c r="R105" s="122" t="str">
        <f>IFERROR((COUNTIFS(Database!$F:$I,CONCATENATE($B105,R$68,"W"))+COUNTIFS(Database!$F:$I,CONCATENATE(R$68,$B105,"W")))/(COUNTIFS(Database!$F:$I,CONCATENATE($B105,R$68,"L"))+COUNTIFS(Database!$F:$I,CONCATENATE(R$68,$B105,"L"))+COUNTIFS(Database!$F:$I,CONCATENATE($B105,R$68,"W"))+COUNTIFS(Database!$F:$I,CONCATENATE(R$68,$B105,"W"))),"-")</f>
        <v>-</v>
      </c>
      <c r="S105" s="122" t="str">
        <f>IFERROR((COUNTIFS(Database!$F:$I,CONCATENATE($B105,S$68,"W"))+COUNTIFS(Database!$F:$I,CONCATENATE(S$68,$B105,"W")))/(COUNTIFS(Database!$F:$I,CONCATENATE($B105,S$68,"L"))+COUNTIFS(Database!$F:$I,CONCATENATE(S$68,$B105,"L"))+COUNTIFS(Database!$F:$I,CONCATENATE($B105,S$68,"W"))+COUNTIFS(Database!$F:$I,CONCATENATE(S$68,$B105,"W"))),"-")</f>
        <v>-</v>
      </c>
      <c r="T105" s="122" t="str">
        <f>IFERROR((COUNTIFS(Database!$F:$I,CONCATENATE($B105,T$68,"W"))+COUNTIFS(Database!$F:$I,CONCATENATE(T$68,$B105,"W")))/(COUNTIFS(Database!$F:$I,CONCATENATE($B105,T$68,"L"))+COUNTIFS(Database!$F:$I,CONCATENATE(T$68,$B105,"L"))+COUNTIFS(Database!$F:$I,CONCATENATE($B105,T$68,"W"))+COUNTIFS(Database!$F:$I,CONCATENATE(T$68,$B105,"W"))),"-")</f>
        <v>-</v>
      </c>
      <c r="U105" s="122" t="str">
        <f>IFERROR((COUNTIFS(Database!$F:$I,CONCATENATE($B105,U$68,"W"))+COUNTIFS(Database!$F:$I,CONCATENATE(U$68,$B105,"W")))/(COUNTIFS(Database!$F:$I,CONCATENATE($B105,U$68,"L"))+COUNTIFS(Database!$F:$I,CONCATENATE(U$68,$B105,"L"))+COUNTIFS(Database!$F:$I,CONCATENATE($B105,U$68,"W"))+COUNTIFS(Database!$F:$I,CONCATENATE(U$68,$B105,"W"))),"-")</f>
        <v>-</v>
      </c>
      <c r="V105" s="122" t="str">
        <f>IFERROR((COUNTIFS(Database!$F:$I,CONCATENATE($B105,V$68,"W"))+COUNTIFS(Database!$F:$I,CONCATENATE(V$68,$B105,"W")))/(COUNTIFS(Database!$F:$I,CONCATENATE($B105,V$68,"L"))+COUNTIFS(Database!$F:$I,CONCATENATE(V$68,$B105,"L"))+COUNTIFS(Database!$F:$I,CONCATENATE($B105,V$68,"W"))+COUNTIFS(Database!$F:$I,CONCATENATE(V$68,$B105,"W"))),"-")</f>
        <v>-</v>
      </c>
      <c r="W105" s="122" t="str">
        <f>IFERROR((COUNTIFS(Database!$F:$I,CONCATENATE($B105,W$68,"W"))+COUNTIFS(Database!$F:$I,CONCATENATE(W$68,$B105,"W")))/(COUNTIFS(Database!$F:$I,CONCATENATE($B105,W$68,"L"))+COUNTIFS(Database!$F:$I,CONCATENATE(W$68,$B105,"L"))+COUNTIFS(Database!$F:$I,CONCATENATE($B105,W$68,"W"))+COUNTIFS(Database!$F:$I,CONCATENATE(W$68,$B105,"W"))),"-")</f>
        <v>-</v>
      </c>
      <c r="X105" s="122" t="str">
        <f>IFERROR((COUNTIFS(Database!$F:$I,CONCATENATE($B105,X$68,"W"))+COUNTIFS(Database!$F:$I,CONCATENATE(X$68,$B105,"W")))/(COUNTIFS(Database!$F:$I,CONCATENATE($B105,X$68,"L"))+COUNTIFS(Database!$F:$I,CONCATENATE(X$68,$B105,"L"))+COUNTIFS(Database!$F:$I,CONCATENATE($B105,X$68,"W"))+COUNTIFS(Database!$F:$I,CONCATENATE(X$68,$B105,"W"))),"-")</f>
        <v>-</v>
      </c>
      <c r="Y105" s="122" t="str">
        <f>IFERROR((COUNTIFS(Database!$F:$I,CONCATENATE($B105,Y$68,"W"))+COUNTIFS(Database!$F:$I,CONCATENATE(Y$68,$B105,"W")))/(COUNTIFS(Database!$F:$I,CONCATENATE($B105,Y$68,"L"))+COUNTIFS(Database!$F:$I,CONCATENATE(Y$68,$B105,"L"))+COUNTIFS(Database!$F:$I,CONCATENATE($B105,Y$68,"W"))+COUNTIFS(Database!$F:$I,CONCATENATE(Y$68,$B105,"W"))),"-")</f>
        <v>-</v>
      </c>
      <c r="Z105" s="122" t="str">
        <f>IFERROR((COUNTIFS(Database!$F:$I,CONCATENATE($B105,Z$68,"W"))+COUNTIFS(Database!$F:$I,CONCATENATE(Z$68,$B105,"W")))/(COUNTIFS(Database!$F:$I,CONCATENATE($B105,Z$68,"L"))+COUNTIFS(Database!$F:$I,CONCATENATE(Z$68,$B105,"L"))+COUNTIFS(Database!$F:$I,CONCATENATE($B105,Z$68,"W"))+COUNTIFS(Database!$F:$I,CONCATENATE(Z$68,$B105,"W"))),"-")</f>
        <v>-</v>
      </c>
      <c r="AA105" s="122" t="str">
        <f>IFERROR((COUNTIFS(Database!$F:$I,CONCATENATE($B105,AA$68,"W"))+COUNTIFS(Database!$F:$I,CONCATENATE(AA$68,$B105,"W")))/(COUNTIFS(Database!$F:$I,CONCATENATE($B105,AA$68,"L"))+COUNTIFS(Database!$F:$I,CONCATENATE(AA$68,$B105,"L"))+COUNTIFS(Database!$F:$I,CONCATENATE($B105,AA$68,"W"))+COUNTIFS(Database!$F:$I,CONCATENATE(AA$68,$B105,"W"))),"-")</f>
        <v>-</v>
      </c>
      <c r="AB105" s="122" t="str">
        <f>IFERROR((COUNTIFS(Database!$F:$I,CONCATENATE($B105,AB$68,"W"))+COUNTIFS(Database!$F:$I,CONCATENATE(AB$68,$B105,"W")))/(COUNTIFS(Database!$F:$I,CONCATENATE($B105,AB$68,"L"))+COUNTIFS(Database!$F:$I,CONCATENATE(AB$68,$B105,"L"))+COUNTIFS(Database!$F:$I,CONCATENATE($B105,AB$68,"W"))+COUNTIFS(Database!$F:$I,CONCATENATE(AB$68,$B105,"W"))),"-")</f>
        <v>-</v>
      </c>
      <c r="AC105" s="122">
        <f>IFERROR((COUNTIFS(Database!$F:$I,CONCATENATE($B105,AC$68,"W"))+COUNTIFS(Database!$F:$I,CONCATENATE(AC$68,$B105,"W")))/(COUNTIFS(Database!$F:$I,CONCATENATE($B105,AC$68,"L"))+COUNTIFS(Database!$F:$I,CONCATENATE(AC$68,$B105,"L"))+COUNTIFS(Database!$F:$I,CONCATENATE($B105,AC$68,"W"))+COUNTIFS(Database!$F:$I,CONCATENATE(AC$68,$B105,"W"))),"-")</f>
        <v>0</v>
      </c>
      <c r="AD105" s="122" t="str">
        <f>IFERROR((COUNTIFS(Database!$F:$I,CONCATENATE($B105,AD$68,"W"))+COUNTIFS(Database!$F:$I,CONCATENATE(AD$68,$B105,"W")))/(COUNTIFS(Database!$F:$I,CONCATENATE($B105,AD$68,"L"))+COUNTIFS(Database!$F:$I,CONCATENATE(AD$68,$B105,"L"))+COUNTIFS(Database!$F:$I,CONCATENATE($B105,AD$68,"W"))+COUNTIFS(Database!$F:$I,CONCATENATE(AD$68,$B105,"W"))),"-")</f>
        <v>-</v>
      </c>
      <c r="AE105" s="122" t="str">
        <f>IFERROR((COUNTIFS(Database!$F:$I,CONCATENATE($B105,AE$68,"W"))+COUNTIFS(Database!$F:$I,CONCATENATE(AE$68,$B105,"W")))/(COUNTIFS(Database!$F:$I,CONCATENATE($B105,AE$68,"L"))+COUNTIFS(Database!$F:$I,CONCATENATE(AE$68,$B105,"L"))+COUNTIFS(Database!$F:$I,CONCATENATE($B105,AE$68,"W"))+COUNTIFS(Database!$F:$I,CONCATENATE(AE$68,$B105,"W"))),"-")</f>
        <v>-</v>
      </c>
      <c r="AF105" s="122" t="str">
        <f>IFERROR((COUNTIFS(Database!$F:$I,CONCATENATE($B105,AF$68,"W"))+COUNTIFS(Database!$F:$I,CONCATENATE(AF$68,$B105,"W")))/(COUNTIFS(Database!$F:$I,CONCATENATE($B105,AF$68,"L"))+COUNTIFS(Database!$F:$I,CONCATENATE(AF$68,$B105,"L"))+COUNTIFS(Database!$F:$I,CONCATENATE($B105,AF$68,"W"))+COUNTIFS(Database!$F:$I,CONCATENATE(AF$68,$B105,"W"))),"-")</f>
        <v>-</v>
      </c>
      <c r="AG105" s="122" t="str">
        <f>IFERROR((COUNTIFS(Database!$F:$I,CONCATENATE($B105,AG$68,"W"))+COUNTIFS(Database!$F:$I,CONCATENATE(AG$68,$B105,"W")))/(COUNTIFS(Database!$F:$I,CONCATENATE($B105,AG$68,"L"))+COUNTIFS(Database!$F:$I,CONCATENATE(AG$68,$B105,"L"))+COUNTIFS(Database!$F:$I,CONCATENATE($B105,AG$68,"W"))+COUNTIFS(Database!$F:$I,CONCATENATE(AG$68,$B105,"W"))),"-")</f>
        <v>-</v>
      </c>
      <c r="AH105" s="122" t="str">
        <f>IFERROR((COUNTIFS(Database!$F:$I,CONCATENATE($B105,AH$68,"W"))+COUNTIFS(Database!$F:$I,CONCATENATE(AH$68,$B105,"W")))/(COUNTIFS(Database!$F:$I,CONCATENATE($B105,AH$68,"L"))+COUNTIFS(Database!$F:$I,CONCATENATE(AH$68,$B105,"L"))+COUNTIFS(Database!$F:$I,CONCATENATE($B105,AH$68,"W"))+COUNTIFS(Database!$F:$I,CONCATENATE(AH$68,$B105,"W"))),"-")</f>
        <v>-</v>
      </c>
      <c r="AI105" s="122" t="str">
        <f>IFERROR((COUNTIFS(Database!$F:$I,CONCATENATE($B105,AI$68,"W"))+COUNTIFS(Database!$F:$I,CONCATENATE(AI$68,$B105,"W")))/(COUNTIFS(Database!$F:$I,CONCATENATE($B105,AI$68,"L"))+COUNTIFS(Database!$F:$I,CONCATENATE(AI$68,$B105,"L"))+COUNTIFS(Database!$F:$I,CONCATENATE($B105,AI$68,"W"))+COUNTIFS(Database!$F:$I,CONCATENATE(AI$68,$B105,"W"))),"-")</f>
        <v>-</v>
      </c>
      <c r="AJ105" s="122" t="str">
        <f>IFERROR((COUNTIFS(Database!$F:$I,CONCATENATE($B105,AJ$68,"W"))+COUNTIFS(Database!$F:$I,CONCATENATE(AJ$68,$B105,"W")))/(COUNTIFS(Database!$F:$I,CONCATENATE($B105,AJ$68,"L"))+COUNTIFS(Database!$F:$I,CONCATENATE(AJ$68,$B105,"L"))+COUNTIFS(Database!$F:$I,CONCATENATE($B105,AJ$68,"W"))+COUNTIFS(Database!$F:$I,CONCATENATE(AJ$68,$B105,"W"))),"-")</f>
        <v>-</v>
      </c>
      <c r="AK105" s="122" t="str">
        <f>IFERROR((COUNTIFS(Database!$F:$I,CONCATENATE($B105,AK$68,"W"))+COUNTIFS(Database!$F:$I,CONCATENATE(AK$68,$B105,"W")))/(COUNTIFS(Database!$F:$I,CONCATENATE($B105,AK$68,"L"))+COUNTIFS(Database!$F:$I,CONCATENATE(AK$68,$B105,"L"))+COUNTIFS(Database!$F:$I,CONCATENATE($B105,AK$68,"W"))+COUNTIFS(Database!$F:$I,CONCATENATE(AK$68,$B105,"W"))),"-")</f>
        <v>-</v>
      </c>
      <c r="AL105" s="122">
        <f>IFERROR((COUNTIFS(Database!$F:$I,CONCATENATE($B105,AL$68,"W"))+COUNTIFS(Database!$F:$I,CONCATENATE(AL$68,$B105,"W")))/(COUNTIFS(Database!$F:$I,CONCATENATE($B105,AL$68,"L"))+COUNTIFS(Database!$F:$I,CONCATENATE(AL$68,$B105,"L"))+COUNTIFS(Database!$F:$I,CONCATENATE($B105,AL$68,"W"))+COUNTIFS(Database!$F:$I,CONCATENATE(AL$68,$B105,"W"))),"-")</f>
        <v>0</v>
      </c>
      <c r="AM105" s="122" t="str">
        <f>IFERROR((COUNTIFS(Database!$F:$I,CONCATENATE($B105,AM$68,"W"))+COUNTIFS(Database!$F:$I,CONCATENATE(AM$68,$B105,"W")))/(COUNTIFS(Database!$F:$I,CONCATENATE($B105,AM$68,"L"))+COUNTIFS(Database!$F:$I,CONCATENATE(AM$68,$B105,"L"))+COUNTIFS(Database!$F:$I,CONCATENATE($B105,AM$68,"W"))+COUNTIFS(Database!$F:$I,CONCATENATE(AM$68,$B105,"W"))),"-")</f>
        <v>-</v>
      </c>
      <c r="AN105" s="122" t="str">
        <f>IFERROR((COUNTIFS(Database!$F:$I,CONCATENATE($B105,AN$68,"W"))+COUNTIFS(Database!$F:$I,CONCATENATE(AN$68,$B105,"W")))/(COUNTIFS(Database!$F:$I,CONCATENATE($B105,AN$68,"L"))+COUNTIFS(Database!$F:$I,CONCATENATE(AN$68,$B105,"L"))+COUNTIFS(Database!$F:$I,CONCATENATE($B105,AN$68,"W"))+COUNTIFS(Database!$F:$I,CONCATENATE(AN$68,$B105,"W"))),"-")</f>
        <v>-</v>
      </c>
      <c r="AO105" s="122" t="str">
        <f>IFERROR((COUNTIFS(Database!$F:$I,CONCATENATE($B105,AO$68,"W"))+COUNTIFS(Database!$F:$I,CONCATENATE(AO$68,$B105,"W")))/(COUNTIFS(Database!$F:$I,CONCATENATE($B105,AO$68,"L"))+COUNTIFS(Database!$F:$I,CONCATENATE(AO$68,$B105,"L"))+COUNTIFS(Database!$F:$I,CONCATENATE($B105,AO$68,"W"))+COUNTIFS(Database!$F:$I,CONCATENATE(AO$68,$B105,"W"))),"-")</f>
        <v>-</v>
      </c>
      <c r="AP105" s="122" t="str">
        <f>IFERROR((COUNTIFS(Database!$F:$I,CONCATENATE($B105,AP$68,"W"))+COUNTIFS(Database!$F:$I,CONCATENATE(AP$68,$B105,"W")))/(COUNTIFS(Database!$F:$I,CONCATENATE($B105,AP$68,"L"))+COUNTIFS(Database!$F:$I,CONCATENATE(AP$68,$B105,"L"))+COUNTIFS(Database!$F:$I,CONCATENATE($B105,AP$68,"W"))+COUNTIFS(Database!$F:$I,CONCATENATE(AP$68,$B105,"W"))),"-")</f>
        <v>-</v>
      </c>
      <c r="AQ105" s="122" t="str">
        <f>IFERROR((COUNTIFS(Database!$F:$I,CONCATENATE($B105,AQ$68,"W"))+COUNTIFS(Database!$F:$I,CONCATENATE(AQ$68,$B105,"W")))/(COUNTIFS(Database!$F:$I,CONCATENATE($B105,AQ$68,"L"))+COUNTIFS(Database!$F:$I,CONCATENATE(AQ$68,$B105,"L"))+COUNTIFS(Database!$F:$I,CONCATENATE($B105,AQ$68,"W"))+COUNTIFS(Database!$F:$I,CONCATENATE(AQ$68,$B105,"W"))),"-")</f>
        <v>-</v>
      </c>
      <c r="AR105" s="122" t="str">
        <f>IFERROR((COUNTIFS(Database!$F:$I,CONCATENATE($B105,AR$68,"W"))+COUNTIFS(Database!$F:$I,CONCATENATE(AR$68,$B105,"W")))/(COUNTIFS(Database!$F:$I,CONCATENATE($B105,AR$68,"L"))+COUNTIFS(Database!$F:$I,CONCATENATE(AR$68,$B105,"L"))+COUNTIFS(Database!$F:$I,CONCATENATE($B105,AR$68,"W"))+COUNTIFS(Database!$F:$I,CONCATENATE(AR$68,$B105,"W"))),"-")</f>
        <v>-</v>
      </c>
      <c r="AS105" s="122" t="str">
        <f>IFERROR((COUNTIFS(Database!$F:$I,CONCATENATE($B105,AS$68,"W"))+COUNTIFS(Database!$F:$I,CONCATENATE(AS$68,$B105,"W")))/(COUNTIFS(Database!$F:$I,CONCATENATE($B105,AS$68,"L"))+COUNTIFS(Database!$F:$I,CONCATENATE(AS$68,$B105,"L"))+COUNTIFS(Database!$F:$I,CONCATENATE($B105,AS$68,"W"))+COUNTIFS(Database!$F:$I,CONCATENATE(AS$68,$B105,"W"))),"-")</f>
        <v>-</v>
      </c>
      <c r="AT105" s="122" t="str">
        <f>IFERROR((COUNTIFS(Database!$F:$I,CONCATENATE($B105,AT$68,"W"))+COUNTIFS(Database!$F:$I,CONCATENATE(AT$68,$B105,"W")))/(COUNTIFS(Database!$F:$I,CONCATENATE($B105,AT$68,"L"))+COUNTIFS(Database!$F:$I,CONCATENATE(AT$68,$B105,"L"))+COUNTIFS(Database!$F:$I,CONCATENATE($B105,AT$68,"W"))+COUNTIFS(Database!$F:$I,CONCATENATE(AT$68,$B105,"W"))),"-")</f>
        <v>-</v>
      </c>
      <c r="AU105" s="122">
        <f>IFERROR((COUNTIFS(Database!$F:$I,CONCATENATE($B105,AU$68,"W"))+COUNTIFS(Database!$F:$I,CONCATENATE(AU$68,$B105,"W")))/(COUNTIFS(Database!$F:$I,CONCATENATE($B105,AU$68,"L"))+COUNTIFS(Database!$F:$I,CONCATENATE(AU$68,$B105,"L"))+COUNTIFS(Database!$F:$I,CONCATENATE($B105,AU$68,"W"))+COUNTIFS(Database!$F:$I,CONCATENATE(AU$68,$B105,"W"))),"-")</f>
        <v>0</v>
      </c>
      <c r="AV105" s="122" t="str">
        <f>IFERROR((COUNTIFS(Database!$F:$I,CONCATENATE($B105,AV$68,"W"))+COUNTIFS(Database!$F:$I,CONCATENATE(AV$68,$B105,"W")))/(COUNTIFS(Database!$F:$I,CONCATENATE($B105,AV$68,"L"))+COUNTIFS(Database!$F:$I,CONCATENATE(AV$68,$B105,"L"))+COUNTIFS(Database!$F:$I,CONCATENATE($B105,AV$68,"W"))+COUNTIFS(Database!$F:$I,CONCATENATE(AV$68,$B105,"W"))),"-")</f>
        <v>-</v>
      </c>
      <c r="AW105" s="122" t="str">
        <f>IFERROR((COUNTIFS(Database!$F:$I,CONCATENATE($B105,AW$68,"W"))+COUNTIFS(Database!$F:$I,CONCATENATE(AW$68,$B105,"W")))/(COUNTIFS(Database!$F:$I,CONCATENATE($B105,AW$68,"L"))+COUNTIFS(Database!$F:$I,CONCATENATE(AW$68,$B105,"L"))+COUNTIFS(Database!$F:$I,CONCATENATE($B105,AW$68,"W"))+COUNTIFS(Database!$F:$I,CONCATENATE(AW$68,$B105,"W"))),"-")</f>
        <v>-</v>
      </c>
      <c r="AX105" s="122" t="str">
        <f>IFERROR((COUNTIFS(Database!$F:$I,CONCATENATE($B105,AX$68,"W"))+COUNTIFS(Database!$F:$I,CONCATENATE(AX$68,$B105,"W")))/(COUNTIFS(Database!$F:$I,CONCATENATE($B105,AX$68,"L"))+COUNTIFS(Database!$F:$I,CONCATENATE(AX$68,$B105,"L"))+COUNTIFS(Database!$F:$I,CONCATENATE($B105,AX$68,"W"))+COUNTIFS(Database!$F:$I,CONCATENATE(AX$68,$B105,"W"))),"-")</f>
        <v>-</v>
      </c>
      <c r="AY105" s="122">
        <f>IFERROR((COUNTIFS(Database!$F:$I,CONCATENATE($B105,AY$68,"W"))+COUNTIFS(Database!$F:$I,CONCATENATE(AY$68,$B105,"W")))/(COUNTIFS(Database!$F:$I,CONCATENATE($B105,AY$68,"L"))+COUNTIFS(Database!$F:$I,CONCATENATE(AY$68,$B105,"L"))+COUNTIFS(Database!$F:$I,CONCATENATE($B105,AY$68,"W"))+COUNTIFS(Database!$F:$I,CONCATENATE(AY$68,$B105,"W"))),"-")</f>
        <v>0</v>
      </c>
    </row>
    <row r="106" spans="2:51" x14ac:dyDescent="0.25">
      <c r="B106" s="120" t="s">
        <v>25</v>
      </c>
      <c r="C106" s="122" t="str">
        <f>IFERROR((COUNTIFS(Database!$F:$I,CONCATENATE($B106,C$68,"W"))+COUNTIFS(Database!$F:$I,CONCATENATE(C$68,$B106,"W")))/(COUNTIFS(Database!$F:$I,CONCATENATE($B106,C$68,"L"))+COUNTIFS(Database!$F:$I,CONCATENATE(C$68,$B106,"L"))+COUNTIFS(Database!$F:$I,CONCATENATE($B106,C$68,"W"))+COUNTIFS(Database!$F:$I,CONCATENATE(C$68,$B106,"W"))),"-")</f>
        <v>-</v>
      </c>
      <c r="D106" s="122" t="str">
        <f>IFERROR((COUNTIFS(Database!$F:$I,CONCATENATE($B106,D$68,"W"))+COUNTIFS(Database!$F:$I,CONCATENATE(D$68,$B106,"W")))/(COUNTIFS(Database!$F:$I,CONCATENATE($B106,D$68,"L"))+COUNTIFS(Database!$F:$I,CONCATENATE(D$68,$B106,"L"))+COUNTIFS(Database!$F:$I,CONCATENATE($B106,D$68,"W"))+COUNTIFS(Database!$F:$I,CONCATENATE(D$68,$B106,"W"))),"-")</f>
        <v>-</v>
      </c>
      <c r="E106" s="122" t="str">
        <f>IFERROR((COUNTIFS(Database!$F:$I,CONCATENATE($B106,E$68,"W"))+COUNTIFS(Database!$F:$I,CONCATENATE(E$68,$B106,"W")))/(COUNTIFS(Database!$F:$I,CONCATENATE($B106,E$68,"L"))+COUNTIFS(Database!$F:$I,CONCATENATE(E$68,$B106,"L"))+COUNTIFS(Database!$F:$I,CONCATENATE($B106,E$68,"W"))+COUNTIFS(Database!$F:$I,CONCATENATE(E$68,$B106,"W"))),"-")</f>
        <v>-</v>
      </c>
      <c r="F106" s="122" t="str">
        <f>IFERROR((COUNTIFS(Database!$F:$I,CONCATENATE($B106,F$68,"W"))+COUNTIFS(Database!$F:$I,CONCATENATE(F$68,$B106,"W")))/(COUNTIFS(Database!$F:$I,CONCATENATE($B106,F$68,"L"))+COUNTIFS(Database!$F:$I,CONCATENATE(F$68,$B106,"L"))+COUNTIFS(Database!$F:$I,CONCATENATE($B106,F$68,"W"))+COUNTIFS(Database!$F:$I,CONCATENATE(F$68,$B106,"W"))),"-")</f>
        <v>-</v>
      </c>
      <c r="G106" s="122" t="str">
        <f>IFERROR((COUNTIFS(Database!$F:$I,CONCATENATE($B106,G$68,"W"))+COUNTIFS(Database!$F:$I,CONCATENATE(G$68,$B106,"W")))/(COUNTIFS(Database!$F:$I,CONCATENATE($B106,G$68,"L"))+COUNTIFS(Database!$F:$I,CONCATENATE(G$68,$B106,"L"))+COUNTIFS(Database!$F:$I,CONCATENATE($B106,G$68,"W"))+COUNTIFS(Database!$F:$I,CONCATENATE(G$68,$B106,"W"))),"-")</f>
        <v>-</v>
      </c>
      <c r="H106" s="122" t="str">
        <f>IFERROR((COUNTIFS(Database!$F:$I,CONCATENATE($B106,H$68,"W"))+COUNTIFS(Database!$F:$I,CONCATENATE(H$68,$B106,"W")))/(COUNTIFS(Database!$F:$I,CONCATENATE($B106,H$68,"L"))+COUNTIFS(Database!$F:$I,CONCATENATE(H$68,$B106,"L"))+COUNTIFS(Database!$F:$I,CONCATENATE($B106,H$68,"W"))+COUNTIFS(Database!$F:$I,CONCATENATE(H$68,$B106,"W"))),"-")</f>
        <v>-</v>
      </c>
      <c r="I106" s="122" t="str">
        <f>IFERROR((COUNTIFS(Database!$F:$I,CONCATENATE($B106,I$68,"W"))+COUNTIFS(Database!$F:$I,CONCATENATE(I$68,$B106,"W")))/(COUNTIFS(Database!$F:$I,CONCATENATE($B106,I$68,"L"))+COUNTIFS(Database!$F:$I,CONCATENATE(I$68,$B106,"L"))+COUNTIFS(Database!$F:$I,CONCATENATE($B106,I$68,"W"))+COUNTIFS(Database!$F:$I,CONCATENATE(I$68,$B106,"W"))),"-")</f>
        <v>-</v>
      </c>
      <c r="J106" s="122" t="str">
        <f>IFERROR((COUNTIFS(Database!$F:$I,CONCATENATE($B106,J$68,"W"))+COUNTIFS(Database!$F:$I,CONCATENATE(J$68,$B106,"W")))/(COUNTIFS(Database!$F:$I,CONCATENATE($B106,J$68,"L"))+COUNTIFS(Database!$F:$I,CONCATENATE(J$68,$B106,"L"))+COUNTIFS(Database!$F:$I,CONCATENATE($B106,J$68,"W"))+COUNTIFS(Database!$F:$I,CONCATENATE(J$68,$B106,"W"))),"-")</f>
        <v>-</v>
      </c>
      <c r="K106" s="122" t="str">
        <f>IFERROR((COUNTIFS(Database!$F:$I,CONCATENATE($B106,K$68,"W"))+COUNTIFS(Database!$F:$I,CONCATENATE(K$68,$B106,"W")))/(COUNTIFS(Database!$F:$I,CONCATENATE($B106,K$68,"L"))+COUNTIFS(Database!$F:$I,CONCATENATE(K$68,$B106,"L"))+COUNTIFS(Database!$F:$I,CONCATENATE($B106,K$68,"W"))+COUNTIFS(Database!$F:$I,CONCATENATE(K$68,$B106,"W"))),"-")</f>
        <v>-</v>
      </c>
      <c r="L106" s="122" t="str">
        <f>IFERROR((COUNTIFS(Database!$F:$I,CONCATENATE($B106,L$68,"W"))+COUNTIFS(Database!$F:$I,CONCATENATE(L$68,$B106,"W")))/(COUNTIFS(Database!$F:$I,CONCATENATE($B106,L$68,"L"))+COUNTIFS(Database!$F:$I,CONCATENATE(L$68,$B106,"L"))+COUNTIFS(Database!$F:$I,CONCATENATE($B106,L$68,"W"))+COUNTIFS(Database!$F:$I,CONCATENATE(L$68,$B106,"W"))),"-")</f>
        <v>-</v>
      </c>
      <c r="M106" s="122" t="str">
        <f>IFERROR((COUNTIFS(Database!$F:$I,CONCATENATE($B106,M$68,"W"))+COUNTIFS(Database!$F:$I,CONCATENATE(M$68,$B106,"W")))/(COUNTIFS(Database!$F:$I,CONCATENATE($B106,M$68,"L"))+COUNTIFS(Database!$F:$I,CONCATENATE(M$68,$B106,"L"))+COUNTIFS(Database!$F:$I,CONCATENATE($B106,M$68,"W"))+COUNTIFS(Database!$F:$I,CONCATENATE(M$68,$B106,"W"))),"-")</f>
        <v>-</v>
      </c>
      <c r="N106" s="122" t="str">
        <f>IFERROR((COUNTIFS(Database!$F:$I,CONCATENATE($B106,N$68,"W"))+COUNTIFS(Database!$F:$I,CONCATENATE(N$68,$B106,"W")))/(COUNTIFS(Database!$F:$I,CONCATENATE($B106,N$68,"L"))+COUNTIFS(Database!$F:$I,CONCATENATE(N$68,$B106,"L"))+COUNTIFS(Database!$F:$I,CONCATENATE($B106,N$68,"W"))+COUNTIFS(Database!$F:$I,CONCATENATE(N$68,$B106,"W"))),"-")</f>
        <v>-</v>
      </c>
      <c r="O106" s="122" t="str">
        <f>IFERROR((COUNTIFS(Database!$F:$I,CONCATENATE($B106,O$68,"W"))+COUNTIFS(Database!$F:$I,CONCATENATE(O$68,$B106,"W")))/(COUNTIFS(Database!$F:$I,CONCATENATE($B106,O$68,"L"))+COUNTIFS(Database!$F:$I,CONCATENATE(O$68,$B106,"L"))+COUNTIFS(Database!$F:$I,CONCATENATE($B106,O$68,"W"))+COUNTIFS(Database!$F:$I,CONCATENATE(O$68,$B106,"W"))),"-")</f>
        <v>-</v>
      </c>
      <c r="P106" s="122" t="str">
        <f>IFERROR((COUNTIFS(Database!$F:$I,CONCATENATE($B106,P$68,"W"))+COUNTIFS(Database!$F:$I,CONCATENATE(P$68,$B106,"W")))/(COUNTIFS(Database!$F:$I,CONCATENATE($B106,P$68,"L"))+COUNTIFS(Database!$F:$I,CONCATENATE(P$68,$B106,"L"))+COUNTIFS(Database!$F:$I,CONCATENATE($B106,P$68,"W"))+COUNTIFS(Database!$F:$I,CONCATENATE(P$68,$B106,"W"))),"-")</f>
        <v>-</v>
      </c>
      <c r="Q106" s="122" t="str">
        <f>IFERROR((COUNTIFS(Database!$F:$I,CONCATENATE($B106,Q$68,"W"))+COUNTIFS(Database!$F:$I,CONCATENATE(Q$68,$B106,"W")))/(COUNTIFS(Database!$F:$I,CONCATENATE($B106,Q$68,"L"))+COUNTIFS(Database!$F:$I,CONCATENATE(Q$68,$B106,"L"))+COUNTIFS(Database!$F:$I,CONCATENATE($B106,Q$68,"W"))+COUNTIFS(Database!$F:$I,CONCATENATE(Q$68,$B106,"W"))),"-")</f>
        <v>-</v>
      </c>
      <c r="R106" s="122" t="str">
        <f>IFERROR((COUNTIFS(Database!$F:$I,CONCATENATE($B106,R$68,"W"))+COUNTIFS(Database!$F:$I,CONCATENATE(R$68,$B106,"W")))/(COUNTIFS(Database!$F:$I,CONCATENATE($B106,R$68,"L"))+COUNTIFS(Database!$F:$I,CONCATENATE(R$68,$B106,"L"))+COUNTIFS(Database!$F:$I,CONCATENATE($B106,R$68,"W"))+COUNTIFS(Database!$F:$I,CONCATENATE(R$68,$B106,"W"))),"-")</f>
        <v>-</v>
      </c>
      <c r="S106" s="122">
        <f>IFERROR((COUNTIFS(Database!$F:$I,CONCATENATE($B106,S$68,"W"))+COUNTIFS(Database!$F:$I,CONCATENATE(S$68,$B106,"W")))/(COUNTIFS(Database!$F:$I,CONCATENATE($B106,S$68,"L"))+COUNTIFS(Database!$F:$I,CONCATENATE(S$68,$B106,"L"))+COUNTIFS(Database!$F:$I,CONCATENATE($B106,S$68,"W"))+COUNTIFS(Database!$F:$I,CONCATENATE(S$68,$B106,"W"))),"-")</f>
        <v>0</v>
      </c>
      <c r="T106" s="122" t="str">
        <f>IFERROR((COUNTIFS(Database!$F:$I,CONCATENATE($B106,T$68,"W"))+COUNTIFS(Database!$F:$I,CONCATENATE(T$68,$B106,"W")))/(COUNTIFS(Database!$F:$I,CONCATENATE($B106,T$68,"L"))+COUNTIFS(Database!$F:$I,CONCATENATE(T$68,$B106,"L"))+COUNTIFS(Database!$F:$I,CONCATENATE($B106,T$68,"W"))+COUNTIFS(Database!$F:$I,CONCATENATE(T$68,$B106,"W"))),"-")</f>
        <v>-</v>
      </c>
      <c r="U106" s="122" t="str">
        <f>IFERROR((COUNTIFS(Database!$F:$I,CONCATENATE($B106,U$68,"W"))+COUNTIFS(Database!$F:$I,CONCATENATE(U$68,$B106,"W")))/(COUNTIFS(Database!$F:$I,CONCATENATE($B106,U$68,"L"))+COUNTIFS(Database!$F:$I,CONCATENATE(U$68,$B106,"L"))+COUNTIFS(Database!$F:$I,CONCATENATE($B106,U$68,"W"))+COUNTIFS(Database!$F:$I,CONCATENATE(U$68,$B106,"W"))),"-")</f>
        <v>-</v>
      </c>
      <c r="V106" s="122">
        <f>IFERROR((COUNTIFS(Database!$F:$I,CONCATENATE($B106,V$68,"W"))+COUNTIFS(Database!$F:$I,CONCATENATE(V$68,$B106,"W")))/(COUNTIFS(Database!$F:$I,CONCATENATE($B106,V$68,"L"))+COUNTIFS(Database!$F:$I,CONCATENATE(V$68,$B106,"L"))+COUNTIFS(Database!$F:$I,CONCATENATE($B106,V$68,"W"))+COUNTIFS(Database!$F:$I,CONCATENATE(V$68,$B106,"W"))),"-")</f>
        <v>0</v>
      </c>
      <c r="W106" s="122">
        <f>IFERROR((COUNTIFS(Database!$F:$I,CONCATENATE($B106,W$68,"W"))+COUNTIFS(Database!$F:$I,CONCATENATE(W$68,$B106,"W")))/(COUNTIFS(Database!$F:$I,CONCATENATE($B106,W$68,"L"))+COUNTIFS(Database!$F:$I,CONCATENATE(W$68,$B106,"L"))+COUNTIFS(Database!$F:$I,CONCATENATE($B106,W$68,"W"))+COUNTIFS(Database!$F:$I,CONCATENATE(W$68,$B106,"W"))),"-")</f>
        <v>0</v>
      </c>
      <c r="X106" s="122" t="str">
        <f>IFERROR((COUNTIFS(Database!$F:$I,CONCATENATE($B106,X$68,"W"))+COUNTIFS(Database!$F:$I,CONCATENATE(X$68,$B106,"W")))/(COUNTIFS(Database!$F:$I,CONCATENATE($B106,X$68,"L"))+COUNTIFS(Database!$F:$I,CONCATENATE(X$68,$B106,"L"))+COUNTIFS(Database!$F:$I,CONCATENATE($B106,X$68,"W"))+COUNTIFS(Database!$F:$I,CONCATENATE(X$68,$B106,"W"))),"-")</f>
        <v>-</v>
      </c>
      <c r="Y106" s="122" t="str">
        <f>IFERROR((COUNTIFS(Database!$F:$I,CONCATENATE($B106,Y$68,"W"))+COUNTIFS(Database!$F:$I,CONCATENATE(Y$68,$B106,"W")))/(COUNTIFS(Database!$F:$I,CONCATENATE($B106,Y$68,"L"))+COUNTIFS(Database!$F:$I,CONCATENATE(Y$68,$B106,"L"))+COUNTIFS(Database!$F:$I,CONCATENATE($B106,Y$68,"W"))+COUNTIFS(Database!$F:$I,CONCATENATE(Y$68,$B106,"W"))),"-")</f>
        <v>-</v>
      </c>
      <c r="Z106" s="122" t="str">
        <f>IFERROR((COUNTIFS(Database!$F:$I,CONCATENATE($B106,Z$68,"W"))+COUNTIFS(Database!$F:$I,CONCATENATE(Z$68,$B106,"W")))/(COUNTIFS(Database!$F:$I,CONCATENATE($B106,Z$68,"L"))+COUNTIFS(Database!$F:$I,CONCATENATE(Z$68,$B106,"L"))+COUNTIFS(Database!$F:$I,CONCATENATE($B106,Z$68,"W"))+COUNTIFS(Database!$F:$I,CONCATENATE(Z$68,$B106,"W"))),"-")</f>
        <v>-</v>
      </c>
      <c r="AA106" s="122" t="str">
        <f>IFERROR((COUNTIFS(Database!$F:$I,CONCATENATE($B106,AA$68,"W"))+COUNTIFS(Database!$F:$I,CONCATENATE(AA$68,$B106,"W")))/(COUNTIFS(Database!$F:$I,CONCATENATE($B106,AA$68,"L"))+COUNTIFS(Database!$F:$I,CONCATENATE(AA$68,$B106,"L"))+COUNTIFS(Database!$F:$I,CONCATENATE($B106,AA$68,"W"))+COUNTIFS(Database!$F:$I,CONCATENATE(AA$68,$B106,"W"))),"-")</f>
        <v>-</v>
      </c>
      <c r="AB106" s="122" t="str">
        <f>IFERROR((COUNTIFS(Database!$F:$I,CONCATENATE($B106,AB$68,"W"))+COUNTIFS(Database!$F:$I,CONCATENATE(AB$68,$B106,"W")))/(COUNTIFS(Database!$F:$I,CONCATENATE($B106,AB$68,"L"))+COUNTIFS(Database!$F:$I,CONCATENATE(AB$68,$B106,"L"))+COUNTIFS(Database!$F:$I,CONCATENATE($B106,AB$68,"W"))+COUNTIFS(Database!$F:$I,CONCATENATE(AB$68,$B106,"W"))),"-")</f>
        <v>-</v>
      </c>
      <c r="AC106" s="122" t="str">
        <f>IFERROR((COUNTIFS(Database!$F:$I,CONCATENATE($B106,AC$68,"W"))+COUNTIFS(Database!$F:$I,CONCATENATE(AC$68,$B106,"W")))/(COUNTIFS(Database!$F:$I,CONCATENATE($B106,AC$68,"L"))+COUNTIFS(Database!$F:$I,CONCATENATE(AC$68,$B106,"L"))+COUNTIFS(Database!$F:$I,CONCATENATE($B106,AC$68,"W"))+COUNTIFS(Database!$F:$I,CONCATENATE(AC$68,$B106,"W"))),"-")</f>
        <v>-</v>
      </c>
      <c r="AD106" s="122" t="str">
        <f>IFERROR((COUNTIFS(Database!$F:$I,CONCATENATE($B106,AD$68,"W"))+COUNTIFS(Database!$F:$I,CONCATENATE(AD$68,$B106,"W")))/(COUNTIFS(Database!$F:$I,CONCATENATE($B106,AD$68,"L"))+COUNTIFS(Database!$F:$I,CONCATENATE(AD$68,$B106,"L"))+COUNTIFS(Database!$F:$I,CONCATENATE($B106,AD$68,"W"))+COUNTIFS(Database!$F:$I,CONCATENATE(AD$68,$B106,"W"))),"-")</f>
        <v>-</v>
      </c>
      <c r="AE106" s="122" t="str">
        <f>IFERROR((COUNTIFS(Database!$F:$I,CONCATENATE($B106,AE$68,"W"))+COUNTIFS(Database!$F:$I,CONCATENATE(AE$68,$B106,"W")))/(COUNTIFS(Database!$F:$I,CONCATENATE($B106,AE$68,"L"))+COUNTIFS(Database!$F:$I,CONCATENATE(AE$68,$B106,"L"))+COUNTIFS(Database!$F:$I,CONCATENATE($B106,AE$68,"W"))+COUNTIFS(Database!$F:$I,CONCATENATE(AE$68,$B106,"W"))),"-")</f>
        <v>-</v>
      </c>
      <c r="AF106" s="122" t="str">
        <f>IFERROR((COUNTIFS(Database!$F:$I,CONCATENATE($B106,AF$68,"W"))+COUNTIFS(Database!$F:$I,CONCATENATE(AF$68,$B106,"W")))/(COUNTIFS(Database!$F:$I,CONCATENATE($B106,AF$68,"L"))+COUNTIFS(Database!$F:$I,CONCATENATE(AF$68,$B106,"L"))+COUNTIFS(Database!$F:$I,CONCATENATE($B106,AF$68,"W"))+COUNTIFS(Database!$F:$I,CONCATENATE(AF$68,$B106,"W"))),"-")</f>
        <v>-</v>
      </c>
      <c r="AG106" s="122" t="str">
        <f>IFERROR((COUNTIFS(Database!$F:$I,CONCATENATE($B106,AG$68,"W"))+COUNTIFS(Database!$F:$I,CONCATENATE(AG$68,$B106,"W")))/(COUNTIFS(Database!$F:$I,CONCATENATE($B106,AG$68,"L"))+COUNTIFS(Database!$F:$I,CONCATENATE(AG$68,$B106,"L"))+COUNTIFS(Database!$F:$I,CONCATENATE($B106,AG$68,"W"))+COUNTIFS(Database!$F:$I,CONCATENATE(AG$68,$B106,"W"))),"-")</f>
        <v>-</v>
      </c>
      <c r="AH106" s="122" t="str">
        <f>IFERROR((COUNTIFS(Database!$F:$I,CONCATENATE($B106,AH$68,"W"))+COUNTIFS(Database!$F:$I,CONCATENATE(AH$68,$B106,"W")))/(COUNTIFS(Database!$F:$I,CONCATENATE($B106,AH$68,"L"))+COUNTIFS(Database!$F:$I,CONCATENATE(AH$68,$B106,"L"))+COUNTIFS(Database!$F:$I,CONCATENATE($B106,AH$68,"W"))+COUNTIFS(Database!$F:$I,CONCATENATE(AH$68,$B106,"W"))),"-")</f>
        <v>-</v>
      </c>
      <c r="AI106" s="122" t="str">
        <f>IFERROR((COUNTIFS(Database!$F:$I,CONCATENATE($B106,AI$68,"W"))+COUNTIFS(Database!$F:$I,CONCATENATE(AI$68,$B106,"W")))/(COUNTIFS(Database!$F:$I,CONCATENATE($B106,AI$68,"L"))+COUNTIFS(Database!$F:$I,CONCATENATE(AI$68,$B106,"L"))+COUNTIFS(Database!$F:$I,CONCATENATE($B106,AI$68,"W"))+COUNTIFS(Database!$F:$I,CONCATENATE(AI$68,$B106,"W"))),"-")</f>
        <v>-</v>
      </c>
      <c r="AJ106" s="122" t="str">
        <f>IFERROR((COUNTIFS(Database!$F:$I,CONCATENATE($B106,AJ$68,"W"))+COUNTIFS(Database!$F:$I,CONCATENATE(AJ$68,$B106,"W")))/(COUNTIFS(Database!$F:$I,CONCATENATE($B106,AJ$68,"L"))+COUNTIFS(Database!$F:$I,CONCATENATE(AJ$68,$B106,"L"))+COUNTIFS(Database!$F:$I,CONCATENATE($B106,AJ$68,"W"))+COUNTIFS(Database!$F:$I,CONCATENATE(AJ$68,$B106,"W"))),"-")</f>
        <v>-</v>
      </c>
      <c r="AK106" s="122">
        <f>IFERROR((COUNTIFS(Database!$F:$I,CONCATENATE($B106,AK$68,"W"))+COUNTIFS(Database!$F:$I,CONCATENATE(AK$68,$B106,"W")))/(COUNTIFS(Database!$F:$I,CONCATENATE($B106,AK$68,"L"))+COUNTIFS(Database!$F:$I,CONCATENATE(AK$68,$B106,"L"))+COUNTIFS(Database!$F:$I,CONCATENATE($B106,AK$68,"W"))+COUNTIFS(Database!$F:$I,CONCATENATE(AK$68,$B106,"W"))),"-")</f>
        <v>0</v>
      </c>
      <c r="AL106" s="122" t="str">
        <f>IFERROR((COUNTIFS(Database!$F:$I,CONCATENATE($B106,AL$68,"W"))+COUNTIFS(Database!$F:$I,CONCATENATE(AL$68,$B106,"W")))/(COUNTIFS(Database!$F:$I,CONCATENATE($B106,AL$68,"L"))+COUNTIFS(Database!$F:$I,CONCATENATE(AL$68,$B106,"L"))+COUNTIFS(Database!$F:$I,CONCATENATE($B106,AL$68,"W"))+COUNTIFS(Database!$F:$I,CONCATENATE(AL$68,$B106,"W"))),"-")</f>
        <v>-</v>
      </c>
      <c r="AM106" s="122" t="str">
        <f>IFERROR((COUNTIFS(Database!$F:$I,CONCATENATE($B106,AM$68,"W"))+COUNTIFS(Database!$F:$I,CONCATENATE(AM$68,$B106,"W")))/(COUNTIFS(Database!$F:$I,CONCATENATE($B106,AM$68,"L"))+COUNTIFS(Database!$F:$I,CONCATENATE(AM$68,$B106,"L"))+COUNTIFS(Database!$F:$I,CONCATENATE($B106,AM$68,"W"))+COUNTIFS(Database!$F:$I,CONCATENATE(AM$68,$B106,"W"))),"-")</f>
        <v>-</v>
      </c>
      <c r="AN106" s="122" t="str">
        <f>IFERROR((COUNTIFS(Database!$F:$I,CONCATENATE($B106,AN$68,"W"))+COUNTIFS(Database!$F:$I,CONCATENATE(AN$68,$B106,"W")))/(COUNTIFS(Database!$F:$I,CONCATENATE($B106,AN$68,"L"))+COUNTIFS(Database!$F:$I,CONCATENATE(AN$68,$B106,"L"))+COUNTIFS(Database!$F:$I,CONCATENATE($B106,AN$68,"W"))+COUNTIFS(Database!$F:$I,CONCATENATE(AN$68,$B106,"W"))),"-")</f>
        <v>-</v>
      </c>
      <c r="AO106" s="122" t="str">
        <f>IFERROR((COUNTIFS(Database!$F:$I,CONCATENATE($B106,AO$68,"W"))+COUNTIFS(Database!$F:$I,CONCATENATE(AO$68,$B106,"W")))/(COUNTIFS(Database!$F:$I,CONCATENATE($B106,AO$68,"L"))+COUNTIFS(Database!$F:$I,CONCATENATE(AO$68,$B106,"L"))+COUNTIFS(Database!$F:$I,CONCATENATE($B106,AO$68,"W"))+COUNTIFS(Database!$F:$I,CONCATENATE(AO$68,$B106,"W"))),"-")</f>
        <v>-</v>
      </c>
      <c r="AP106" s="122" t="str">
        <f>IFERROR((COUNTIFS(Database!$F:$I,CONCATENATE($B106,AP$68,"W"))+COUNTIFS(Database!$F:$I,CONCATENATE(AP$68,$B106,"W")))/(COUNTIFS(Database!$F:$I,CONCATENATE($B106,AP$68,"L"))+COUNTIFS(Database!$F:$I,CONCATENATE(AP$68,$B106,"L"))+COUNTIFS(Database!$F:$I,CONCATENATE($B106,AP$68,"W"))+COUNTIFS(Database!$F:$I,CONCATENATE(AP$68,$B106,"W"))),"-")</f>
        <v>-</v>
      </c>
      <c r="AQ106" s="122" t="str">
        <f>IFERROR((COUNTIFS(Database!$F:$I,CONCATENATE($B106,AQ$68,"W"))+COUNTIFS(Database!$F:$I,CONCATENATE(AQ$68,$B106,"W")))/(COUNTIFS(Database!$F:$I,CONCATENATE($B106,AQ$68,"L"))+COUNTIFS(Database!$F:$I,CONCATENATE(AQ$68,$B106,"L"))+COUNTIFS(Database!$F:$I,CONCATENATE($B106,AQ$68,"W"))+COUNTIFS(Database!$F:$I,CONCATENATE(AQ$68,$B106,"W"))),"-")</f>
        <v>-</v>
      </c>
      <c r="AR106" s="122" t="str">
        <f>IFERROR((COUNTIFS(Database!$F:$I,CONCATENATE($B106,AR$68,"W"))+COUNTIFS(Database!$F:$I,CONCATENATE(AR$68,$B106,"W")))/(COUNTIFS(Database!$F:$I,CONCATENATE($B106,AR$68,"L"))+COUNTIFS(Database!$F:$I,CONCATENATE(AR$68,$B106,"L"))+COUNTIFS(Database!$F:$I,CONCATENATE($B106,AR$68,"W"))+COUNTIFS(Database!$F:$I,CONCATENATE(AR$68,$B106,"W"))),"-")</f>
        <v>-</v>
      </c>
      <c r="AS106" s="122" t="str">
        <f>IFERROR((COUNTIFS(Database!$F:$I,CONCATENATE($B106,AS$68,"W"))+COUNTIFS(Database!$F:$I,CONCATENATE(AS$68,$B106,"W")))/(COUNTIFS(Database!$F:$I,CONCATENATE($B106,AS$68,"L"))+COUNTIFS(Database!$F:$I,CONCATENATE(AS$68,$B106,"L"))+COUNTIFS(Database!$F:$I,CONCATENATE($B106,AS$68,"W"))+COUNTIFS(Database!$F:$I,CONCATENATE(AS$68,$B106,"W"))),"-")</f>
        <v>-</v>
      </c>
      <c r="AT106" s="122" t="str">
        <f>IFERROR((COUNTIFS(Database!$F:$I,CONCATENATE($B106,AT$68,"W"))+COUNTIFS(Database!$F:$I,CONCATENATE(AT$68,$B106,"W")))/(COUNTIFS(Database!$F:$I,CONCATENATE($B106,AT$68,"L"))+COUNTIFS(Database!$F:$I,CONCATENATE(AT$68,$B106,"L"))+COUNTIFS(Database!$F:$I,CONCATENATE($B106,AT$68,"W"))+COUNTIFS(Database!$F:$I,CONCATENATE(AT$68,$B106,"W"))),"-")</f>
        <v>-</v>
      </c>
      <c r="AU106" s="122" t="str">
        <f>IFERROR((COUNTIFS(Database!$F:$I,CONCATENATE($B106,AU$68,"W"))+COUNTIFS(Database!$F:$I,CONCATENATE(AU$68,$B106,"W")))/(COUNTIFS(Database!$F:$I,CONCATENATE($B106,AU$68,"L"))+COUNTIFS(Database!$F:$I,CONCATENATE(AU$68,$B106,"L"))+COUNTIFS(Database!$F:$I,CONCATENATE($B106,AU$68,"W"))+COUNTIFS(Database!$F:$I,CONCATENATE(AU$68,$B106,"W"))),"-")</f>
        <v>-</v>
      </c>
      <c r="AV106" s="122" t="str">
        <f>IFERROR((COUNTIFS(Database!$F:$I,CONCATENATE($B106,AV$68,"W"))+COUNTIFS(Database!$F:$I,CONCATENATE(AV$68,$B106,"W")))/(COUNTIFS(Database!$F:$I,CONCATENATE($B106,AV$68,"L"))+COUNTIFS(Database!$F:$I,CONCATENATE(AV$68,$B106,"L"))+COUNTIFS(Database!$F:$I,CONCATENATE($B106,AV$68,"W"))+COUNTIFS(Database!$F:$I,CONCATENATE(AV$68,$B106,"W"))),"-")</f>
        <v>-</v>
      </c>
      <c r="AW106" s="122" t="str">
        <f>IFERROR((COUNTIFS(Database!$F:$I,CONCATENATE($B106,AW$68,"W"))+COUNTIFS(Database!$F:$I,CONCATENATE(AW$68,$B106,"W")))/(COUNTIFS(Database!$F:$I,CONCATENATE($B106,AW$68,"L"))+COUNTIFS(Database!$F:$I,CONCATENATE(AW$68,$B106,"L"))+COUNTIFS(Database!$F:$I,CONCATENATE($B106,AW$68,"W"))+COUNTIFS(Database!$F:$I,CONCATENATE(AW$68,$B106,"W"))),"-")</f>
        <v>-</v>
      </c>
      <c r="AX106" s="122" t="str">
        <f>IFERROR((COUNTIFS(Database!$F:$I,CONCATENATE($B106,AX$68,"W"))+COUNTIFS(Database!$F:$I,CONCATENATE(AX$68,$B106,"W")))/(COUNTIFS(Database!$F:$I,CONCATENATE($B106,AX$68,"L"))+COUNTIFS(Database!$F:$I,CONCATENATE(AX$68,$B106,"L"))+COUNTIFS(Database!$F:$I,CONCATENATE($B106,AX$68,"W"))+COUNTIFS(Database!$F:$I,CONCATENATE(AX$68,$B106,"W"))),"-")</f>
        <v>-</v>
      </c>
      <c r="AY106" s="122" t="str">
        <f>IFERROR((COUNTIFS(Database!$F:$I,CONCATENATE($B106,AY$68,"W"))+COUNTIFS(Database!$F:$I,CONCATENATE(AY$68,$B106,"W")))/(COUNTIFS(Database!$F:$I,CONCATENATE($B106,AY$68,"L"))+COUNTIFS(Database!$F:$I,CONCATENATE(AY$68,$B106,"L"))+COUNTIFS(Database!$F:$I,CONCATENATE($B106,AY$68,"W"))+COUNTIFS(Database!$F:$I,CONCATENATE(AY$68,$B106,"W"))),"-")</f>
        <v>-</v>
      </c>
    </row>
    <row r="107" spans="2:51" x14ac:dyDescent="0.25">
      <c r="B107" s="120" t="s">
        <v>32</v>
      </c>
      <c r="C107" s="122">
        <f>IFERROR((COUNTIFS(Database!$F:$I,CONCATENATE($B107,C$68,"W"))+COUNTIFS(Database!$F:$I,CONCATENATE(C$68,$B107,"W")))/(COUNTIFS(Database!$F:$I,CONCATENATE($B107,C$68,"L"))+COUNTIFS(Database!$F:$I,CONCATENATE(C$68,$B107,"L"))+COUNTIFS(Database!$F:$I,CONCATENATE($B107,C$68,"W"))+COUNTIFS(Database!$F:$I,CONCATENATE(C$68,$B107,"W"))),"-")</f>
        <v>0.44444444444444442</v>
      </c>
      <c r="D107" s="122">
        <f>IFERROR((COUNTIFS(Database!$F:$I,CONCATENATE($B107,D$68,"W"))+COUNTIFS(Database!$F:$I,CONCATENATE(D$68,$B107,"W")))/(COUNTIFS(Database!$F:$I,CONCATENATE($B107,D$68,"L"))+COUNTIFS(Database!$F:$I,CONCATENATE(D$68,$B107,"L"))+COUNTIFS(Database!$F:$I,CONCATENATE($B107,D$68,"W"))+COUNTIFS(Database!$F:$I,CONCATENATE(D$68,$B107,"W"))),"-")</f>
        <v>1</v>
      </c>
      <c r="E107" s="122">
        <f>IFERROR((COUNTIFS(Database!$F:$I,CONCATENATE($B107,E$68,"W"))+COUNTIFS(Database!$F:$I,CONCATENATE(E$68,$B107,"W")))/(COUNTIFS(Database!$F:$I,CONCATENATE($B107,E$68,"L"))+COUNTIFS(Database!$F:$I,CONCATENATE(E$68,$B107,"L"))+COUNTIFS(Database!$F:$I,CONCATENATE($B107,E$68,"W"))+COUNTIFS(Database!$F:$I,CONCATENATE(E$68,$B107,"W"))),"-")</f>
        <v>1</v>
      </c>
      <c r="F107" s="122">
        <f>IFERROR((COUNTIFS(Database!$F:$I,CONCATENATE($B107,F$68,"W"))+COUNTIFS(Database!$F:$I,CONCATENATE(F$68,$B107,"W")))/(COUNTIFS(Database!$F:$I,CONCATENATE($B107,F$68,"L"))+COUNTIFS(Database!$F:$I,CONCATENATE(F$68,$B107,"L"))+COUNTIFS(Database!$F:$I,CONCATENATE($B107,F$68,"W"))+COUNTIFS(Database!$F:$I,CONCATENATE(F$68,$B107,"W"))),"-")</f>
        <v>0</v>
      </c>
      <c r="G107" s="122" t="str">
        <f>IFERROR((COUNTIFS(Database!$F:$I,CONCATENATE($B107,G$68,"W"))+COUNTIFS(Database!$F:$I,CONCATENATE(G$68,$B107,"W")))/(COUNTIFS(Database!$F:$I,CONCATENATE($B107,G$68,"L"))+COUNTIFS(Database!$F:$I,CONCATENATE(G$68,$B107,"L"))+COUNTIFS(Database!$F:$I,CONCATENATE($B107,G$68,"W"))+COUNTIFS(Database!$F:$I,CONCATENATE(G$68,$B107,"W"))),"-")</f>
        <v>-</v>
      </c>
      <c r="H107" s="122" t="str">
        <f>IFERROR((COUNTIFS(Database!$F:$I,CONCATENATE($B107,H$68,"W"))+COUNTIFS(Database!$F:$I,CONCATENATE(H$68,$B107,"W")))/(COUNTIFS(Database!$F:$I,CONCATENATE($B107,H$68,"L"))+COUNTIFS(Database!$F:$I,CONCATENATE(H$68,$B107,"L"))+COUNTIFS(Database!$F:$I,CONCATENATE($B107,H$68,"W"))+COUNTIFS(Database!$F:$I,CONCATENATE(H$68,$B107,"W"))),"-")</f>
        <v>-</v>
      </c>
      <c r="I107" s="122">
        <f>IFERROR((COUNTIFS(Database!$F:$I,CONCATENATE($B107,I$68,"W"))+COUNTIFS(Database!$F:$I,CONCATENATE(I$68,$B107,"W")))/(COUNTIFS(Database!$F:$I,CONCATENATE($B107,I$68,"L"))+COUNTIFS(Database!$F:$I,CONCATENATE(I$68,$B107,"L"))+COUNTIFS(Database!$F:$I,CONCATENATE($B107,I$68,"W"))+COUNTIFS(Database!$F:$I,CONCATENATE(I$68,$B107,"W"))),"-")</f>
        <v>0.33333333333333331</v>
      </c>
      <c r="J107" s="122">
        <f>IFERROR((COUNTIFS(Database!$F:$I,CONCATENATE($B107,J$68,"W"))+COUNTIFS(Database!$F:$I,CONCATENATE(J$68,$B107,"W")))/(COUNTIFS(Database!$F:$I,CONCATENATE($B107,J$68,"L"))+COUNTIFS(Database!$F:$I,CONCATENATE(J$68,$B107,"L"))+COUNTIFS(Database!$F:$I,CONCATENATE($B107,J$68,"W"))+COUNTIFS(Database!$F:$I,CONCATENATE(J$68,$B107,"W"))),"-")</f>
        <v>0.16666666666666666</v>
      </c>
      <c r="K107" s="122">
        <f>IFERROR((COUNTIFS(Database!$F:$I,CONCATENATE($B107,K$68,"W"))+COUNTIFS(Database!$F:$I,CONCATENATE(K$68,$B107,"W")))/(COUNTIFS(Database!$F:$I,CONCATENATE($B107,K$68,"L"))+COUNTIFS(Database!$F:$I,CONCATENATE(K$68,$B107,"L"))+COUNTIFS(Database!$F:$I,CONCATENATE($B107,K$68,"W"))+COUNTIFS(Database!$F:$I,CONCATENATE(K$68,$B107,"W"))),"-")</f>
        <v>0.4</v>
      </c>
      <c r="L107" s="122" t="str">
        <f>IFERROR((COUNTIFS(Database!$F:$I,CONCATENATE($B107,L$68,"W"))+COUNTIFS(Database!$F:$I,CONCATENATE(L$68,$B107,"W")))/(COUNTIFS(Database!$F:$I,CONCATENATE($B107,L$68,"L"))+COUNTIFS(Database!$F:$I,CONCATENATE(L$68,$B107,"L"))+COUNTIFS(Database!$F:$I,CONCATENATE($B107,L$68,"W"))+COUNTIFS(Database!$F:$I,CONCATENATE(L$68,$B107,"W"))),"-")</f>
        <v>-</v>
      </c>
      <c r="M107" s="122" t="str">
        <f>IFERROR((COUNTIFS(Database!$F:$I,CONCATENATE($B107,M$68,"W"))+COUNTIFS(Database!$F:$I,CONCATENATE(M$68,$B107,"W")))/(COUNTIFS(Database!$F:$I,CONCATENATE($B107,M$68,"L"))+COUNTIFS(Database!$F:$I,CONCATENATE(M$68,$B107,"L"))+COUNTIFS(Database!$F:$I,CONCATENATE($B107,M$68,"W"))+COUNTIFS(Database!$F:$I,CONCATENATE(M$68,$B107,"W"))),"-")</f>
        <v>-</v>
      </c>
      <c r="N107" s="122">
        <f>IFERROR((COUNTIFS(Database!$F:$I,CONCATENATE($B107,N$68,"W"))+COUNTIFS(Database!$F:$I,CONCATENATE(N$68,$B107,"W")))/(COUNTIFS(Database!$F:$I,CONCATENATE($B107,N$68,"L"))+COUNTIFS(Database!$F:$I,CONCATENATE(N$68,$B107,"L"))+COUNTIFS(Database!$F:$I,CONCATENATE($B107,N$68,"W"))+COUNTIFS(Database!$F:$I,CONCATENATE(N$68,$B107,"W"))),"-")</f>
        <v>0</v>
      </c>
      <c r="O107" s="122">
        <f>IFERROR((COUNTIFS(Database!$F:$I,CONCATENATE($B107,O$68,"W"))+COUNTIFS(Database!$F:$I,CONCATENATE(O$68,$B107,"W")))/(COUNTIFS(Database!$F:$I,CONCATENATE($B107,O$68,"L"))+COUNTIFS(Database!$F:$I,CONCATENATE(O$68,$B107,"L"))+COUNTIFS(Database!$F:$I,CONCATENATE($B107,O$68,"W"))+COUNTIFS(Database!$F:$I,CONCATENATE(O$68,$B107,"W"))),"-")</f>
        <v>0.33333333333333331</v>
      </c>
      <c r="P107" s="122" t="str">
        <f>IFERROR((COUNTIFS(Database!$F:$I,CONCATENATE($B107,P$68,"W"))+COUNTIFS(Database!$F:$I,CONCATENATE(P$68,$B107,"W")))/(COUNTIFS(Database!$F:$I,CONCATENATE($B107,P$68,"L"))+COUNTIFS(Database!$F:$I,CONCATENATE(P$68,$B107,"L"))+COUNTIFS(Database!$F:$I,CONCATENATE($B107,P$68,"W"))+COUNTIFS(Database!$F:$I,CONCATENATE(P$68,$B107,"W"))),"-")</f>
        <v>-</v>
      </c>
      <c r="Q107" s="122" t="str">
        <f>IFERROR((COUNTIFS(Database!$F:$I,CONCATENATE($B107,Q$68,"W"))+COUNTIFS(Database!$F:$I,CONCATENATE(Q$68,$B107,"W")))/(COUNTIFS(Database!$F:$I,CONCATENATE($B107,Q$68,"L"))+COUNTIFS(Database!$F:$I,CONCATENATE(Q$68,$B107,"L"))+COUNTIFS(Database!$F:$I,CONCATENATE($B107,Q$68,"W"))+COUNTIFS(Database!$F:$I,CONCATENATE(Q$68,$B107,"W"))),"-")</f>
        <v>-</v>
      </c>
      <c r="R107" s="122" t="str">
        <f>IFERROR((COUNTIFS(Database!$F:$I,CONCATENATE($B107,R$68,"W"))+COUNTIFS(Database!$F:$I,CONCATENATE(R$68,$B107,"W")))/(COUNTIFS(Database!$F:$I,CONCATENATE($B107,R$68,"L"))+COUNTIFS(Database!$F:$I,CONCATENATE(R$68,$B107,"L"))+COUNTIFS(Database!$F:$I,CONCATENATE($B107,R$68,"W"))+COUNTIFS(Database!$F:$I,CONCATENATE(R$68,$B107,"W"))),"-")</f>
        <v>-</v>
      </c>
      <c r="S107" s="122">
        <f>IFERROR((COUNTIFS(Database!$F:$I,CONCATENATE($B107,S$68,"W"))+COUNTIFS(Database!$F:$I,CONCATENATE(S$68,$B107,"W")))/(COUNTIFS(Database!$F:$I,CONCATENATE($B107,S$68,"L"))+COUNTIFS(Database!$F:$I,CONCATENATE(S$68,$B107,"L"))+COUNTIFS(Database!$F:$I,CONCATENATE($B107,S$68,"W"))+COUNTIFS(Database!$F:$I,CONCATENATE(S$68,$B107,"W"))),"-")</f>
        <v>0.33333333333333331</v>
      </c>
      <c r="T107" s="122">
        <f>IFERROR((COUNTIFS(Database!$F:$I,CONCATENATE($B107,T$68,"W"))+COUNTIFS(Database!$F:$I,CONCATENATE(T$68,$B107,"W")))/(COUNTIFS(Database!$F:$I,CONCATENATE($B107,T$68,"L"))+COUNTIFS(Database!$F:$I,CONCATENATE(T$68,$B107,"L"))+COUNTIFS(Database!$F:$I,CONCATENATE($B107,T$68,"W"))+COUNTIFS(Database!$F:$I,CONCATENATE(T$68,$B107,"W"))),"-")</f>
        <v>0.33333333333333331</v>
      </c>
      <c r="U107" s="122" t="str">
        <f>IFERROR((COUNTIFS(Database!$F:$I,CONCATENATE($B107,U$68,"W"))+COUNTIFS(Database!$F:$I,CONCATENATE(U$68,$B107,"W")))/(COUNTIFS(Database!$F:$I,CONCATENATE($B107,U$68,"L"))+COUNTIFS(Database!$F:$I,CONCATENATE(U$68,$B107,"L"))+COUNTIFS(Database!$F:$I,CONCATENATE($B107,U$68,"W"))+COUNTIFS(Database!$F:$I,CONCATENATE(U$68,$B107,"W"))),"-")</f>
        <v>-</v>
      </c>
      <c r="V107" s="122" t="str">
        <f>IFERROR((COUNTIFS(Database!$F:$I,CONCATENATE($B107,V$68,"W"))+COUNTIFS(Database!$F:$I,CONCATENATE(V$68,$B107,"W")))/(COUNTIFS(Database!$F:$I,CONCATENATE($B107,V$68,"L"))+COUNTIFS(Database!$F:$I,CONCATENATE(V$68,$B107,"L"))+COUNTIFS(Database!$F:$I,CONCATENATE($B107,V$68,"W"))+COUNTIFS(Database!$F:$I,CONCATENATE(V$68,$B107,"W"))),"-")</f>
        <v>-</v>
      </c>
      <c r="W107" s="122">
        <f>IFERROR((COUNTIFS(Database!$F:$I,CONCATENATE($B107,W$68,"W"))+COUNTIFS(Database!$F:$I,CONCATENATE(W$68,$B107,"W")))/(COUNTIFS(Database!$F:$I,CONCATENATE($B107,W$68,"L"))+COUNTIFS(Database!$F:$I,CONCATENATE(W$68,$B107,"L"))+COUNTIFS(Database!$F:$I,CONCATENATE($B107,W$68,"W"))+COUNTIFS(Database!$F:$I,CONCATENATE(W$68,$B107,"W"))),"-")</f>
        <v>0.66666666666666663</v>
      </c>
      <c r="X107" s="122">
        <f>IFERROR((COUNTIFS(Database!$F:$I,CONCATENATE($B107,X$68,"W"))+COUNTIFS(Database!$F:$I,CONCATENATE(X$68,$B107,"W")))/(COUNTIFS(Database!$F:$I,CONCATENATE($B107,X$68,"L"))+COUNTIFS(Database!$F:$I,CONCATENATE(X$68,$B107,"L"))+COUNTIFS(Database!$F:$I,CONCATENATE($B107,X$68,"W"))+COUNTIFS(Database!$F:$I,CONCATENATE(X$68,$B107,"W"))),"-")</f>
        <v>0</v>
      </c>
      <c r="Y107" s="122" t="str">
        <f>IFERROR((COUNTIFS(Database!$F:$I,CONCATENATE($B107,Y$68,"W"))+COUNTIFS(Database!$F:$I,CONCATENATE(Y$68,$B107,"W")))/(COUNTIFS(Database!$F:$I,CONCATENATE($B107,Y$68,"L"))+COUNTIFS(Database!$F:$I,CONCATENATE(Y$68,$B107,"L"))+COUNTIFS(Database!$F:$I,CONCATENATE($B107,Y$68,"W"))+COUNTIFS(Database!$F:$I,CONCATENATE(Y$68,$B107,"W"))),"-")</f>
        <v>-</v>
      </c>
      <c r="Z107" s="122" t="str">
        <f>IFERROR((COUNTIFS(Database!$F:$I,CONCATENATE($B107,Z$68,"W"))+COUNTIFS(Database!$F:$I,CONCATENATE(Z$68,$B107,"W")))/(COUNTIFS(Database!$F:$I,CONCATENATE($B107,Z$68,"L"))+COUNTIFS(Database!$F:$I,CONCATENATE(Z$68,$B107,"L"))+COUNTIFS(Database!$F:$I,CONCATENATE($B107,Z$68,"W"))+COUNTIFS(Database!$F:$I,CONCATENATE(Z$68,$B107,"W"))),"-")</f>
        <v>-</v>
      </c>
      <c r="AA107" s="122">
        <f>IFERROR((COUNTIFS(Database!$F:$I,CONCATENATE($B107,AA$68,"W"))+COUNTIFS(Database!$F:$I,CONCATENATE(AA$68,$B107,"W")))/(COUNTIFS(Database!$F:$I,CONCATENATE($B107,AA$68,"L"))+COUNTIFS(Database!$F:$I,CONCATENATE(AA$68,$B107,"L"))+COUNTIFS(Database!$F:$I,CONCATENATE($B107,AA$68,"W"))+COUNTIFS(Database!$F:$I,CONCATENATE(AA$68,$B107,"W"))),"-")</f>
        <v>1</v>
      </c>
      <c r="AB107" s="122">
        <f>IFERROR((COUNTIFS(Database!$F:$I,CONCATENATE($B107,AB$68,"W"))+COUNTIFS(Database!$F:$I,CONCATENATE(AB$68,$B107,"W")))/(COUNTIFS(Database!$F:$I,CONCATENATE($B107,AB$68,"L"))+COUNTIFS(Database!$F:$I,CONCATENATE(AB$68,$B107,"L"))+COUNTIFS(Database!$F:$I,CONCATENATE($B107,AB$68,"W"))+COUNTIFS(Database!$F:$I,CONCATENATE(AB$68,$B107,"W"))),"-")</f>
        <v>0.4</v>
      </c>
      <c r="AC107" s="122">
        <f>IFERROR((COUNTIFS(Database!$F:$I,CONCATENATE($B107,AC$68,"W"))+COUNTIFS(Database!$F:$I,CONCATENATE(AC$68,$B107,"W")))/(COUNTIFS(Database!$F:$I,CONCATENATE($B107,AC$68,"L"))+COUNTIFS(Database!$F:$I,CONCATENATE(AC$68,$B107,"L"))+COUNTIFS(Database!$F:$I,CONCATENATE($B107,AC$68,"W"))+COUNTIFS(Database!$F:$I,CONCATENATE(AC$68,$B107,"W"))),"-")</f>
        <v>0.6</v>
      </c>
      <c r="AD107" s="122">
        <f>IFERROR((COUNTIFS(Database!$F:$I,CONCATENATE($B107,AD$68,"W"))+COUNTIFS(Database!$F:$I,CONCATENATE(AD$68,$B107,"W")))/(COUNTIFS(Database!$F:$I,CONCATENATE($B107,AD$68,"L"))+COUNTIFS(Database!$F:$I,CONCATENATE(AD$68,$B107,"L"))+COUNTIFS(Database!$F:$I,CONCATENATE($B107,AD$68,"W"))+COUNTIFS(Database!$F:$I,CONCATENATE(AD$68,$B107,"W"))),"-")</f>
        <v>0.5</v>
      </c>
      <c r="AE107" s="122" t="str">
        <f>IFERROR((COUNTIFS(Database!$F:$I,CONCATENATE($B107,AE$68,"W"))+COUNTIFS(Database!$F:$I,CONCATENATE(AE$68,$B107,"W")))/(COUNTIFS(Database!$F:$I,CONCATENATE($B107,AE$68,"L"))+COUNTIFS(Database!$F:$I,CONCATENATE(AE$68,$B107,"L"))+COUNTIFS(Database!$F:$I,CONCATENATE($B107,AE$68,"W"))+COUNTIFS(Database!$F:$I,CONCATENATE(AE$68,$B107,"W"))),"-")</f>
        <v>-</v>
      </c>
      <c r="AF107" s="122" t="str">
        <f>IFERROR((COUNTIFS(Database!$F:$I,CONCATENATE($B107,AF$68,"W"))+COUNTIFS(Database!$F:$I,CONCATENATE(AF$68,$B107,"W")))/(COUNTIFS(Database!$F:$I,CONCATENATE($B107,AF$68,"L"))+COUNTIFS(Database!$F:$I,CONCATENATE(AF$68,$B107,"L"))+COUNTIFS(Database!$F:$I,CONCATENATE($B107,AF$68,"W"))+COUNTIFS(Database!$F:$I,CONCATENATE(AF$68,$B107,"W"))),"-")</f>
        <v>-</v>
      </c>
      <c r="AG107" s="122">
        <f>IFERROR((COUNTIFS(Database!$F:$I,CONCATENATE($B107,AG$68,"W"))+COUNTIFS(Database!$F:$I,CONCATENATE(AG$68,$B107,"W")))/(COUNTIFS(Database!$F:$I,CONCATENATE($B107,AG$68,"L"))+COUNTIFS(Database!$F:$I,CONCATENATE(AG$68,$B107,"L"))+COUNTIFS(Database!$F:$I,CONCATENATE($B107,AG$68,"W"))+COUNTIFS(Database!$F:$I,CONCATENATE(AG$68,$B107,"W"))),"-")</f>
        <v>1</v>
      </c>
      <c r="AH107" s="122" t="str">
        <f>IFERROR((COUNTIFS(Database!$F:$I,CONCATENATE($B107,AH$68,"W"))+COUNTIFS(Database!$F:$I,CONCATENATE(AH$68,$B107,"W")))/(COUNTIFS(Database!$F:$I,CONCATENATE($B107,AH$68,"L"))+COUNTIFS(Database!$F:$I,CONCATENATE(AH$68,$B107,"L"))+COUNTIFS(Database!$F:$I,CONCATENATE($B107,AH$68,"W"))+COUNTIFS(Database!$F:$I,CONCATENATE(AH$68,$B107,"W"))),"-")</f>
        <v>-</v>
      </c>
      <c r="AI107" s="122">
        <f>IFERROR((COUNTIFS(Database!$F:$I,CONCATENATE($B107,AI$68,"W"))+COUNTIFS(Database!$F:$I,CONCATENATE(AI$68,$B107,"W")))/(COUNTIFS(Database!$F:$I,CONCATENATE($B107,AI$68,"L"))+COUNTIFS(Database!$F:$I,CONCATENATE(AI$68,$B107,"L"))+COUNTIFS(Database!$F:$I,CONCATENATE($B107,AI$68,"W"))+COUNTIFS(Database!$F:$I,CONCATENATE(AI$68,$B107,"W"))),"-")</f>
        <v>0.75</v>
      </c>
      <c r="AJ107" s="122">
        <f>IFERROR((COUNTIFS(Database!$F:$I,CONCATENATE($B107,AJ$68,"W"))+COUNTIFS(Database!$F:$I,CONCATENATE(AJ$68,$B107,"W")))/(COUNTIFS(Database!$F:$I,CONCATENATE($B107,AJ$68,"L"))+COUNTIFS(Database!$F:$I,CONCATENATE(AJ$68,$B107,"L"))+COUNTIFS(Database!$F:$I,CONCATENATE($B107,AJ$68,"W"))+COUNTIFS(Database!$F:$I,CONCATENATE(AJ$68,$B107,"W"))),"-")</f>
        <v>1</v>
      </c>
      <c r="AK107" s="122">
        <f>IFERROR((COUNTIFS(Database!$F:$I,CONCATENATE($B107,AK$68,"W"))+COUNTIFS(Database!$F:$I,CONCATENATE(AK$68,$B107,"W")))/(COUNTIFS(Database!$F:$I,CONCATENATE($B107,AK$68,"L"))+COUNTIFS(Database!$F:$I,CONCATENATE(AK$68,$B107,"L"))+COUNTIFS(Database!$F:$I,CONCATENATE($B107,AK$68,"W"))+COUNTIFS(Database!$F:$I,CONCATENATE(AK$68,$B107,"W"))),"-")</f>
        <v>0.66666666666666663</v>
      </c>
      <c r="AL107" s="122">
        <f>IFERROR((COUNTIFS(Database!$F:$I,CONCATENATE($B107,AL$68,"W"))+COUNTIFS(Database!$F:$I,CONCATENATE(AL$68,$B107,"W")))/(COUNTIFS(Database!$F:$I,CONCATENATE($B107,AL$68,"L"))+COUNTIFS(Database!$F:$I,CONCATENATE(AL$68,$B107,"L"))+COUNTIFS(Database!$F:$I,CONCATENATE($B107,AL$68,"W"))+COUNTIFS(Database!$F:$I,CONCATENATE(AL$68,$B107,"W"))),"-")</f>
        <v>1</v>
      </c>
      <c r="AM107" s="122" t="str">
        <f>IFERROR((COUNTIFS(Database!$F:$I,CONCATENATE($B107,AM$68,"W"))+COUNTIFS(Database!$F:$I,CONCATENATE(AM$68,$B107,"W")))/(COUNTIFS(Database!$F:$I,CONCATENATE($B107,AM$68,"L"))+COUNTIFS(Database!$F:$I,CONCATENATE(AM$68,$B107,"L"))+COUNTIFS(Database!$F:$I,CONCATENATE($B107,AM$68,"W"))+COUNTIFS(Database!$F:$I,CONCATENATE(AM$68,$B107,"W"))),"-")</f>
        <v>-</v>
      </c>
      <c r="AN107" s="122" t="str">
        <f>IFERROR((COUNTIFS(Database!$F:$I,CONCATENATE($B107,AN$68,"W"))+COUNTIFS(Database!$F:$I,CONCATENATE(AN$68,$B107,"W")))/(COUNTIFS(Database!$F:$I,CONCATENATE($B107,AN$68,"L"))+COUNTIFS(Database!$F:$I,CONCATENATE(AN$68,$B107,"L"))+COUNTIFS(Database!$F:$I,CONCATENATE($B107,AN$68,"W"))+COUNTIFS(Database!$F:$I,CONCATENATE(AN$68,$B107,"W"))),"-")</f>
        <v>-</v>
      </c>
      <c r="AO107" s="122" t="str">
        <f>IFERROR((COUNTIFS(Database!$F:$I,CONCATENATE($B107,AO$68,"W"))+COUNTIFS(Database!$F:$I,CONCATENATE(AO$68,$B107,"W")))/(COUNTIFS(Database!$F:$I,CONCATENATE($B107,AO$68,"L"))+COUNTIFS(Database!$F:$I,CONCATENATE(AO$68,$B107,"L"))+COUNTIFS(Database!$F:$I,CONCATENATE($B107,AO$68,"W"))+COUNTIFS(Database!$F:$I,CONCATENATE(AO$68,$B107,"W"))),"-")</f>
        <v>-</v>
      </c>
      <c r="AP107" s="122" t="str">
        <f>IFERROR((COUNTIFS(Database!$F:$I,CONCATENATE($B107,AP$68,"W"))+COUNTIFS(Database!$F:$I,CONCATENATE(AP$68,$B107,"W")))/(COUNTIFS(Database!$F:$I,CONCATENATE($B107,AP$68,"L"))+COUNTIFS(Database!$F:$I,CONCATENATE(AP$68,$B107,"L"))+COUNTIFS(Database!$F:$I,CONCATENATE($B107,AP$68,"W"))+COUNTIFS(Database!$F:$I,CONCATENATE(AP$68,$B107,"W"))),"-")</f>
        <v>-</v>
      </c>
      <c r="AQ107" s="122">
        <f>IFERROR((COUNTIFS(Database!$F:$I,CONCATENATE($B107,AQ$68,"W"))+COUNTIFS(Database!$F:$I,CONCATENATE(AQ$68,$B107,"W")))/(COUNTIFS(Database!$F:$I,CONCATENATE($B107,AQ$68,"L"))+COUNTIFS(Database!$F:$I,CONCATENATE(AQ$68,$B107,"L"))+COUNTIFS(Database!$F:$I,CONCATENATE($B107,AQ$68,"W"))+COUNTIFS(Database!$F:$I,CONCATENATE(AQ$68,$B107,"W"))),"-")</f>
        <v>0.5</v>
      </c>
      <c r="AR107" s="122">
        <f>IFERROR((COUNTIFS(Database!$F:$I,CONCATENATE($B107,AR$68,"W"))+COUNTIFS(Database!$F:$I,CONCATENATE(AR$68,$B107,"W")))/(COUNTIFS(Database!$F:$I,CONCATENATE($B107,AR$68,"L"))+COUNTIFS(Database!$F:$I,CONCATENATE(AR$68,$B107,"L"))+COUNTIFS(Database!$F:$I,CONCATENATE($B107,AR$68,"W"))+COUNTIFS(Database!$F:$I,CONCATENATE(AR$68,$B107,"W"))),"-")</f>
        <v>0.66666666666666663</v>
      </c>
      <c r="AS107" s="122" t="str">
        <f>IFERROR((COUNTIFS(Database!$F:$I,CONCATENATE($B107,AS$68,"W"))+COUNTIFS(Database!$F:$I,CONCATENATE(AS$68,$B107,"W")))/(COUNTIFS(Database!$F:$I,CONCATENATE($B107,AS$68,"L"))+COUNTIFS(Database!$F:$I,CONCATENATE(AS$68,$B107,"L"))+COUNTIFS(Database!$F:$I,CONCATENATE($B107,AS$68,"W"))+COUNTIFS(Database!$F:$I,CONCATENATE(AS$68,$B107,"W"))),"-")</f>
        <v>-</v>
      </c>
      <c r="AT107" s="122" t="str">
        <f>IFERROR((COUNTIFS(Database!$F:$I,CONCATENATE($B107,AT$68,"W"))+COUNTIFS(Database!$F:$I,CONCATENATE(AT$68,$B107,"W")))/(COUNTIFS(Database!$F:$I,CONCATENATE($B107,AT$68,"L"))+COUNTIFS(Database!$F:$I,CONCATENATE(AT$68,$B107,"L"))+COUNTIFS(Database!$F:$I,CONCATENATE($B107,AT$68,"W"))+COUNTIFS(Database!$F:$I,CONCATENATE(AT$68,$B107,"W"))),"-")</f>
        <v>-</v>
      </c>
      <c r="AU107" s="122">
        <f>IFERROR((COUNTIFS(Database!$F:$I,CONCATENATE($B107,AU$68,"W"))+COUNTIFS(Database!$F:$I,CONCATENATE(AU$68,$B107,"W")))/(COUNTIFS(Database!$F:$I,CONCATENATE($B107,AU$68,"L"))+COUNTIFS(Database!$F:$I,CONCATENATE(AU$68,$B107,"L"))+COUNTIFS(Database!$F:$I,CONCATENATE($B107,AU$68,"W"))+COUNTIFS(Database!$F:$I,CONCATENATE(AU$68,$B107,"W"))),"-")</f>
        <v>0</v>
      </c>
      <c r="AV107" s="122">
        <f>IFERROR((COUNTIFS(Database!$F:$I,CONCATENATE($B107,AV$68,"W"))+COUNTIFS(Database!$F:$I,CONCATENATE(AV$68,$B107,"W")))/(COUNTIFS(Database!$F:$I,CONCATENATE($B107,AV$68,"L"))+COUNTIFS(Database!$F:$I,CONCATENATE(AV$68,$B107,"L"))+COUNTIFS(Database!$F:$I,CONCATENATE($B107,AV$68,"W"))+COUNTIFS(Database!$F:$I,CONCATENATE(AV$68,$B107,"W"))),"-")</f>
        <v>0</v>
      </c>
      <c r="AW107" s="122">
        <f>IFERROR((COUNTIFS(Database!$F:$I,CONCATENATE($B107,AW$68,"W"))+COUNTIFS(Database!$F:$I,CONCATENATE(AW$68,$B107,"W")))/(COUNTIFS(Database!$F:$I,CONCATENATE($B107,AW$68,"L"))+COUNTIFS(Database!$F:$I,CONCATENATE(AW$68,$B107,"L"))+COUNTIFS(Database!$F:$I,CONCATENATE($B107,AW$68,"W"))+COUNTIFS(Database!$F:$I,CONCATENATE(AW$68,$B107,"W"))),"-")</f>
        <v>0.5</v>
      </c>
      <c r="AX107" s="122">
        <f>IFERROR((COUNTIFS(Database!$F:$I,CONCATENATE($B107,AX$68,"W"))+COUNTIFS(Database!$F:$I,CONCATENATE(AX$68,$B107,"W")))/(COUNTIFS(Database!$F:$I,CONCATENATE($B107,AX$68,"L"))+COUNTIFS(Database!$F:$I,CONCATENATE(AX$68,$B107,"L"))+COUNTIFS(Database!$F:$I,CONCATENATE($B107,AX$68,"W"))+COUNTIFS(Database!$F:$I,CONCATENATE(AX$68,$B107,"W"))),"-")</f>
        <v>1</v>
      </c>
      <c r="AY107" s="122">
        <f>IFERROR((COUNTIFS(Database!$F:$I,CONCATENATE($B107,AY$68,"W"))+COUNTIFS(Database!$F:$I,CONCATENATE(AY$68,$B107,"W")))/(COUNTIFS(Database!$F:$I,CONCATENATE($B107,AY$68,"L"))+COUNTIFS(Database!$F:$I,CONCATENATE(AY$68,$B107,"L"))+COUNTIFS(Database!$F:$I,CONCATENATE($B107,AY$68,"W"))+COUNTIFS(Database!$F:$I,CONCATENATE(AY$68,$B107,"W"))),"-")</f>
        <v>0.6</v>
      </c>
    </row>
    <row r="108" spans="2:51" x14ac:dyDescent="0.25">
      <c r="B108" s="120" t="s">
        <v>40</v>
      </c>
      <c r="C108" s="122">
        <f>IFERROR((COUNTIFS(Database!$F:$I,CONCATENATE($B108,C$68,"W"))+COUNTIFS(Database!$F:$I,CONCATENATE(C$68,$B108,"W")))/(COUNTIFS(Database!$F:$I,CONCATENATE($B108,C$68,"L"))+COUNTIFS(Database!$F:$I,CONCATENATE(C$68,$B108,"L"))+COUNTIFS(Database!$F:$I,CONCATENATE($B108,C$68,"W"))+COUNTIFS(Database!$F:$I,CONCATENATE(C$68,$B108,"W"))),"-")</f>
        <v>1</v>
      </c>
      <c r="D108" s="122" t="str">
        <f>IFERROR((COUNTIFS(Database!$F:$I,CONCATENATE($B108,D$68,"W"))+COUNTIFS(Database!$F:$I,CONCATENATE(D$68,$B108,"W")))/(COUNTIFS(Database!$F:$I,CONCATENATE($B108,D$68,"L"))+COUNTIFS(Database!$F:$I,CONCATENATE(D$68,$B108,"L"))+COUNTIFS(Database!$F:$I,CONCATENATE($B108,D$68,"W"))+COUNTIFS(Database!$F:$I,CONCATENATE(D$68,$B108,"W"))),"-")</f>
        <v>-</v>
      </c>
      <c r="E108" s="122" t="str">
        <f>IFERROR((COUNTIFS(Database!$F:$I,CONCATENATE($B108,E$68,"W"))+COUNTIFS(Database!$F:$I,CONCATENATE(E$68,$B108,"W")))/(COUNTIFS(Database!$F:$I,CONCATENATE($B108,E$68,"L"))+COUNTIFS(Database!$F:$I,CONCATENATE(E$68,$B108,"L"))+COUNTIFS(Database!$F:$I,CONCATENATE($B108,E$68,"W"))+COUNTIFS(Database!$F:$I,CONCATENATE(E$68,$B108,"W"))),"-")</f>
        <v>-</v>
      </c>
      <c r="F108" s="122" t="str">
        <f>IFERROR((COUNTIFS(Database!$F:$I,CONCATENATE($B108,F$68,"W"))+COUNTIFS(Database!$F:$I,CONCATENATE(F$68,$B108,"W")))/(COUNTIFS(Database!$F:$I,CONCATENATE($B108,F$68,"L"))+COUNTIFS(Database!$F:$I,CONCATENATE(F$68,$B108,"L"))+COUNTIFS(Database!$F:$I,CONCATENATE($B108,F$68,"W"))+COUNTIFS(Database!$F:$I,CONCATENATE(F$68,$B108,"W"))),"-")</f>
        <v>-</v>
      </c>
      <c r="G108" s="122" t="str">
        <f>IFERROR((COUNTIFS(Database!$F:$I,CONCATENATE($B108,G$68,"W"))+COUNTIFS(Database!$F:$I,CONCATENATE(G$68,$B108,"W")))/(COUNTIFS(Database!$F:$I,CONCATENATE($B108,G$68,"L"))+COUNTIFS(Database!$F:$I,CONCATENATE(G$68,$B108,"L"))+COUNTIFS(Database!$F:$I,CONCATENATE($B108,G$68,"W"))+COUNTIFS(Database!$F:$I,CONCATENATE(G$68,$B108,"W"))),"-")</f>
        <v>-</v>
      </c>
      <c r="H108" s="122" t="str">
        <f>IFERROR((COUNTIFS(Database!$F:$I,CONCATENATE($B108,H$68,"W"))+COUNTIFS(Database!$F:$I,CONCATENATE(H$68,$B108,"W")))/(COUNTIFS(Database!$F:$I,CONCATENATE($B108,H$68,"L"))+COUNTIFS(Database!$F:$I,CONCATENATE(H$68,$B108,"L"))+COUNTIFS(Database!$F:$I,CONCATENATE($B108,H$68,"W"))+COUNTIFS(Database!$F:$I,CONCATENATE(H$68,$B108,"W"))),"-")</f>
        <v>-</v>
      </c>
      <c r="I108" s="122" t="str">
        <f>IFERROR((COUNTIFS(Database!$F:$I,CONCATENATE($B108,I$68,"W"))+COUNTIFS(Database!$F:$I,CONCATENATE(I$68,$B108,"W")))/(COUNTIFS(Database!$F:$I,CONCATENATE($B108,I$68,"L"))+COUNTIFS(Database!$F:$I,CONCATENATE(I$68,$B108,"L"))+COUNTIFS(Database!$F:$I,CONCATENATE($B108,I$68,"W"))+COUNTIFS(Database!$F:$I,CONCATENATE(I$68,$B108,"W"))),"-")</f>
        <v>-</v>
      </c>
      <c r="J108" s="122" t="str">
        <f>IFERROR((COUNTIFS(Database!$F:$I,CONCATENATE($B108,J$68,"W"))+COUNTIFS(Database!$F:$I,CONCATENATE(J$68,$B108,"W")))/(COUNTIFS(Database!$F:$I,CONCATENATE($B108,J$68,"L"))+COUNTIFS(Database!$F:$I,CONCATENATE(J$68,$B108,"L"))+COUNTIFS(Database!$F:$I,CONCATENATE($B108,J$68,"W"))+COUNTIFS(Database!$F:$I,CONCATENATE(J$68,$B108,"W"))),"-")</f>
        <v>-</v>
      </c>
      <c r="K108" s="122" t="str">
        <f>IFERROR((COUNTIFS(Database!$F:$I,CONCATENATE($B108,K$68,"W"))+COUNTIFS(Database!$F:$I,CONCATENATE(K$68,$B108,"W")))/(COUNTIFS(Database!$F:$I,CONCATENATE($B108,K$68,"L"))+COUNTIFS(Database!$F:$I,CONCATENATE(K$68,$B108,"L"))+COUNTIFS(Database!$F:$I,CONCATENATE($B108,K$68,"W"))+COUNTIFS(Database!$F:$I,CONCATENATE(K$68,$B108,"W"))),"-")</f>
        <v>-</v>
      </c>
      <c r="L108" s="122" t="str">
        <f>IFERROR((COUNTIFS(Database!$F:$I,CONCATENATE($B108,L$68,"W"))+COUNTIFS(Database!$F:$I,CONCATENATE(L$68,$B108,"W")))/(COUNTIFS(Database!$F:$I,CONCATENATE($B108,L$68,"L"))+COUNTIFS(Database!$F:$I,CONCATENATE(L$68,$B108,"L"))+COUNTIFS(Database!$F:$I,CONCATENATE($B108,L$68,"W"))+COUNTIFS(Database!$F:$I,CONCATENATE(L$68,$B108,"W"))),"-")</f>
        <v>-</v>
      </c>
      <c r="M108" s="122" t="str">
        <f>IFERROR((COUNTIFS(Database!$F:$I,CONCATENATE($B108,M$68,"W"))+COUNTIFS(Database!$F:$I,CONCATENATE(M$68,$B108,"W")))/(COUNTIFS(Database!$F:$I,CONCATENATE($B108,M$68,"L"))+COUNTIFS(Database!$F:$I,CONCATENATE(M$68,$B108,"L"))+COUNTIFS(Database!$F:$I,CONCATENATE($B108,M$68,"W"))+COUNTIFS(Database!$F:$I,CONCATENATE(M$68,$B108,"W"))),"-")</f>
        <v>-</v>
      </c>
      <c r="N108" s="122" t="str">
        <f>IFERROR((COUNTIFS(Database!$F:$I,CONCATENATE($B108,N$68,"W"))+COUNTIFS(Database!$F:$I,CONCATENATE(N$68,$B108,"W")))/(COUNTIFS(Database!$F:$I,CONCATENATE($B108,N$68,"L"))+COUNTIFS(Database!$F:$I,CONCATENATE(N$68,$B108,"L"))+COUNTIFS(Database!$F:$I,CONCATENATE($B108,N$68,"W"))+COUNTIFS(Database!$F:$I,CONCATENATE(N$68,$B108,"W"))),"-")</f>
        <v>-</v>
      </c>
      <c r="O108" s="122">
        <f>IFERROR((COUNTIFS(Database!$F:$I,CONCATENATE($B108,O$68,"W"))+COUNTIFS(Database!$F:$I,CONCATENATE(O$68,$B108,"W")))/(COUNTIFS(Database!$F:$I,CONCATENATE($B108,O$68,"L"))+COUNTIFS(Database!$F:$I,CONCATENATE(O$68,$B108,"L"))+COUNTIFS(Database!$F:$I,CONCATENATE($B108,O$68,"W"))+COUNTIFS(Database!$F:$I,CONCATENATE(O$68,$B108,"W"))),"-")</f>
        <v>1</v>
      </c>
      <c r="P108" s="122" t="str">
        <f>IFERROR((COUNTIFS(Database!$F:$I,CONCATENATE($B108,P$68,"W"))+COUNTIFS(Database!$F:$I,CONCATENATE(P$68,$B108,"W")))/(COUNTIFS(Database!$F:$I,CONCATENATE($B108,P$68,"L"))+COUNTIFS(Database!$F:$I,CONCATENATE(P$68,$B108,"L"))+COUNTIFS(Database!$F:$I,CONCATENATE($B108,P$68,"W"))+COUNTIFS(Database!$F:$I,CONCATENATE(P$68,$B108,"W"))),"-")</f>
        <v>-</v>
      </c>
      <c r="Q108" s="122" t="str">
        <f>IFERROR((COUNTIFS(Database!$F:$I,CONCATENATE($B108,Q$68,"W"))+COUNTIFS(Database!$F:$I,CONCATENATE(Q$68,$B108,"W")))/(COUNTIFS(Database!$F:$I,CONCATENATE($B108,Q$68,"L"))+COUNTIFS(Database!$F:$I,CONCATENATE(Q$68,$B108,"L"))+COUNTIFS(Database!$F:$I,CONCATENATE($B108,Q$68,"W"))+COUNTIFS(Database!$F:$I,CONCATENATE(Q$68,$B108,"W"))),"-")</f>
        <v>-</v>
      </c>
      <c r="R108" s="122" t="str">
        <f>IFERROR((COUNTIFS(Database!$F:$I,CONCATENATE($B108,R$68,"W"))+COUNTIFS(Database!$F:$I,CONCATENATE(R$68,$B108,"W")))/(COUNTIFS(Database!$F:$I,CONCATENATE($B108,R$68,"L"))+COUNTIFS(Database!$F:$I,CONCATENATE(R$68,$B108,"L"))+COUNTIFS(Database!$F:$I,CONCATENATE($B108,R$68,"W"))+COUNTIFS(Database!$F:$I,CONCATENATE(R$68,$B108,"W"))),"-")</f>
        <v>-</v>
      </c>
      <c r="S108" s="122" t="str">
        <f>IFERROR((COUNTIFS(Database!$F:$I,CONCATENATE($B108,S$68,"W"))+COUNTIFS(Database!$F:$I,CONCATENATE(S$68,$B108,"W")))/(COUNTIFS(Database!$F:$I,CONCATENATE($B108,S$68,"L"))+COUNTIFS(Database!$F:$I,CONCATENATE(S$68,$B108,"L"))+COUNTIFS(Database!$F:$I,CONCATENATE($B108,S$68,"W"))+COUNTIFS(Database!$F:$I,CONCATENATE(S$68,$B108,"W"))),"-")</f>
        <v>-</v>
      </c>
      <c r="T108" s="122" t="str">
        <f>IFERROR((COUNTIFS(Database!$F:$I,CONCATENATE($B108,T$68,"W"))+COUNTIFS(Database!$F:$I,CONCATENATE(T$68,$B108,"W")))/(COUNTIFS(Database!$F:$I,CONCATENATE($B108,T$68,"L"))+COUNTIFS(Database!$F:$I,CONCATENATE(T$68,$B108,"L"))+COUNTIFS(Database!$F:$I,CONCATENATE($B108,T$68,"W"))+COUNTIFS(Database!$F:$I,CONCATENATE(T$68,$B108,"W"))),"-")</f>
        <v>-</v>
      </c>
      <c r="U108" s="122" t="str">
        <f>IFERROR((COUNTIFS(Database!$F:$I,CONCATENATE($B108,U$68,"W"))+COUNTIFS(Database!$F:$I,CONCATENATE(U$68,$B108,"W")))/(COUNTIFS(Database!$F:$I,CONCATENATE($B108,U$68,"L"))+COUNTIFS(Database!$F:$I,CONCATENATE(U$68,$B108,"L"))+COUNTIFS(Database!$F:$I,CONCATENATE($B108,U$68,"W"))+COUNTIFS(Database!$F:$I,CONCATENATE(U$68,$B108,"W"))),"-")</f>
        <v>-</v>
      </c>
      <c r="V108" s="122" t="str">
        <f>IFERROR((COUNTIFS(Database!$F:$I,CONCATENATE($B108,V$68,"W"))+COUNTIFS(Database!$F:$I,CONCATENATE(V$68,$B108,"W")))/(COUNTIFS(Database!$F:$I,CONCATENATE($B108,V$68,"L"))+COUNTIFS(Database!$F:$I,CONCATENATE(V$68,$B108,"L"))+COUNTIFS(Database!$F:$I,CONCATENATE($B108,V$68,"W"))+COUNTIFS(Database!$F:$I,CONCATENATE(V$68,$B108,"W"))),"-")</f>
        <v>-</v>
      </c>
      <c r="W108" s="122">
        <f>IFERROR((COUNTIFS(Database!$F:$I,CONCATENATE($B108,W$68,"W"))+COUNTIFS(Database!$F:$I,CONCATENATE(W$68,$B108,"W")))/(COUNTIFS(Database!$F:$I,CONCATENATE($B108,W$68,"L"))+COUNTIFS(Database!$F:$I,CONCATENATE(W$68,$B108,"L"))+COUNTIFS(Database!$F:$I,CONCATENATE($B108,W$68,"W"))+COUNTIFS(Database!$F:$I,CONCATENATE(W$68,$B108,"W"))),"-")</f>
        <v>0.5</v>
      </c>
      <c r="X108" s="122" t="str">
        <f>IFERROR((COUNTIFS(Database!$F:$I,CONCATENATE($B108,X$68,"W"))+COUNTIFS(Database!$F:$I,CONCATENATE(X$68,$B108,"W")))/(COUNTIFS(Database!$F:$I,CONCATENATE($B108,X$68,"L"))+COUNTIFS(Database!$F:$I,CONCATENATE(X$68,$B108,"L"))+COUNTIFS(Database!$F:$I,CONCATENATE($B108,X$68,"W"))+COUNTIFS(Database!$F:$I,CONCATENATE(X$68,$B108,"W"))),"-")</f>
        <v>-</v>
      </c>
      <c r="Y108" s="122" t="str">
        <f>IFERROR((COUNTIFS(Database!$F:$I,CONCATENATE($B108,Y$68,"W"))+COUNTIFS(Database!$F:$I,CONCATENATE(Y$68,$B108,"W")))/(COUNTIFS(Database!$F:$I,CONCATENATE($B108,Y$68,"L"))+COUNTIFS(Database!$F:$I,CONCATENATE(Y$68,$B108,"L"))+COUNTIFS(Database!$F:$I,CONCATENATE($B108,Y$68,"W"))+COUNTIFS(Database!$F:$I,CONCATENATE(Y$68,$B108,"W"))),"-")</f>
        <v>-</v>
      </c>
      <c r="Z108" s="122" t="str">
        <f>IFERROR((COUNTIFS(Database!$F:$I,CONCATENATE($B108,Z$68,"W"))+COUNTIFS(Database!$F:$I,CONCATENATE(Z$68,$B108,"W")))/(COUNTIFS(Database!$F:$I,CONCATENATE($B108,Z$68,"L"))+COUNTIFS(Database!$F:$I,CONCATENATE(Z$68,$B108,"L"))+COUNTIFS(Database!$F:$I,CONCATENATE($B108,Z$68,"W"))+COUNTIFS(Database!$F:$I,CONCATENATE(Z$68,$B108,"W"))),"-")</f>
        <v>-</v>
      </c>
      <c r="AA108" s="122" t="str">
        <f>IFERROR((COUNTIFS(Database!$F:$I,CONCATENATE($B108,AA$68,"W"))+COUNTIFS(Database!$F:$I,CONCATENATE(AA$68,$B108,"W")))/(COUNTIFS(Database!$F:$I,CONCATENATE($B108,AA$68,"L"))+COUNTIFS(Database!$F:$I,CONCATENATE(AA$68,$B108,"L"))+COUNTIFS(Database!$F:$I,CONCATENATE($B108,AA$68,"W"))+COUNTIFS(Database!$F:$I,CONCATENATE(AA$68,$B108,"W"))),"-")</f>
        <v>-</v>
      </c>
      <c r="AB108" s="122">
        <f>IFERROR((COUNTIFS(Database!$F:$I,CONCATENATE($B108,AB$68,"W"))+COUNTIFS(Database!$F:$I,CONCATENATE(AB$68,$B108,"W")))/(COUNTIFS(Database!$F:$I,CONCATENATE($B108,AB$68,"L"))+COUNTIFS(Database!$F:$I,CONCATENATE(AB$68,$B108,"L"))+COUNTIFS(Database!$F:$I,CONCATENATE($B108,AB$68,"W"))+COUNTIFS(Database!$F:$I,CONCATENATE(AB$68,$B108,"W"))),"-")</f>
        <v>1</v>
      </c>
      <c r="AC108" s="122" t="str">
        <f>IFERROR((COUNTIFS(Database!$F:$I,CONCATENATE($B108,AC$68,"W"))+COUNTIFS(Database!$F:$I,CONCATENATE(AC$68,$B108,"W")))/(COUNTIFS(Database!$F:$I,CONCATENATE($B108,AC$68,"L"))+COUNTIFS(Database!$F:$I,CONCATENATE(AC$68,$B108,"L"))+COUNTIFS(Database!$F:$I,CONCATENATE($B108,AC$68,"W"))+COUNTIFS(Database!$F:$I,CONCATENATE(AC$68,$B108,"W"))),"-")</f>
        <v>-</v>
      </c>
      <c r="AD108" s="122" t="str">
        <f>IFERROR((COUNTIFS(Database!$F:$I,CONCATENATE($B108,AD$68,"W"))+COUNTIFS(Database!$F:$I,CONCATENATE(AD$68,$B108,"W")))/(COUNTIFS(Database!$F:$I,CONCATENATE($B108,AD$68,"L"))+COUNTIFS(Database!$F:$I,CONCATENATE(AD$68,$B108,"L"))+COUNTIFS(Database!$F:$I,CONCATENATE($B108,AD$68,"W"))+COUNTIFS(Database!$F:$I,CONCATENATE(AD$68,$B108,"W"))),"-")</f>
        <v>-</v>
      </c>
      <c r="AE108" s="122" t="str">
        <f>IFERROR((COUNTIFS(Database!$F:$I,CONCATENATE($B108,AE$68,"W"))+COUNTIFS(Database!$F:$I,CONCATENATE(AE$68,$B108,"W")))/(COUNTIFS(Database!$F:$I,CONCATENATE($B108,AE$68,"L"))+COUNTIFS(Database!$F:$I,CONCATENATE(AE$68,$B108,"L"))+COUNTIFS(Database!$F:$I,CONCATENATE($B108,AE$68,"W"))+COUNTIFS(Database!$F:$I,CONCATENATE(AE$68,$B108,"W"))),"-")</f>
        <v>-</v>
      </c>
      <c r="AF108" s="122">
        <f>IFERROR((COUNTIFS(Database!$F:$I,CONCATENATE($B108,AF$68,"W"))+COUNTIFS(Database!$F:$I,CONCATENATE(AF$68,$B108,"W")))/(COUNTIFS(Database!$F:$I,CONCATENATE($B108,AF$68,"L"))+COUNTIFS(Database!$F:$I,CONCATENATE(AF$68,$B108,"L"))+COUNTIFS(Database!$F:$I,CONCATENATE($B108,AF$68,"W"))+COUNTIFS(Database!$F:$I,CONCATENATE(AF$68,$B108,"W"))),"-")</f>
        <v>0.5</v>
      </c>
      <c r="AG108" s="122" t="str">
        <f>IFERROR((COUNTIFS(Database!$F:$I,CONCATENATE($B108,AG$68,"W"))+COUNTIFS(Database!$F:$I,CONCATENATE(AG$68,$B108,"W")))/(COUNTIFS(Database!$F:$I,CONCATENATE($B108,AG$68,"L"))+COUNTIFS(Database!$F:$I,CONCATENATE(AG$68,$B108,"L"))+COUNTIFS(Database!$F:$I,CONCATENATE($B108,AG$68,"W"))+COUNTIFS(Database!$F:$I,CONCATENATE(AG$68,$B108,"W"))),"-")</f>
        <v>-</v>
      </c>
      <c r="AH108" s="122" t="str">
        <f>IFERROR((COUNTIFS(Database!$F:$I,CONCATENATE($B108,AH$68,"W"))+COUNTIFS(Database!$F:$I,CONCATENATE(AH$68,$B108,"W")))/(COUNTIFS(Database!$F:$I,CONCATENATE($B108,AH$68,"L"))+COUNTIFS(Database!$F:$I,CONCATENATE(AH$68,$B108,"L"))+COUNTIFS(Database!$F:$I,CONCATENATE($B108,AH$68,"W"))+COUNTIFS(Database!$F:$I,CONCATENATE(AH$68,$B108,"W"))),"-")</f>
        <v>-</v>
      </c>
      <c r="AI108" s="122">
        <f>IFERROR((COUNTIFS(Database!$F:$I,CONCATENATE($B108,AI$68,"W"))+COUNTIFS(Database!$F:$I,CONCATENATE(AI$68,$B108,"W")))/(COUNTIFS(Database!$F:$I,CONCATENATE($B108,AI$68,"L"))+COUNTIFS(Database!$F:$I,CONCATENATE(AI$68,$B108,"L"))+COUNTIFS(Database!$F:$I,CONCATENATE($B108,AI$68,"W"))+COUNTIFS(Database!$F:$I,CONCATENATE(AI$68,$B108,"W"))),"-")</f>
        <v>0.5</v>
      </c>
      <c r="AJ108" s="122" t="str">
        <f>IFERROR((COUNTIFS(Database!$F:$I,CONCATENATE($B108,AJ$68,"W"))+COUNTIFS(Database!$F:$I,CONCATENATE(AJ$68,$B108,"W")))/(COUNTIFS(Database!$F:$I,CONCATENATE($B108,AJ$68,"L"))+COUNTIFS(Database!$F:$I,CONCATENATE(AJ$68,$B108,"L"))+COUNTIFS(Database!$F:$I,CONCATENATE($B108,AJ$68,"W"))+COUNTIFS(Database!$F:$I,CONCATENATE(AJ$68,$B108,"W"))),"-")</f>
        <v>-</v>
      </c>
      <c r="AK108" s="122" t="str">
        <f>IFERROR((COUNTIFS(Database!$F:$I,CONCATENATE($B108,AK$68,"W"))+COUNTIFS(Database!$F:$I,CONCATENATE(AK$68,$B108,"W")))/(COUNTIFS(Database!$F:$I,CONCATENATE($B108,AK$68,"L"))+COUNTIFS(Database!$F:$I,CONCATENATE(AK$68,$B108,"L"))+COUNTIFS(Database!$F:$I,CONCATENATE($B108,AK$68,"W"))+COUNTIFS(Database!$F:$I,CONCATENATE(AK$68,$B108,"W"))),"-")</f>
        <v>-</v>
      </c>
      <c r="AL108" s="122" t="str">
        <f>IFERROR((COUNTIFS(Database!$F:$I,CONCATENATE($B108,AL$68,"W"))+COUNTIFS(Database!$F:$I,CONCATENATE(AL$68,$B108,"W")))/(COUNTIFS(Database!$F:$I,CONCATENATE($B108,AL$68,"L"))+COUNTIFS(Database!$F:$I,CONCATENATE(AL$68,$B108,"L"))+COUNTIFS(Database!$F:$I,CONCATENATE($B108,AL$68,"W"))+COUNTIFS(Database!$F:$I,CONCATENATE(AL$68,$B108,"W"))),"-")</f>
        <v>-</v>
      </c>
      <c r="AM108" s="122" t="str">
        <f>IFERROR((COUNTIFS(Database!$F:$I,CONCATENATE($B108,AM$68,"W"))+COUNTIFS(Database!$F:$I,CONCATENATE(AM$68,$B108,"W")))/(COUNTIFS(Database!$F:$I,CONCATENATE($B108,AM$68,"L"))+COUNTIFS(Database!$F:$I,CONCATENATE(AM$68,$B108,"L"))+COUNTIFS(Database!$F:$I,CONCATENATE($B108,AM$68,"W"))+COUNTIFS(Database!$F:$I,CONCATENATE(AM$68,$B108,"W"))),"-")</f>
        <v>-</v>
      </c>
      <c r="AN108" s="122" t="str">
        <f>IFERROR((COUNTIFS(Database!$F:$I,CONCATENATE($B108,AN$68,"W"))+COUNTIFS(Database!$F:$I,CONCATENATE(AN$68,$B108,"W")))/(COUNTIFS(Database!$F:$I,CONCATENATE($B108,AN$68,"L"))+COUNTIFS(Database!$F:$I,CONCATENATE(AN$68,$B108,"L"))+COUNTIFS(Database!$F:$I,CONCATENATE($B108,AN$68,"W"))+COUNTIFS(Database!$F:$I,CONCATENATE(AN$68,$B108,"W"))),"-")</f>
        <v>-</v>
      </c>
      <c r="AO108" s="122" t="str">
        <f>IFERROR((COUNTIFS(Database!$F:$I,CONCATENATE($B108,AO$68,"W"))+COUNTIFS(Database!$F:$I,CONCATENATE(AO$68,$B108,"W")))/(COUNTIFS(Database!$F:$I,CONCATENATE($B108,AO$68,"L"))+COUNTIFS(Database!$F:$I,CONCATENATE(AO$68,$B108,"L"))+COUNTIFS(Database!$F:$I,CONCATENATE($B108,AO$68,"W"))+COUNTIFS(Database!$F:$I,CONCATENATE(AO$68,$B108,"W"))),"-")</f>
        <v>-</v>
      </c>
      <c r="AP108" s="122" t="str">
        <f>IFERROR((COUNTIFS(Database!$F:$I,CONCATENATE($B108,AP$68,"W"))+COUNTIFS(Database!$F:$I,CONCATENATE(AP$68,$B108,"W")))/(COUNTIFS(Database!$F:$I,CONCATENATE($B108,AP$68,"L"))+COUNTIFS(Database!$F:$I,CONCATENATE(AP$68,$B108,"L"))+COUNTIFS(Database!$F:$I,CONCATENATE($B108,AP$68,"W"))+COUNTIFS(Database!$F:$I,CONCATENATE(AP$68,$B108,"W"))),"-")</f>
        <v>-</v>
      </c>
      <c r="AQ108" s="122" t="str">
        <f>IFERROR((COUNTIFS(Database!$F:$I,CONCATENATE($B108,AQ$68,"W"))+COUNTIFS(Database!$F:$I,CONCATENATE(AQ$68,$B108,"W")))/(COUNTIFS(Database!$F:$I,CONCATENATE($B108,AQ$68,"L"))+COUNTIFS(Database!$F:$I,CONCATENATE(AQ$68,$B108,"L"))+COUNTIFS(Database!$F:$I,CONCATENATE($B108,AQ$68,"W"))+COUNTIFS(Database!$F:$I,CONCATENATE(AQ$68,$B108,"W"))),"-")</f>
        <v>-</v>
      </c>
      <c r="AR108" s="122" t="str">
        <f>IFERROR((COUNTIFS(Database!$F:$I,CONCATENATE($B108,AR$68,"W"))+COUNTIFS(Database!$F:$I,CONCATENATE(AR$68,$B108,"W")))/(COUNTIFS(Database!$F:$I,CONCATENATE($B108,AR$68,"L"))+COUNTIFS(Database!$F:$I,CONCATENATE(AR$68,$B108,"L"))+COUNTIFS(Database!$F:$I,CONCATENATE($B108,AR$68,"W"))+COUNTIFS(Database!$F:$I,CONCATENATE(AR$68,$B108,"W"))),"-")</f>
        <v>-</v>
      </c>
      <c r="AS108" s="122" t="str">
        <f>IFERROR((COUNTIFS(Database!$F:$I,CONCATENATE($B108,AS$68,"W"))+COUNTIFS(Database!$F:$I,CONCATENATE(AS$68,$B108,"W")))/(COUNTIFS(Database!$F:$I,CONCATENATE($B108,AS$68,"L"))+COUNTIFS(Database!$F:$I,CONCATENATE(AS$68,$B108,"L"))+COUNTIFS(Database!$F:$I,CONCATENATE($B108,AS$68,"W"))+COUNTIFS(Database!$F:$I,CONCATENATE(AS$68,$B108,"W"))),"-")</f>
        <v>-</v>
      </c>
      <c r="AT108" s="122" t="str">
        <f>IFERROR((COUNTIFS(Database!$F:$I,CONCATENATE($B108,AT$68,"W"))+COUNTIFS(Database!$F:$I,CONCATENATE(AT$68,$B108,"W")))/(COUNTIFS(Database!$F:$I,CONCATENATE($B108,AT$68,"L"))+COUNTIFS(Database!$F:$I,CONCATENATE(AT$68,$B108,"L"))+COUNTIFS(Database!$F:$I,CONCATENATE($B108,AT$68,"W"))+COUNTIFS(Database!$F:$I,CONCATENATE(AT$68,$B108,"W"))),"-")</f>
        <v>-</v>
      </c>
      <c r="AU108" s="122">
        <f>IFERROR((COUNTIFS(Database!$F:$I,CONCATENATE($B108,AU$68,"W"))+COUNTIFS(Database!$F:$I,CONCATENATE(AU$68,$B108,"W")))/(COUNTIFS(Database!$F:$I,CONCATENATE($B108,AU$68,"L"))+COUNTIFS(Database!$F:$I,CONCATENATE(AU$68,$B108,"L"))+COUNTIFS(Database!$F:$I,CONCATENATE($B108,AU$68,"W"))+COUNTIFS(Database!$F:$I,CONCATENATE(AU$68,$B108,"W"))),"-")</f>
        <v>0.5</v>
      </c>
      <c r="AV108" s="122" t="str">
        <f>IFERROR((COUNTIFS(Database!$F:$I,CONCATENATE($B108,AV$68,"W"))+COUNTIFS(Database!$F:$I,CONCATENATE(AV$68,$B108,"W")))/(COUNTIFS(Database!$F:$I,CONCATENATE($B108,AV$68,"L"))+COUNTIFS(Database!$F:$I,CONCATENATE(AV$68,$B108,"L"))+COUNTIFS(Database!$F:$I,CONCATENATE($B108,AV$68,"W"))+COUNTIFS(Database!$F:$I,CONCATENATE(AV$68,$B108,"W"))),"-")</f>
        <v>-</v>
      </c>
      <c r="AW108" s="122">
        <f>IFERROR((COUNTIFS(Database!$F:$I,CONCATENATE($B108,AW$68,"W"))+COUNTIFS(Database!$F:$I,CONCATENATE(AW$68,$B108,"W")))/(COUNTIFS(Database!$F:$I,CONCATENATE($B108,AW$68,"L"))+COUNTIFS(Database!$F:$I,CONCATENATE(AW$68,$B108,"L"))+COUNTIFS(Database!$F:$I,CONCATENATE($B108,AW$68,"W"))+COUNTIFS(Database!$F:$I,CONCATENATE(AW$68,$B108,"W"))),"-")</f>
        <v>1</v>
      </c>
      <c r="AX108" s="122" t="str">
        <f>IFERROR((COUNTIFS(Database!$F:$I,CONCATENATE($B108,AX$68,"W"))+COUNTIFS(Database!$F:$I,CONCATENATE(AX$68,$B108,"W")))/(COUNTIFS(Database!$F:$I,CONCATENATE($B108,AX$68,"L"))+COUNTIFS(Database!$F:$I,CONCATENATE(AX$68,$B108,"L"))+COUNTIFS(Database!$F:$I,CONCATENATE($B108,AX$68,"W"))+COUNTIFS(Database!$F:$I,CONCATENATE(AX$68,$B108,"W"))),"-")</f>
        <v>-</v>
      </c>
      <c r="AY108" s="122" t="str">
        <f>IFERROR((COUNTIFS(Database!$F:$I,CONCATENATE($B108,AY$68,"W"))+COUNTIFS(Database!$F:$I,CONCATENATE(AY$68,$B108,"W")))/(COUNTIFS(Database!$F:$I,CONCATENATE($B108,AY$68,"L"))+COUNTIFS(Database!$F:$I,CONCATENATE(AY$68,$B108,"L"))+COUNTIFS(Database!$F:$I,CONCATENATE($B108,AY$68,"W"))+COUNTIFS(Database!$F:$I,CONCATENATE(AY$68,$B108,"W"))),"-")</f>
        <v>-</v>
      </c>
    </row>
    <row r="109" spans="2:51" x14ac:dyDescent="0.25">
      <c r="B109" s="120" t="s">
        <v>57</v>
      </c>
      <c r="C109" s="122">
        <f>IFERROR((COUNTIFS(Database!$F:$I,CONCATENATE($B109,C$68,"W"))+COUNTIFS(Database!$F:$I,CONCATENATE(C$68,$B109,"W")))/(COUNTIFS(Database!$F:$I,CONCATENATE($B109,C$68,"L"))+COUNTIFS(Database!$F:$I,CONCATENATE(C$68,$B109,"L"))+COUNTIFS(Database!$F:$I,CONCATENATE($B109,C$68,"W"))+COUNTIFS(Database!$F:$I,CONCATENATE(C$68,$B109,"W"))),"-")</f>
        <v>0.25</v>
      </c>
      <c r="D109" s="122" t="str">
        <f>IFERROR((COUNTIFS(Database!$F:$I,CONCATENATE($B109,D$68,"W"))+COUNTIFS(Database!$F:$I,CONCATENATE(D$68,$B109,"W")))/(COUNTIFS(Database!$F:$I,CONCATENATE($B109,D$68,"L"))+COUNTIFS(Database!$F:$I,CONCATENATE(D$68,$B109,"L"))+COUNTIFS(Database!$F:$I,CONCATENATE($B109,D$68,"W"))+COUNTIFS(Database!$F:$I,CONCATENATE(D$68,$B109,"W"))),"-")</f>
        <v>-</v>
      </c>
      <c r="E109" s="122">
        <f>IFERROR((COUNTIFS(Database!$F:$I,CONCATENATE($B109,E$68,"W"))+COUNTIFS(Database!$F:$I,CONCATENATE(E$68,$B109,"W")))/(COUNTIFS(Database!$F:$I,CONCATENATE($B109,E$68,"L"))+COUNTIFS(Database!$F:$I,CONCATENATE(E$68,$B109,"L"))+COUNTIFS(Database!$F:$I,CONCATENATE($B109,E$68,"W"))+COUNTIFS(Database!$F:$I,CONCATENATE(E$68,$B109,"W"))),"-")</f>
        <v>1</v>
      </c>
      <c r="F109" s="122">
        <f>IFERROR((COUNTIFS(Database!$F:$I,CONCATENATE($B109,F$68,"W"))+COUNTIFS(Database!$F:$I,CONCATENATE(F$68,$B109,"W")))/(COUNTIFS(Database!$F:$I,CONCATENATE($B109,F$68,"L"))+COUNTIFS(Database!$F:$I,CONCATENATE(F$68,$B109,"L"))+COUNTIFS(Database!$F:$I,CONCATENATE($B109,F$68,"W"))+COUNTIFS(Database!$F:$I,CONCATENATE(F$68,$B109,"W"))),"-")</f>
        <v>0</v>
      </c>
      <c r="G109" s="122" t="str">
        <f>IFERROR((COUNTIFS(Database!$F:$I,CONCATENATE($B109,G$68,"W"))+COUNTIFS(Database!$F:$I,CONCATENATE(G$68,$B109,"W")))/(COUNTIFS(Database!$F:$I,CONCATENATE($B109,G$68,"L"))+COUNTIFS(Database!$F:$I,CONCATENATE(G$68,$B109,"L"))+COUNTIFS(Database!$F:$I,CONCATENATE($B109,G$68,"W"))+COUNTIFS(Database!$F:$I,CONCATENATE(G$68,$B109,"W"))),"-")</f>
        <v>-</v>
      </c>
      <c r="H109" s="122" t="str">
        <f>IFERROR((COUNTIFS(Database!$F:$I,CONCATENATE($B109,H$68,"W"))+COUNTIFS(Database!$F:$I,CONCATENATE(H$68,$B109,"W")))/(COUNTIFS(Database!$F:$I,CONCATENATE($B109,H$68,"L"))+COUNTIFS(Database!$F:$I,CONCATENATE(H$68,$B109,"L"))+COUNTIFS(Database!$F:$I,CONCATENATE($B109,H$68,"W"))+COUNTIFS(Database!$F:$I,CONCATENATE(H$68,$B109,"W"))),"-")</f>
        <v>-</v>
      </c>
      <c r="I109" s="122" t="str">
        <f>IFERROR((COUNTIFS(Database!$F:$I,CONCATENATE($B109,I$68,"W"))+COUNTIFS(Database!$F:$I,CONCATENATE(I$68,$B109,"W")))/(COUNTIFS(Database!$F:$I,CONCATENATE($B109,I$68,"L"))+COUNTIFS(Database!$F:$I,CONCATENATE(I$68,$B109,"L"))+COUNTIFS(Database!$F:$I,CONCATENATE($B109,I$68,"W"))+COUNTIFS(Database!$F:$I,CONCATENATE(I$68,$B109,"W"))),"-")</f>
        <v>-</v>
      </c>
      <c r="J109" s="122">
        <f>IFERROR((COUNTIFS(Database!$F:$I,CONCATENATE($B109,J$68,"W"))+COUNTIFS(Database!$F:$I,CONCATENATE(J$68,$B109,"W")))/(COUNTIFS(Database!$F:$I,CONCATENATE($B109,J$68,"L"))+COUNTIFS(Database!$F:$I,CONCATENATE(J$68,$B109,"L"))+COUNTIFS(Database!$F:$I,CONCATENATE($B109,J$68,"W"))+COUNTIFS(Database!$F:$I,CONCATENATE(J$68,$B109,"W"))),"-")</f>
        <v>0</v>
      </c>
      <c r="K109" s="122">
        <f>IFERROR((COUNTIFS(Database!$F:$I,CONCATENATE($B109,K$68,"W"))+COUNTIFS(Database!$F:$I,CONCATENATE(K$68,$B109,"W")))/(COUNTIFS(Database!$F:$I,CONCATENATE($B109,K$68,"L"))+COUNTIFS(Database!$F:$I,CONCATENATE(K$68,$B109,"L"))+COUNTIFS(Database!$F:$I,CONCATENATE($B109,K$68,"W"))+COUNTIFS(Database!$F:$I,CONCATENATE(K$68,$B109,"W"))),"-")</f>
        <v>0.5</v>
      </c>
      <c r="L109" s="122" t="str">
        <f>IFERROR((COUNTIFS(Database!$F:$I,CONCATENATE($B109,L$68,"W"))+COUNTIFS(Database!$F:$I,CONCATENATE(L$68,$B109,"W")))/(COUNTIFS(Database!$F:$I,CONCATENATE($B109,L$68,"L"))+COUNTIFS(Database!$F:$I,CONCATENATE(L$68,$B109,"L"))+COUNTIFS(Database!$F:$I,CONCATENATE($B109,L$68,"W"))+COUNTIFS(Database!$F:$I,CONCATENATE(L$68,$B109,"W"))),"-")</f>
        <v>-</v>
      </c>
      <c r="M109" s="122" t="str">
        <f>IFERROR((COUNTIFS(Database!$F:$I,CONCATENATE($B109,M$68,"W"))+COUNTIFS(Database!$F:$I,CONCATENATE(M$68,$B109,"W")))/(COUNTIFS(Database!$F:$I,CONCATENATE($B109,M$68,"L"))+COUNTIFS(Database!$F:$I,CONCATENATE(M$68,$B109,"L"))+COUNTIFS(Database!$F:$I,CONCATENATE($B109,M$68,"W"))+COUNTIFS(Database!$F:$I,CONCATENATE(M$68,$B109,"W"))),"-")</f>
        <v>-</v>
      </c>
      <c r="N109" s="122">
        <f>IFERROR((COUNTIFS(Database!$F:$I,CONCATENATE($B109,N$68,"W"))+COUNTIFS(Database!$F:$I,CONCATENATE(N$68,$B109,"W")))/(COUNTIFS(Database!$F:$I,CONCATENATE($B109,N$68,"L"))+COUNTIFS(Database!$F:$I,CONCATENATE(N$68,$B109,"L"))+COUNTIFS(Database!$F:$I,CONCATENATE($B109,N$68,"W"))+COUNTIFS(Database!$F:$I,CONCATENATE(N$68,$B109,"W"))),"-")</f>
        <v>0</v>
      </c>
      <c r="O109" s="122">
        <f>IFERROR((COUNTIFS(Database!$F:$I,CONCATENATE($B109,O$68,"W"))+COUNTIFS(Database!$F:$I,CONCATENATE(O$68,$B109,"W")))/(COUNTIFS(Database!$F:$I,CONCATENATE($B109,O$68,"L"))+COUNTIFS(Database!$F:$I,CONCATENATE(O$68,$B109,"L"))+COUNTIFS(Database!$F:$I,CONCATENATE($B109,O$68,"W"))+COUNTIFS(Database!$F:$I,CONCATENATE(O$68,$B109,"W"))),"-")</f>
        <v>0</v>
      </c>
      <c r="P109" s="122" t="str">
        <f>IFERROR((COUNTIFS(Database!$F:$I,CONCATENATE($B109,P$68,"W"))+COUNTIFS(Database!$F:$I,CONCATENATE(P$68,$B109,"W")))/(COUNTIFS(Database!$F:$I,CONCATENATE($B109,P$68,"L"))+COUNTIFS(Database!$F:$I,CONCATENATE(P$68,$B109,"L"))+COUNTIFS(Database!$F:$I,CONCATENATE($B109,P$68,"W"))+COUNTIFS(Database!$F:$I,CONCATENATE(P$68,$B109,"W"))),"-")</f>
        <v>-</v>
      </c>
      <c r="Q109" s="122" t="str">
        <f>IFERROR((COUNTIFS(Database!$F:$I,CONCATENATE($B109,Q$68,"W"))+COUNTIFS(Database!$F:$I,CONCATENATE(Q$68,$B109,"W")))/(COUNTIFS(Database!$F:$I,CONCATENATE($B109,Q$68,"L"))+COUNTIFS(Database!$F:$I,CONCATENATE(Q$68,$B109,"L"))+COUNTIFS(Database!$F:$I,CONCATENATE($B109,Q$68,"W"))+COUNTIFS(Database!$F:$I,CONCATENATE(Q$68,$B109,"W"))),"-")</f>
        <v>-</v>
      </c>
      <c r="R109" s="122" t="str">
        <f>IFERROR((COUNTIFS(Database!$F:$I,CONCATENATE($B109,R$68,"W"))+COUNTIFS(Database!$F:$I,CONCATENATE(R$68,$B109,"W")))/(COUNTIFS(Database!$F:$I,CONCATENATE($B109,R$68,"L"))+COUNTIFS(Database!$F:$I,CONCATENATE(R$68,$B109,"L"))+COUNTIFS(Database!$F:$I,CONCATENATE($B109,R$68,"W"))+COUNTIFS(Database!$F:$I,CONCATENATE(R$68,$B109,"W"))),"-")</f>
        <v>-</v>
      </c>
      <c r="S109" s="122" t="str">
        <f>IFERROR((COUNTIFS(Database!$F:$I,CONCATENATE($B109,S$68,"W"))+COUNTIFS(Database!$F:$I,CONCATENATE(S$68,$B109,"W")))/(COUNTIFS(Database!$F:$I,CONCATENATE($B109,S$68,"L"))+COUNTIFS(Database!$F:$I,CONCATENATE(S$68,$B109,"L"))+COUNTIFS(Database!$F:$I,CONCATENATE($B109,S$68,"W"))+COUNTIFS(Database!$F:$I,CONCATENATE(S$68,$B109,"W"))),"-")</f>
        <v>-</v>
      </c>
      <c r="T109" s="122">
        <f>IFERROR((COUNTIFS(Database!$F:$I,CONCATENATE($B109,T$68,"W"))+COUNTIFS(Database!$F:$I,CONCATENATE(T$68,$B109,"W")))/(COUNTIFS(Database!$F:$I,CONCATENATE($B109,T$68,"L"))+COUNTIFS(Database!$F:$I,CONCATENATE(T$68,$B109,"L"))+COUNTIFS(Database!$F:$I,CONCATENATE($B109,T$68,"W"))+COUNTIFS(Database!$F:$I,CONCATENATE(T$68,$B109,"W"))),"-")</f>
        <v>0.25</v>
      </c>
      <c r="U109" s="122">
        <f>IFERROR((COUNTIFS(Database!$F:$I,CONCATENATE($B109,U$68,"W"))+COUNTIFS(Database!$F:$I,CONCATENATE(U$68,$B109,"W")))/(COUNTIFS(Database!$F:$I,CONCATENATE($B109,U$68,"L"))+COUNTIFS(Database!$F:$I,CONCATENATE(U$68,$B109,"L"))+COUNTIFS(Database!$F:$I,CONCATENATE($B109,U$68,"W"))+COUNTIFS(Database!$F:$I,CONCATENATE(U$68,$B109,"W"))),"-")</f>
        <v>0</v>
      </c>
      <c r="V109" s="122">
        <f>IFERROR((COUNTIFS(Database!$F:$I,CONCATENATE($B109,V$68,"W"))+COUNTIFS(Database!$F:$I,CONCATENATE(V$68,$B109,"W")))/(COUNTIFS(Database!$F:$I,CONCATENATE($B109,V$68,"L"))+COUNTIFS(Database!$F:$I,CONCATENATE(V$68,$B109,"L"))+COUNTIFS(Database!$F:$I,CONCATENATE($B109,V$68,"W"))+COUNTIFS(Database!$F:$I,CONCATENATE(V$68,$B109,"W"))),"-")</f>
        <v>0</v>
      </c>
      <c r="W109" s="122">
        <f>IFERROR((COUNTIFS(Database!$F:$I,CONCATENATE($B109,W$68,"W"))+COUNTIFS(Database!$F:$I,CONCATENATE(W$68,$B109,"W")))/(COUNTIFS(Database!$F:$I,CONCATENATE($B109,W$68,"L"))+COUNTIFS(Database!$F:$I,CONCATENATE(W$68,$B109,"L"))+COUNTIFS(Database!$F:$I,CONCATENATE($B109,W$68,"W"))+COUNTIFS(Database!$F:$I,CONCATENATE(W$68,$B109,"W"))),"-")</f>
        <v>0.33333333333333331</v>
      </c>
      <c r="X109" s="122" t="str">
        <f>IFERROR((COUNTIFS(Database!$F:$I,CONCATENATE($B109,X$68,"W"))+COUNTIFS(Database!$F:$I,CONCATENATE(X$68,$B109,"W")))/(COUNTIFS(Database!$F:$I,CONCATENATE($B109,X$68,"L"))+COUNTIFS(Database!$F:$I,CONCATENATE(X$68,$B109,"L"))+COUNTIFS(Database!$F:$I,CONCATENATE($B109,X$68,"W"))+COUNTIFS(Database!$F:$I,CONCATENATE(X$68,$B109,"W"))),"-")</f>
        <v>-</v>
      </c>
      <c r="Y109" s="122" t="str">
        <f>IFERROR((COUNTIFS(Database!$F:$I,CONCATENATE($B109,Y$68,"W"))+COUNTIFS(Database!$F:$I,CONCATENATE(Y$68,$B109,"W")))/(COUNTIFS(Database!$F:$I,CONCATENATE($B109,Y$68,"L"))+COUNTIFS(Database!$F:$I,CONCATENATE(Y$68,$B109,"L"))+COUNTIFS(Database!$F:$I,CONCATENATE($B109,Y$68,"W"))+COUNTIFS(Database!$F:$I,CONCATENATE(Y$68,$B109,"W"))),"-")</f>
        <v>-</v>
      </c>
      <c r="Z109" s="122">
        <f>IFERROR((COUNTIFS(Database!$F:$I,CONCATENATE($B109,Z$68,"W"))+COUNTIFS(Database!$F:$I,CONCATENATE(Z$68,$B109,"W")))/(COUNTIFS(Database!$F:$I,CONCATENATE($B109,Z$68,"L"))+COUNTIFS(Database!$F:$I,CONCATENATE(Z$68,$B109,"L"))+COUNTIFS(Database!$F:$I,CONCATENATE($B109,Z$68,"W"))+COUNTIFS(Database!$F:$I,CONCATENATE(Z$68,$B109,"W"))),"-")</f>
        <v>0</v>
      </c>
      <c r="AA109" s="122" t="str">
        <f>IFERROR((COUNTIFS(Database!$F:$I,CONCATENATE($B109,AA$68,"W"))+COUNTIFS(Database!$F:$I,CONCATENATE(AA$68,$B109,"W")))/(COUNTIFS(Database!$F:$I,CONCATENATE($B109,AA$68,"L"))+COUNTIFS(Database!$F:$I,CONCATENATE(AA$68,$B109,"L"))+COUNTIFS(Database!$F:$I,CONCATENATE($B109,AA$68,"W"))+COUNTIFS(Database!$F:$I,CONCATENATE(AA$68,$B109,"W"))),"-")</f>
        <v>-</v>
      </c>
      <c r="AB109" s="122">
        <f>IFERROR((COUNTIFS(Database!$F:$I,CONCATENATE($B109,AB$68,"W"))+COUNTIFS(Database!$F:$I,CONCATENATE(AB$68,$B109,"W")))/(COUNTIFS(Database!$F:$I,CONCATENATE($B109,AB$68,"L"))+COUNTIFS(Database!$F:$I,CONCATENATE(AB$68,$B109,"L"))+COUNTIFS(Database!$F:$I,CONCATENATE($B109,AB$68,"W"))+COUNTIFS(Database!$F:$I,CONCATENATE(AB$68,$B109,"W"))),"-")</f>
        <v>0</v>
      </c>
      <c r="AC109" s="122">
        <f>IFERROR((COUNTIFS(Database!$F:$I,CONCATENATE($B109,AC$68,"W"))+COUNTIFS(Database!$F:$I,CONCATENATE(AC$68,$B109,"W")))/(COUNTIFS(Database!$F:$I,CONCATENATE($B109,AC$68,"L"))+COUNTIFS(Database!$F:$I,CONCATENATE(AC$68,$B109,"L"))+COUNTIFS(Database!$F:$I,CONCATENATE($B109,AC$68,"W"))+COUNTIFS(Database!$F:$I,CONCATENATE(AC$68,$B109,"W"))),"-")</f>
        <v>0.25</v>
      </c>
      <c r="AD109" s="122" t="str">
        <f>IFERROR((COUNTIFS(Database!$F:$I,CONCATENATE($B109,AD$68,"W"))+COUNTIFS(Database!$F:$I,CONCATENATE(AD$68,$B109,"W")))/(COUNTIFS(Database!$F:$I,CONCATENATE($B109,AD$68,"L"))+COUNTIFS(Database!$F:$I,CONCATENATE(AD$68,$B109,"L"))+COUNTIFS(Database!$F:$I,CONCATENATE($B109,AD$68,"W"))+COUNTIFS(Database!$F:$I,CONCATENATE(AD$68,$B109,"W"))),"-")</f>
        <v>-</v>
      </c>
      <c r="AE109" s="122" t="str">
        <f>IFERROR((COUNTIFS(Database!$F:$I,CONCATENATE($B109,AE$68,"W"))+COUNTIFS(Database!$F:$I,CONCATENATE(AE$68,$B109,"W")))/(COUNTIFS(Database!$F:$I,CONCATENATE($B109,AE$68,"L"))+COUNTIFS(Database!$F:$I,CONCATENATE(AE$68,$B109,"L"))+COUNTIFS(Database!$F:$I,CONCATENATE($B109,AE$68,"W"))+COUNTIFS(Database!$F:$I,CONCATENATE(AE$68,$B109,"W"))),"-")</f>
        <v>-</v>
      </c>
      <c r="AF109" s="122" t="str">
        <f>IFERROR((COUNTIFS(Database!$F:$I,CONCATENATE($B109,AF$68,"W"))+COUNTIFS(Database!$F:$I,CONCATENATE(AF$68,$B109,"W")))/(COUNTIFS(Database!$F:$I,CONCATENATE($B109,AF$68,"L"))+COUNTIFS(Database!$F:$I,CONCATENATE(AF$68,$B109,"L"))+COUNTIFS(Database!$F:$I,CONCATENATE($B109,AF$68,"W"))+COUNTIFS(Database!$F:$I,CONCATENATE(AF$68,$B109,"W"))),"-")</f>
        <v>-</v>
      </c>
      <c r="AG109" s="122">
        <f>IFERROR((COUNTIFS(Database!$F:$I,CONCATENATE($B109,AG$68,"W"))+COUNTIFS(Database!$F:$I,CONCATENATE(AG$68,$B109,"W")))/(COUNTIFS(Database!$F:$I,CONCATENATE($B109,AG$68,"L"))+COUNTIFS(Database!$F:$I,CONCATENATE(AG$68,$B109,"L"))+COUNTIFS(Database!$F:$I,CONCATENATE($B109,AG$68,"W"))+COUNTIFS(Database!$F:$I,CONCATENATE(AG$68,$B109,"W"))),"-")</f>
        <v>0</v>
      </c>
      <c r="AH109" s="122" t="str">
        <f>IFERROR((COUNTIFS(Database!$F:$I,CONCATENATE($B109,AH$68,"W"))+COUNTIFS(Database!$F:$I,CONCATENATE(AH$68,$B109,"W")))/(COUNTIFS(Database!$F:$I,CONCATENATE($B109,AH$68,"L"))+COUNTIFS(Database!$F:$I,CONCATENATE(AH$68,$B109,"L"))+COUNTIFS(Database!$F:$I,CONCATENATE($B109,AH$68,"W"))+COUNTIFS(Database!$F:$I,CONCATENATE(AH$68,$B109,"W"))),"-")</f>
        <v>-</v>
      </c>
      <c r="AI109" s="122" t="str">
        <f>IFERROR((COUNTIFS(Database!$F:$I,CONCATENATE($B109,AI$68,"W"))+COUNTIFS(Database!$F:$I,CONCATENATE(AI$68,$B109,"W")))/(COUNTIFS(Database!$F:$I,CONCATENATE($B109,AI$68,"L"))+COUNTIFS(Database!$F:$I,CONCATENATE(AI$68,$B109,"L"))+COUNTIFS(Database!$F:$I,CONCATENATE($B109,AI$68,"W"))+COUNTIFS(Database!$F:$I,CONCATENATE(AI$68,$B109,"W"))),"-")</f>
        <v>-</v>
      </c>
      <c r="AJ109" s="122" t="str">
        <f>IFERROR((COUNTIFS(Database!$F:$I,CONCATENATE($B109,AJ$68,"W"))+COUNTIFS(Database!$F:$I,CONCATENATE(AJ$68,$B109,"W")))/(COUNTIFS(Database!$F:$I,CONCATENATE($B109,AJ$68,"L"))+COUNTIFS(Database!$F:$I,CONCATENATE(AJ$68,$B109,"L"))+COUNTIFS(Database!$F:$I,CONCATENATE($B109,AJ$68,"W"))+COUNTIFS(Database!$F:$I,CONCATENATE(AJ$68,$B109,"W"))),"-")</f>
        <v>-</v>
      </c>
      <c r="AK109" s="122">
        <f>IFERROR((COUNTIFS(Database!$F:$I,CONCATENATE($B109,AK$68,"W"))+COUNTIFS(Database!$F:$I,CONCATENATE(AK$68,$B109,"W")))/(COUNTIFS(Database!$F:$I,CONCATENATE($B109,AK$68,"L"))+COUNTIFS(Database!$F:$I,CONCATENATE(AK$68,$B109,"L"))+COUNTIFS(Database!$F:$I,CONCATENATE($B109,AK$68,"W"))+COUNTIFS(Database!$F:$I,CONCATENATE(AK$68,$B109,"W"))),"-")</f>
        <v>0.5</v>
      </c>
      <c r="AL109" s="122">
        <f>IFERROR((COUNTIFS(Database!$F:$I,CONCATENATE($B109,AL$68,"W"))+COUNTIFS(Database!$F:$I,CONCATENATE(AL$68,$B109,"W")))/(COUNTIFS(Database!$F:$I,CONCATENATE($B109,AL$68,"L"))+COUNTIFS(Database!$F:$I,CONCATENATE(AL$68,$B109,"L"))+COUNTIFS(Database!$F:$I,CONCATENATE($B109,AL$68,"W"))+COUNTIFS(Database!$F:$I,CONCATENATE(AL$68,$B109,"W"))),"-")</f>
        <v>0</v>
      </c>
      <c r="AM109" s="122" t="str">
        <f>IFERROR((COUNTIFS(Database!$F:$I,CONCATENATE($B109,AM$68,"W"))+COUNTIFS(Database!$F:$I,CONCATENATE(AM$68,$B109,"W")))/(COUNTIFS(Database!$F:$I,CONCATENATE($B109,AM$68,"L"))+COUNTIFS(Database!$F:$I,CONCATENATE(AM$68,$B109,"L"))+COUNTIFS(Database!$F:$I,CONCATENATE($B109,AM$68,"W"))+COUNTIFS(Database!$F:$I,CONCATENATE(AM$68,$B109,"W"))),"-")</f>
        <v>-</v>
      </c>
      <c r="AN109" s="122" t="str">
        <f>IFERROR((COUNTIFS(Database!$F:$I,CONCATENATE($B109,AN$68,"W"))+COUNTIFS(Database!$F:$I,CONCATENATE(AN$68,$B109,"W")))/(COUNTIFS(Database!$F:$I,CONCATENATE($B109,AN$68,"L"))+COUNTIFS(Database!$F:$I,CONCATENATE(AN$68,$B109,"L"))+COUNTIFS(Database!$F:$I,CONCATENATE($B109,AN$68,"W"))+COUNTIFS(Database!$F:$I,CONCATENATE(AN$68,$B109,"W"))),"-")</f>
        <v>-</v>
      </c>
      <c r="AO109" s="122">
        <f>IFERROR((COUNTIFS(Database!$F:$I,CONCATENATE($B109,AO$68,"W"))+COUNTIFS(Database!$F:$I,CONCATENATE(AO$68,$B109,"W")))/(COUNTIFS(Database!$F:$I,CONCATENATE($B109,AO$68,"L"))+COUNTIFS(Database!$F:$I,CONCATENATE(AO$68,$B109,"L"))+COUNTIFS(Database!$F:$I,CONCATENATE($B109,AO$68,"W"))+COUNTIFS(Database!$F:$I,CONCATENATE(AO$68,$B109,"W"))),"-")</f>
        <v>0.5</v>
      </c>
      <c r="AP109" s="122" t="str">
        <f>IFERROR((COUNTIFS(Database!$F:$I,CONCATENATE($B109,AP$68,"W"))+COUNTIFS(Database!$F:$I,CONCATENATE(AP$68,$B109,"W")))/(COUNTIFS(Database!$F:$I,CONCATENATE($B109,AP$68,"L"))+COUNTIFS(Database!$F:$I,CONCATENATE(AP$68,$B109,"L"))+COUNTIFS(Database!$F:$I,CONCATENATE($B109,AP$68,"W"))+COUNTIFS(Database!$F:$I,CONCATENATE(AP$68,$B109,"W"))),"-")</f>
        <v>-</v>
      </c>
      <c r="AQ109" s="122" t="str">
        <f>IFERROR((COUNTIFS(Database!$F:$I,CONCATENATE($B109,AQ$68,"W"))+COUNTIFS(Database!$F:$I,CONCATENATE(AQ$68,$B109,"W")))/(COUNTIFS(Database!$F:$I,CONCATENATE($B109,AQ$68,"L"))+COUNTIFS(Database!$F:$I,CONCATENATE(AQ$68,$B109,"L"))+COUNTIFS(Database!$F:$I,CONCATENATE($B109,AQ$68,"W"))+COUNTIFS(Database!$F:$I,CONCATENATE(AQ$68,$B109,"W"))),"-")</f>
        <v>-</v>
      </c>
      <c r="AR109" s="122">
        <f>IFERROR((COUNTIFS(Database!$F:$I,CONCATENATE($B109,AR$68,"W"))+COUNTIFS(Database!$F:$I,CONCATENATE(AR$68,$B109,"W")))/(COUNTIFS(Database!$F:$I,CONCATENATE($B109,AR$68,"L"))+COUNTIFS(Database!$F:$I,CONCATENATE(AR$68,$B109,"L"))+COUNTIFS(Database!$F:$I,CONCATENATE($B109,AR$68,"W"))+COUNTIFS(Database!$F:$I,CONCATENATE(AR$68,$B109,"W"))),"-")</f>
        <v>0</v>
      </c>
      <c r="AS109" s="122" t="str">
        <f>IFERROR((COUNTIFS(Database!$F:$I,CONCATENATE($B109,AS$68,"W"))+COUNTIFS(Database!$F:$I,CONCATENATE(AS$68,$B109,"W")))/(COUNTIFS(Database!$F:$I,CONCATENATE($B109,AS$68,"L"))+COUNTIFS(Database!$F:$I,CONCATENATE(AS$68,$B109,"L"))+COUNTIFS(Database!$F:$I,CONCATENATE($B109,AS$68,"W"))+COUNTIFS(Database!$F:$I,CONCATENATE(AS$68,$B109,"W"))),"-")</f>
        <v>-</v>
      </c>
      <c r="AT109" s="122" t="str">
        <f>IFERROR((COUNTIFS(Database!$F:$I,CONCATENATE($B109,AT$68,"W"))+COUNTIFS(Database!$F:$I,CONCATENATE(AT$68,$B109,"W")))/(COUNTIFS(Database!$F:$I,CONCATENATE($B109,AT$68,"L"))+COUNTIFS(Database!$F:$I,CONCATENATE(AT$68,$B109,"L"))+COUNTIFS(Database!$F:$I,CONCATENATE($B109,AT$68,"W"))+COUNTIFS(Database!$F:$I,CONCATENATE(AT$68,$B109,"W"))),"-")</f>
        <v>-</v>
      </c>
      <c r="AU109" s="122">
        <f>IFERROR((COUNTIFS(Database!$F:$I,CONCATENATE($B109,AU$68,"W"))+COUNTIFS(Database!$F:$I,CONCATENATE(AU$68,$B109,"W")))/(COUNTIFS(Database!$F:$I,CONCATENATE($B109,AU$68,"L"))+COUNTIFS(Database!$F:$I,CONCATENATE(AU$68,$B109,"L"))+COUNTIFS(Database!$F:$I,CONCATENATE($B109,AU$68,"W"))+COUNTIFS(Database!$F:$I,CONCATENATE(AU$68,$B109,"W"))),"-")</f>
        <v>0</v>
      </c>
      <c r="AV109" s="122" t="str">
        <f>IFERROR((COUNTIFS(Database!$F:$I,CONCATENATE($B109,AV$68,"W"))+COUNTIFS(Database!$F:$I,CONCATENATE(AV$68,$B109,"W")))/(COUNTIFS(Database!$F:$I,CONCATENATE($B109,AV$68,"L"))+COUNTIFS(Database!$F:$I,CONCATENATE(AV$68,$B109,"L"))+COUNTIFS(Database!$F:$I,CONCATENATE($B109,AV$68,"W"))+COUNTIFS(Database!$F:$I,CONCATENATE(AV$68,$B109,"W"))),"-")</f>
        <v>-</v>
      </c>
      <c r="AW109" s="122" t="str">
        <f>IFERROR((COUNTIFS(Database!$F:$I,CONCATENATE($B109,AW$68,"W"))+COUNTIFS(Database!$F:$I,CONCATENATE(AW$68,$B109,"W")))/(COUNTIFS(Database!$F:$I,CONCATENATE($B109,AW$68,"L"))+COUNTIFS(Database!$F:$I,CONCATENATE(AW$68,$B109,"L"))+COUNTIFS(Database!$F:$I,CONCATENATE($B109,AW$68,"W"))+COUNTIFS(Database!$F:$I,CONCATENATE(AW$68,$B109,"W"))),"-")</f>
        <v>-</v>
      </c>
      <c r="AX109" s="122">
        <f>IFERROR((COUNTIFS(Database!$F:$I,CONCATENATE($B109,AX$68,"W"))+COUNTIFS(Database!$F:$I,CONCATENATE(AX$68,$B109,"W")))/(COUNTIFS(Database!$F:$I,CONCATENATE($B109,AX$68,"L"))+COUNTIFS(Database!$F:$I,CONCATENATE(AX$68,$B109,"L"))+COUNTIFS(Database!$F:$I,CONCATENATE($B109,AX$68,"W"))+COUNTIFS(Database!$F:$I,CONCATENATE(AX$68,$B109,"W"))),"-")</f>
        <v>0.5</v>
      </c>
      <c r="AY109" s="122">
        <f>IFERROR((COUNTIFS(Database!$F:$I,CONCATENATE($B109,AY$68,"W"))+COUNTIFS(Database!$F:$I,CONCATENATE(AY$68,$B109,"W")))/(COUNTIFS(Database!$F:$I,CONCATENATE($B109,AY$68,"L"))+COUNTIFS(Database!$F:$I,CONCATENATE(AY$68,$B109,"L"))+COUNTIFS(Database!$F:$I,CONCATENATE($B109,AY$68,"W"))+COUNTIFS(Database!$F:$I,CONCATENATE(AY$68,$B109,"W"))),"-")</f>
        <v>0</v>
      </c>
    </row>
    <row r="110" spans="2:51" x14ac:dyDescent="0.25">
      <c r="B110" s="120" t="s">
        <v>44</v>
      </c>
      <c r="C110" s="122">
        <f>IFERROR((COUNTIFS(Database!$F:$I,CONCATENATE($B110,C$68,"W"))+COUNTIFS(Database!$F:$I,CONCATENATE(C$68,$B110,"W")))/(COUNTIFS(Database!$F:$I,CONCATENATE($B110,C$68,"L"))+COUNTIFS(Database!$F:$I,CONCATENATE(C$68,$B110,"L"))+COUNTIFS(Database!$F:$I,CONCATENATE($B110,C$68,"W"))+COUNTIFS(Database!$F:$I,CONCATENATE(C$68,$B110,"W"))),"-")</f>
        <v>0.45454545454545453</v>
      </c>
      <c r="D110" s="122">
        <f>IFERROR((COUNTIFS(Database!$F:$I,CONCATENATE($B110,D$68,"W"))+COUNTIFS(Database!$F:$I,CONCATENATE(D$68,$B110,"W")))/(COUNTIFS(Database!$F:$I,CONCATENATE($B110,D$68,"L"))+COUNTIFS(Database!$F:$I,CONCATENATE(D$68,$B110,"L"))+COUNTIFS(Database!$F:$I,CONCATENATE($B110,D$68,"W"))+COUNTIFS(Database!$F:$I,CONCATENATE(D$68,$B110,"W"))),"-")</f>
        <v>1</v>
      </c>
      <c r="E110" s="122">
        <f>IFERROR((COUNTIFS(Database!$F:$I,CONCATENATE($B110,E$68,"W"))+COUNTIFS(Database!$F:$I,CONCATENATE(E$68,$B110,"W")))/(COUNTIFS(Database!$F:$I,CONCATENATE($B110,E$68,"L"))+COUNTIFS(Database!$F:$I,CONCATENATE(E$68,$B110,"L"))+COUNTIFS(Database!$F:$I,CONCATENATE($B110,E$68,"W"))+COUNTIFS(Database!$F:$I,CONCATENATE(E$68,$B110,"W"))),"-")</f>
        <v>0.5714285714285714</v>
      </c>
      <c r="F110" s="122">
        <f>IFERROR((COUNTIFS(Database!$F:$I,CONCATENATE($B110,F$68,"W"))+COUNTIFS(Database!$F:$I,CONCATENATE(F$68,$B110,"W")))/(COUNTIFS(Database!$F:$I,CONCATENATE($B110,F$68,"L"))+COUNTIFS(Database!$F:$I,CONCATENATE(F$68,$B110,"L"))+COUNTIFS(Database!$F:$I,CONCATENATE($B110,F$68,"W"))+COUNTIFS(Database!$F:$I,CONCATENATE(F$68,$B110,"W"))),"-")</f>
        <v>0.33333333333333331</v>
      </c>
      <c r="G110" s="122" t="str">
        <f>IFERROR((COUNTIFS(Database!$F:$I,CONCATENATE($B110,G$68,"W"))+COUNTIFS(Database!$F:$I,CONCATENATE(G$68,$B110,"W")))/(COUNTIFS(Database!$F:$I,CONCATENATE($B110,G$68,"L"))+COUNTIFS(Database!$F:$I,CONCATENATE(G$68,$B110,"L"))+COUNTIFS(Database!$F:$I,CONCATENATE($B110,G$68,"W"))+COUNTIFS(Database!$F:$I,CONCATENATE(G$68,$B110,"W"))),"-")</f>
        <v>-</v>
      </c>
      <c r="H110" s="122" t="str">
        <f>IFERROR((COUNTIFS(Database!$F:$I,CONCATENATE($B110,H$68,"W"))+COUNTIFS(Database!$F:$I,CONCATENATE(H$68,$B110,"W")))/(COUNTIFS(Database!$F:$I,CONCATENATE($B110,H$68,"L"))+COUNTIFS(Database!$F:$I,CONCATENATE(H$68,$B110,"L"))+COUNTIFS(Database!$F:$I,CONCATENATE($B110,H$68,"W"))+COUNTIFS(Database!$F:$I,CONCATENATE(H$68,$B110,"W"))),"-")</f>
        <v>-</v>
      </c>
      <c r="I110" s="122">
        <f>IFERROR((COUNTIFS(Database!$F:$I,CONCATENATE($B110,I$68,"W"))+COUNTIFS(Database!$F:$I,CONCATENATE(I$68,$B110,"W")))/(COUNTIFS(Database!$F:$I,CONCATENATE($B110,I$68,"L"))+COUNTIFS(Database!$F:$I,CONCATENATE(I$68,$B110,"L"))+COUNTIFS(Database!$F:$I,CONCATENATE($B110,I$68,"W"))+COUNTIFS(Database!$F:$I,CONCATENATE(I$68,$B110,"W"))),"-")</f>
        <v>0.5</v>
      </c>
      <c r="J110" s="122">
        <f>IFERROR((COUNTIFS(Database!$F:$I,CONCATENATE($B110,J$68,"W"))+COUNTIFS(Database!$F:$I,CONCATENATE(J$68,$B110,"W")))/(COUNTIFS(Database!$F:$I,CONCATENATE($B110,J$68,"L"))+COUNTIFS(Database!$F:$I,CONCATENATE(J$68,$B110,"L"))+COUNTIFS(Database!$F:$I,CONCATENATE($B110,J$68,"W"))+COUNTIFS(Database!$F:$I,CONCATENATE(J$68,$B110,"W"))),"-")</f>
        <v>0.75</v>
      </c>
      <c r="K110" s="122">
        <f>IFERROR((COUNTIFS(Database!$F:$I,CONCATENATE($B110,K$68,"W"))+COUNTIFS(Database!$F:$I,CONCATENATE(K$68,$B110,"W")))/(COUNTIFS(Database!$F:$I,CONCATENATE($B110,K$68,"L"))+COUNTIFS(Database!$F:$I,CONCATENATE(K$68,$B110,"L"))+COUNTIFS(Database!$F:$I,CONCATENATE($B110,K$68,"W"))+COUNTIFS(Database!$F:$I,CONCATENATE(K$68,$B110,"W"))),"-")</f>
        <v>0.33333333333333331</v>
      </c>
      <c r="L110" s="122">
        <f>IFERROR((COUNTIFS(Database!$F:$I,CONCATENATE($B110,L$68,"W"))+COUNTIFS(Database!$F:$I,CONCATENATE(L$68,$B110,"W")))/(COUNTIFS(Database!$F:$I,CONCATENATE($B110,L$68,"L"))+COUNTIFS(Database!$F:$I,CONCATENATE(L$68,$B110,"L"))+COUNTIFS(Database!$F:$I,CONCATENATE($B110,L$68,"W"))+COUNTIFS(Database!$F:$I,CONCATENATE(L$68,$B110,"W"))),"-")</f>
        <v>0.75</v>
      </c>
      <c r="M110" s="122">
        <f>IFERROR((COUNTIFS(Database!$F:$I,CONCATENATE($B110,M$68,"W"))+COUNTIFS(Database!$F:$I,CONCATENATE(M$68,$B110,"W")))/(COUNTIFS(Database!$F:$I,CONCATENATE($B110,M$68,"L"))+COUNTIFS(Database!$F:$I,CONCATENATE(M$68,$B110,"L"))+COUNTIFS(Database!$F:$I,CONCATENATE($B110,M$68,"W"))+COUNTIFS(Database!$F:$I,CONCATENATE(M$68,$B110,"W"))),"-")</f>
        <v>1</v>
      </c>
      <c r="N110" s="122" t="str">
        <f>IFERROR((COUNTIFS(Database!$F:$I,CONCATENATE($B110,N$68,"W"))+COUNTIFS(Database!$F:$I,CONCATENATE(N$68,$B110,"W")))/(COUNTIFS(Database!$F:$I,CONCATENATE($B110,N$68,"L"))+COUNTIFS(Database!$F:$I,CONCATENATE(N$68,$B110,"L"))+COUNTIFS(Database!$F:$I,CONCATENATE($B110,N$68,"W"))+COUNTIFS(Database!$F:$I,CONCATENATE(N$68,$B110,"W"))),"-")</f>
        <v>-</v>
      </c>
      <c r="O110" s="122">
        <f>IFERROR((COUNTIFS(Database!$F:$I,CONCATENATE($B110,O$68,"W"))+COUNTIFS(Database!$F:$I,CONCATENATE(O$68,$B110,"W")))/(COUNTIFS(Database!$F:$I,CONCATENATE($B110,O$68,"L"))+COUNTIFS(Database!$F:$I,CONCATENATE(O$68,$B110,"L"))+COUNTIFS(Database!$F:$I,CONCATENATE($B110,O$68,"W"))+COUNTIFS(Database!$F:$I,CONCATENATE(O$68,$B110,"W"))),"-")</f>
        <v>0.16666666666666666</v>
      </c>
      <c r="P110" s="122" t="str">
        <f>IFERROR((COUNTIFS(Database!$F:$I,CONCATENATE($B110,P$68,"W"))+COUNTIFS(Database!$F:$I,CONCATENATE(P$68,$B110,"W")))/(COUNTIFS(Database!$F:$I,CONCATENATE($B110,P$68,"L"))+COUNTIFS(Database!$F:$I,CONCATENATE(P$68,$B110,"L"))+COUNTIFS(Database!$F:$I,CONCATENATE($B110,P$68,"W"))+COUNTIFS(Database!$F:$I,CONCATENATE(P$68,$B110,"W"))),"-")</f>
        <v>-</v>
      </c>
      <c r="Q110" s="122" t="str">
        <f>IFERROR((COUNTIFS(Database!$F:$I,CONCATENATE($B110,Q$68,"W"))+COUNTIFS(Database!$F:$I,CONCATENATE(Q$68,$B110,"W")))/(COUNTIFS(Database!$F:$I,CONCATENATE($B110,Q$68,"L"))+COUNTIFS(Database!$F:$I,CONCATENATE(Q$68,$B110,"L"))+COUNTIFS(Database!$F:$I,CONCATENATE($B110,Q$68,"W"))+COUNTIFS(Database!$F:$I,CONCATENATE(Q$68,$B110,"W"))),"-")</f>
        <v>-</v>
      </c>
      <c r="R110" s="122" t="str">
        <f>IFERROR((COUNTIFS(Database!$F:$I,CONCATENATE($B110,R$68,"W"))+COUNTIFS(Database!$F:$I,CONCATENATE(R$68,$B110,"W")))/(COUNTIFS(Database!$F:$I,CONCATENATE($B110,R$68,"L"))+COUNTIFS(Database!$F:$I,CONCATENATE(R$68,$B110,"L"))+COUNTIFS(Database!$F:$I,CONCATENATE($B110,R$68,"W"))+COUNTIFS(Database!$F:$I,CONCATENATE(R$68,$B110,"W"))),"-")</f>
        <v>-</v>
      </c>
      <c r="S110" s="122">
        <f>IFERROR((COUNTIFS(Database!$F:$I,CONCATENATE($B110,S$68,"W"))+COUNTIFS(Database!$F:$I,CONCATENATE(S$68,$B110,"W")))/(COUNTIFS(Database!$F:$I,CONCATENATE($B110,S$68,"L"))+COUNTIFS(Database!$F:$I,CONCATENATE(S$68,$B110,"L"))+COUNTIFS(Database!$F:$I,CONCATENATE($B110,S$68,"W"))+COUNTIFS(Database!$F:$I,CONCATENATE(S$68,$B110,"W"))),"-")</f>
        <v>1</v>
      </c>
      <c r="T110" s="122">
        <f>IFERROR((COUNTIFS(Database!$F:$I,CONCATENATE($B110,T$68,"W"))+COUNTIFS(Database!$F:$I,CONCATENATE(T$68,$B110,"W")))/(COUNTIFS(Database!$F:$I,CONCATENATE($B110,T$68,"L"))+COUNTIFS(Database!$F:$I,CONCATENATE(T$68,$B110,"L"))+COUNTIFS(Database!$F:$I,CONCATENATE($B110,T$68,"W"))+COUNTIFS(Database!$F:$I,CONCATENATE(T$68,$B110,"W"))),"-")</f>
        <v>0.25</v>
      </c>
      <c r="U110" s="122" t="str">
        <f>IFERROR((COUNTIFS(Database!$F:$I,CONCATENATE($B110,U$68,"W"))+COUNTIFS(Database!$F:$I,CONCATENATE(U$68,$B110,"W")))/(COUNTIFS(Database!$F:$I,CONCATENATE($B110,U$68,"L"))+COUNTIFS(Database!$F:$I,CONCATENATE(U$68,$B110,"L"))+COUNTIFS(Database!$F:$I,CONCATENATE($B110,U$68,"W"))+COUNTIFS(Database!$F:$I,CONCATENATE(U$68,$B110,"W"))),"-")</f>
        <v>-</v>
      </c>
      <c r="V110" s="122">
        <f>IFERROR((COUNTIFS(Database!$F:$I,CONCATENATE($B110,V$68,"W"))+COUNTIFS(Database!$F:$I,CONCATENATE(V$68,$B110,"W")))/(COUNTIFS(Database!$F:$I,CONCATENATE($B110,V$68,"L"))+COUNTIFS(Database!$F:$I,CONCATENATE(V$68,$B110,"L"))+COUNTIFS(Database!$F:$I,CONCATENATE($B110,V$68,"W"))+COUNTIFS(Database!$F:$I,CONCATENATE(V$68,$B110,"W"))),"-")</f>
        <v>0.5</v>
      </c>
      <c r="W110" s="122">
        <f>IFERROR((COUNTIFS(Database!$F:$I,CONCATENATE($B110,W$68,"W"))+COUNTIFS(Database!$F:$I,CONCATENATE(W$68,$B110,"W")))/(COUNTIFS(Database!$F:$I,CONCATENATE($B110,W$68,"L"))+COUNTIFS(Database!$F:$I,CONCATENATE(W$68,$B110,"L"))+COUNTIFS(Database!$F:$I,CONCATENATE($B110,W$68,"W"))+COUNTIFS(Database!$F:$I,CONCATENATE(W$68,$B110,"W"))),"-")</f>
        <v>0.44444444444444442</v>
      </c>
      <c r="X110" s="122" t="str">
        <f>IFERROR((COUNTIFS(Database!$F:$I,CONCATENATE($B110,X$68,"W"))+COUNTIFS(Database!$F:$I,CONCATENATE(X$68,$B110,"W")))/(COUNTIFS(Database!$F:$I,CONCATENATE($B110,X$68,"L"))+COUNTIFS(Database!$F:$I,CONCATENATE(X$68,$B110,"L"))+COUNTIFS(Database!$F:$I,CONCATENATE($B110,X$68,"W"))+COUNTIFS(Database!$F:$I,CONCATENATE(X$68,$B110,"W"))),"-")</f>
        <v>-</v>
      </c>
      <c r="Y110" s="122">
        <f>IFERROR((COUNTIFS(Database!$F:$I,CONCATENATE($B110,Y$68,"W"))+COUNTIFS(Database!$F:$I,CONCATENATE(Y$68,$B110,"W")))/(COUNTIFS(Database!$F:$I,CONCATENATE($B110,Y$68,"L"))+COUNTIFS(Database!$F:$I,CONCATENATE(Y$68,$B110,"L"))+COUNTIFS(Database!$F:$I,CONCATENATE($B110,Y$68,"W"))+COUNTIFS(Database!$F:$I,CONCATENATE(Y$68,$B110,"W"))),"-")</f>
        <v>0.2857142857142857</v>
      </c>
      <c r="Z110" s="122" t="str">
        <f>IFERROR((COUNTIFS(Database!$F:$I,CONCATENATE($B110,Z$68,"W"))+COUNTIFS(Database!$F:$I,CONCATENATE(Z$68,$B110,"W")))/(COUNTIFS(Database!$F:$I,CONCATENATE($B110,Z$68,"L"))+COUNTIFS(Database!$F:$I,CONCATENATE(Z$68,$B110,"L"))+COUNTIFS(Database!$F:$I,CONCATENATE($B110,Z$68,"W"))+COUNTIFS(Database!$F:$I,CONCATENATE(Z$68,$B110,"W"))),"-")</f>
        <v>-</v>
      </c>
      <c r="AA110" s="122">
        <f>IFERROR((COUNTIFS(Database!$F:$I,CONCATENATE($B110,AA$68,"W"))+COUNTIFS(Database!$F:$I,CONCATENATE(AA$68,$B110,"W")))/(COUNTIFS(Database!$F:$I,CONCATENATE($B110,AA$68,"L"))+COUNTIFS(Database!$F:$I,CONCATENATE(AA$68,$B110,"L"))+COUNTIFS(Database!$F:$I,CONCATENATE($B110,AA$68,"W"))+COUNTIFS(Database!$F:$I,CONCATENATE(AA$68,$B110,"W"))),"-")</f>
        <v>0.5</v>
      </c>
      <c r="AB110" s="122">
        <f>IFERROR((COUNTIFS(Database!$F:$I,CONCATENATE($B110,AB$68,"W"))+COUNTIFS(Database!$F:$I,CONCATENATE(AB$68,$B110,"W")))/(COUNTIFS(Database!$F:$I,CONCATENATE($B110,AB$68,"L"))+COUNTIFS(Database!$F:$I,CONCATENATE(AB$68,$B110,"L"))+COUNTIFS(Database!$F:$I,CONCATENATE($B110,AB$68,"W"))+COUNTIFS(Database!$F:$I,CONCATENATE(AB$68,$B110,"W"))),"-")</f>
        <v>0.2857142857142857</v>
      </c>
      <c r="AC110" s="122">
        <f>IFERROR((COUNTIFS(Database!$F:$I,CONCATENATE($B110,AC$68,"W"))+COUNTIFS(Database!$F:$I,CONCATENATE(AC$68,$B110,"W")))/(COUNTIFS(Database!$F:$I,CONCATENATE($B110,AC$68,"L"))+COUNTIFS(Database!$F:$I,CONCATENATE(AC$68,$B110,"L"))+COUNTIFS(Database!$F:$I,CONCATENATE($B110,AC$68,"W"))+COUNTIFS(Database!$F:$I,CONCATENATE(AC$68,$B110,"W"))),"-")</f>
        <v>0.5</v>
      </c>
      <c r="AD110" s="122">
        <f>IFERROR((COUNTIFS(Database!$F:$I,CONCATENATE($B110,AD$68,"W"))+COUNTIFS(Database!$F:$I,CONCATENATE(AD$68,$B110,"W")))/(COUNTIFS(Database!$F:$I,CONCATENATE($B110,AD$68,"L"))+COUNTIFS(Database!$F:$I,CONCATENATE(AD$68,$B110,"L"))+COUNTIFS(Database!$F:$I,CONCATENATE($B110,AD$68,"W"))+COUNTIFS(Database!$F:$I,CONCATENATE(AD$68,$B110,"W"))),"-")</f>
        <v>0.66666666666666663</v>
      </c>
      <c r="AE110" s="122" t="str">
        <f>IFERROR((COUNTIFS(Database!$F:$I,CONCATENATE($B110,AE$68,"W"))+COUNTIFS(Database!$F:$I,CONCATENATE(AE$68,$B110,"W")))/(COUNTIFS(Database!$F:$I,CONCATENATE($B110,AE$68,"L"))+COUNTIFS(Database!$F:$I,CONCATENATE(AE$68,$B110,"L"))+COUNTIFS(Database!$F:$I,CONCATENATE($B110,AE$68,"W"))+COUNTIFS(Database!$F:$I,CONCATENATE(AE$68,$B110,"W"))),"-")</f>
        <v>-</v>
      </c>
      <c r="AF110" s="122" t="str">
        <f>IFERROR((COUNTIFS(Database!$F:$I,CONCATENATE($B110,AF$68,"W"))+COUNTIFS(Database!$F:$I,CONCATENATE(AF$68,$B110,"W")))/(COUNTIFS(Database!$F:$I,CONCATENATE($B110,AF$68,"L"))+COUNTIFS(Database!$F:$I,CONCATENATE(AF$68,$B110,"L"))+COUNTIFS(Database!$F:$I,CONCATENATE($B110,AF$68,"W"))+COUNTIFS(Database!$F:$I,CONCATENATE(AF$68,$B110,"W"))),"-")</f>
        <v>-</v>
      </c>
      <c r="AG110" s="122">
        <f>IFERROR((COUNTIFS(Database!$F:$I,CONCATENATE($B110,AG$68,"W"))+COUNTIFS(Database!$F:$I,CONCATENATE(AG$68,$B110,"W")))/(COUNTIFS(Database!$F:$I,CONCATENATE($B110,AG$68,"L"))+COUNTIFS(Database!$F:$I,CONCATENATE(AG$68,$B110,"L"))+COUNTIFS(Database!$F:$I,CONCATENATE($B110,AG$68,"W"))+COUNTIFS(Database!$F:$I,CONCATENATE(AG$68,$B110,"W"))),"-")</f>
        <v>1</v>
      </c>
      <c r="AH110" s="122" t="str">
        <f>IFERROR((COUNTIFS(Database!$F:$I,CONCATENATE($B110,AH$68,"W"))+COUNTIFS(Database!$F:$I,CONCATENATE(AH$68,$B110,"W")))/(COUNTIFS(Database!$F:$I,CONCATENATE($B110,AH$68,"L"))+COUNTIFS(Database!$F:$I,CONCATENATE(AH$68,$B110,"L"))+COUNTIFS(Database!$F:$I,CONCATENATE($B110,AH$68,"W"))+COUNTIFS(Database!$F:$I,CONCATENATE(AH$68,$B110,"W"))),"-")</f>
        <v>-</v>
      </c>
      <c r="AI110" s="122">
        <f>IFERROR((COUNTIFS(Database!$F:$I,CONCATENATE($B110,AI$68,"W"))+COUNTIFS(Database!$F:$I,CONCATENATE(AI$68,$B110,"W")))/(COUNTIFS(Database!$F:$I,CONCATENATE($B110,AI$68,"L"))+COUNTIFS(Database!$F:$I,CONCATENATE(AI$68,$B110,"L"))+COUNTIFS(Database!$F:$I,CONCATENATE($B110,AI$68,"W"))+COUNTIFS(Database!$F:$I,CONCATENATE(AI$68,$B110,"W"))),"-")</f>
        <v>0.5</v>
      </c>
      <c r="AJ110" s="122">
        <f>IFERROR((COUNTIFS(Database!$F:$I,CONCATENATE($B110,AJ$68,"W"))+COUNTIFS(Database!$F:$I,CONCATENATE(AJ$68,$B110,"W")))/(COUNTIFS(Database!$F:$I,CONCATENATE($B110,AJ$68,"L"))+COUNTIFS(Database!$F:$I,CONCATENATE(AJ$68,$B110,"L"))+COUNTIFS(Database!$F:$I,CONCATENATE($B110,AJ$68,"W"))+COUNTIFS(Database!$F:$I,CONCATENATE(AJ$68,$B110,"W"))),"-")</f>
        <v>0.5</v>
      </c>
      <c r="AK110" s="122">
        <f>IFERROR((COUNTIFS(Database!$F:$I,CONCATENATE($B110,AK$68,"W"))+COUNTIFS(Database!$F:$I,CONCATENATE(AK$68,$B110,"W")))/(COUNTIFS(Database!$F:$I,CONCATENATE($B110,AK$68,"L"))+COUNTIFS(Database!$F:$I,CONCATENATE(AK$68,$B110,"L"))+COUNTIFS(Database!$F:$I,CONCATENATE($B110,AK$68,"W"))+COUNTIFS(Database!$F:$I,CONCATENATE(AK$68,$B110,"W"))),"-")</f>
        <v>0.75</v>
      </c>
      <c r="AL110" s="122">
        <f>IFERROR((COUNTIFS(Database!$F:$I,CONCATENATE($B110,AL$68,"W"))+COUNTIFS(Database!$F:$I,CONCATENATE(AL$68,$B110,"W")))/(COUNTIFS(Database!$F:$I,CONCATENATE($B110,AL$68,"L"))+COUNTIFS(Database!$F:$I,CONCATENATE(AL$68,$B110,"L"))+COUNTIFS(Database!$F:$I,CONCATENATE($B110,AL$68,"W"))+COUNTIFS(Database!$F:$I,CONCATENATE(AL$68,$B110,"W"))),"-")</f>
        <v>0.5</v>
      </c>
      <c r="AM110" s="122" t="str">
        <f>IFERROR((COUNTIFS(Database!$F:$I,CONCATENATE($B110,AM$68,"W"))+COUNTIFS(Database!$F:$I,CONCATENATE(AM$68,$B110,"W")))/(COUNTIFS(Database!$F:$I,CONCATENATE($B110,AM$68,"L"))+COUNTIFS(Database!$F:$I,CONCATENATE(AM$68,$B110,"L"))+COUNTIFS(Database!$F:$I,CONCATENATE($B110,AM$68,"W"))+COUNTIFS(Database!$F:$I,CONCATENATE(AM$68,$B110,"W"))),"-")</f>
        <v>-</v>
      </c>
      <c r="AN110" s="122" t="str">
        <f>IFERROR((COUNTIFS(Database!$F:$I,CONCATENATE($B110,AN$68,"W"))+COUNTIFS(Database!$F:$I,CONCATENATE(AN$68,$B110,"W")))/(COUNTIFS(Database!$F:$I,CONCATENATE($B110,AN$68,"L"))+COUNTIFS(Database!$F:$I,CONCATENATE(AN$68,$B110,"L"))+COUNTIFS(Database!$F:$I,CONCATENATE($B110,AN$68,"W"))+COUNTIFS(Database!$F:$I,CONCATENATE(AN$68,$B110,"W"))),"-")</f>
        <v>-</v>
      </c>
      <c r="AO110" s="122">
        <f>IFERROR((COUNTIFS(Database!$F:$I,CONCATENATE($B110,AO$68,"W"))+COUNTIFS(Database!$F:$I,CONCATENATE(AO$68,$B110,"W")))/(COUNTIFS(Database!$F:$I,CONCATENATE($B110,AO$68,"L"))+COUNTIFS(Database!$F:$I,CONCATENATE(AO$68,$B110,"L"))+COUNTIFS(Database!$F:$I,CONCATENATE($B110,AO$68,"W"))+COUNTIFS(Database!$F:$I,CONCATENATE(AO$68,$B110,"W"))),"-")</f>
        <v>0.66666666666666663</v>
      </c>
      <c r="AP110" s="122" t="str">
        <f>IFERROR((COUNTIFS(Database!$F:$I,CONCATENATE($B110,AP$68,"W"))+COUNTIFS(Database!$F:$I,CONCATENATE(AP$68,$B110,"W")))/(COUNTIFS(Database!$F:$I,CONCATENATE($B110,AP$68,"L"))+COUNTIFS(Database!$F:$I,CONCATENATE(AP$68,$B110,"L"))+COUNTIFS(Database!$F:$I,CONCATENATE($B110,AP$68,"W"))+COUNTIFS(Database!$F:$I,CONCATENATE(AP$68,$B110,"W"))),"-")</f>
        <v>-</v>
      </c>
      <c r="AQ110" s="122">
        <f>IFERROR((COUNTIFS(Database!$F:$I,CONCATENATE($B110,AQ$68,"W"))+COUNTIFS(Database!$F:$I,CONCATENATE(AQ$68,$B110,"W")))/(COUNTIFS(Database!$F:$I,CONCATENATE($B110,AQ$68,"L"))+COUNTIFS(Database!$F:$I,CONCATENATE(AQ$68,$B110,"L"))+COUNTIFS(Database!$F:$I,CONCATENATE($B110,AQ$68,"W"))+COUNTIFS(Database!$F:$I,CONCATENATE(AQ$68,$B110,"W"))),"-")</f>
        <v>0</v>
      </c>
      <c r="AR110" s="122" t="str">
        <f>IFERROR((COUNTIFS(Database!$F:$I,CONCATENATE($B110,AR$68,"W"))+COUNTIFS(Database!$F:$I,CONCATENATE(AR$68,$B110,"W")))/(COUNTIFS(Database!$F:$I,CONCATENATE($B110,AR$68,"L"))+COUNTIFS(Database!$F:$I,CONCATENATE(AR$68,$B110,"L"))+COUNTIFS(Database!$F:$I,CONCATENATE($B110,AR$68,"W"))+COUNTIFS(Database!$F:$I,CONCATENATE(AR$68,$B110,"W"))),"-")</f>
        <v>-</v>
      </c>
      <c r="AS110" s="122">
        <f>IFERROR((COUNTIFS(Database!$F:$I,CONCATENATE($B110,AS$68,"W"))+COUNTIFS(Database!$F:$I,CONCATENATE(AS$68,$B110,"W")))/(COUNTIFS(Database!$F:$I,CONCATENATE($B110,AS$68,"L"))+COUNTIFS(Database!$F:$I,CONCATENATE(AS$68,$B110,"L"))+COUNTIFS(Database!$F:$I,CONCATENATE($B110,AS$68,"W"))+COUNTIFS(Database!$F:$I,CONCATENATE(AS$68,$B110,"W"))),"-")</f>
        <v>0</v>
      </c>
      <c r="AT110" s="122" t="str">
        <f>IFERROR((COUNTIFS(Database!$F:$I,CONCATENATE($B110,AT$68,"W"))+COUNTIFS(Database!$F:$I,CONCATENATE(AT$68,$B110,"W")))/(COUNTIFS(Database!$F:$I,CONCATENATE($B110,AT$68,"L"))+COUNTIFS(Database!$F:$I,CONCATENATE(AT$68,$B110,"L"))+COUNTIFS(Database!$F:$I,CONCATENATE($B110,AT$68,"W"))+COUNTIFS(Database!$F:$I,CONCATENATE(AT$68,$B110,"W"))),"-")</f>
        <v>-</v>
      </c>
      <c r="AU110" s="122">
        <f>IFERROR((COUNTIFS(Database!$F:$I,CONCATENATE($B110,AU$68,"W"))+COUNTIFS(Database!$F:$I,CONCATENATE(AU$68,$B110,"W")))/(COUNTIFS(Database!$F:$I,CONCATENATE($B110,AU$68,"L"))+COUNTIFS(Database!$F:$I,CONCATENATE(AU$68,$B110,"L"))+COUNTIFS(Database!$F:$I,CONCATENATE($B110,AU$68,"W"))+COUNTIFS(Database!$F:$I,CONCATENATE(AU$68,$B110,"W"))),"-")</f>
        <v>0.4</v>
      </c>
      <c r="AV110" s="122" t="str">
        <f>IFERROR((COUNTIFS(Database!$F:$I,CONCATENATE($B110,AV$68,"W"))+COUNTIFS(Database!$F:$I,CONCATENATE(AV$68,$B110,"W")))/(COUNTIFS(Database!$F:$I,CONCATENATE($B110,AV$68,"L"))+COUNTIFS(Database!$F:$I,CONCATENATE(AV$68,$B110,"L"))+COUNTIFS(Database!$F:$I,CONCATENATE($B110,AV$68,"W"))+COUNTIFS(Database!$F:$I,CONCATENATE(AV$68,$B110,"W"))),"-")</f>
        <v>-</v>
      </c>
      <c r="AW110" s="122">
        <f>IFERROR((COUNTIFS(Database!$F:$I,CONCATENATE($B110,AW$68,"W"))+COUNTIFS(Database!$F:$I,CONCATENATE(AW$68,$B110,"W")))/(COUNTIFS(Database!$F:$I,CONCATENATE($B110,AW$68,"L"))+COUNTIFS(Database!$F:$I,CONCATENATE(AW$68,$B110,"L"))+COUNTIFS(Database!$F:$I,CONCATENATE($B110,AW$68,"W"))+COUNTIFS(Database!$F:$I,CONCATENATE(AW$68,$B110,"W"))),"-")</f>
        <v>1</v>
      </c>
      <c r="AX110" s="122" t="str">
        <f>IFERROR((COUNTIFS(Database!$F:$I,CONCATENATE($B110,AX$68,"W"))+COUNTIFS(Database!$F:$I,CONCATENATE(AX$68,$B110,"W")))/(COUNTIFS(Database!$F:$I,CONCATENATE($B110,AX$68,"L"))+COUNTIFS(Database!$F:$I,CONCATENATE(AX$68,$B110,"L"))+COUNTIFS(Database!$F:$I,CONCATENATE($B110,AX$68,"W"))+COUNTIFS(Database!$F:$I,CONCATENATE(AX$68,$B110,"W"))),"-")</f>
        <v>-</v>
      </c>
      <c r="AY110" s="122">
        <f>IFERROR((COUNTIFS(Database!$F:$I,CONCATENATE($B110,AY$68,"W"))+COUNTIFS(Database!$F:$I,CONCATENATE(AY$68,$B110,"W")))/(COUNTIFS(Database!$F:$I,CONCATENATE($B110,AY$68,"L"))+COUNTIFS(Database!$F:$I,CONCATENATE(AY$68,$B110,"L"))+COUNTIFS(Database!$F:$I,CONCATENATE($B110,AY$68,"W"))+COUNTIFS(Database!$F:$I,CONCATENATE(AY$68,$B110,"W"))),"-")</f>
        <v>0.5</v>
      </c>
    </row>
    <row r="111" spans="2:51" x14ac:dyDescent="0.25">
      <c r="B111" s="120" t="s">
        <v>26</v>
      </c>
      <c r="C111" s="122" t="str">
        <f>IFERROR((COUNTIFS(Database!$F:$I,CONCATENATE($B111,C$68,"W"))+COUNTIFS(Database!$F:$I,CONCATENATE(C$68,$B111,"W")))/(COUNTIFS(Database!$F:$I,CONCATENATE($B111,C$68,"L"))+COUNTIFS(Database!$F:$I,CONCATENATE(C$68,$B111,"L"))+COUNTIFS(Database!$F:$I,CONCATENATE($B111,C$68,"W"))+COUNTIFS(Database!$F:$I,CONCATENATE(C$68,$B111,"W"))),"-")</f>
        <v>-</v>
      </c>
      <c r="D111" s="122" t="str">
        <f>IFERROR((COUNTIFS(Database!$F:$I,CONCATENATE($B111,D$68,"W"))+COUNTIFS(Database!$F:$I,CONCATENATE(D$68,$B111,"W")))/(COUNTIFS(Database!$F:$I,CONCATENATE($B111,D$68,"L"))+COUNTIFS(Database!$F:$I,CONCATENATE(D$68,$B111,"L"))+COUNTIFS(Database!$F:$I,CONCATENATE($B111,D$68,"W"))+COUNTIFS(Database!$F:$I,CONCATENATE(D$68,$B111,"W"))),"-")</f>
        <v>-</v>
      </c>
      <c r="E111" s="122" t="str">
        <f>IFERROR((COUNTIFS(Database!$F:$I,CONCATENATE($B111,E$68,"W"))+COUNTIFS(Database!$F:$I,CONCATENATE(E$68,$B111,"W")))/(COUNTIFS(Database!$F:$I,CONCATENATE($B111,E$68,"L"))+COUNTIFS(Database!$F:$I,CONCATENATE(E$68,$B111,"L"))+COUNTIFS(Database!$F:$I,CONCATENATE($B111,E$68,"W"))+COUNTIFS(Database!$F:$I,CONCATENATE(E$68,$B111,"W"))),"-")</f>
        <v>-</v>
      </c>
      <c r="F111" s="122">
        <f>IFERROR((COUNTIFS(Database!$F:$I,CONCATENATE($B111,F$68,"W"))+COUNTIFS(Database!$F:$I,CONCATENATE(F$68,$B111,"W")))/(COUNTIFS(Database!$F:$I,CONCATENATE($B111,F$68,"L"))+COUNTIFS(Database!$F:$I,CONCATENATE(F$68,$B111,"L"))+COUNTIFS(Database!$F:$I,CONCATENATE($B111,F$68,"W"))+COUNTIFS(Database!$F:$I,CONCATENATE(F$68,$B111,"W"))),"-")</f>
        <v>0</v>
      </c>
      <c r="G111" s="122" t="str">
        <f>IFERROR((COUNTIFS(Database!$F:$I,CONCATENATE($B111,G$68,"W"))+COUNTIFS(Database!$F:$I,CONCATENATE(G$68,$B111,"W")))/(COUNTIFS(Database!$F:$I,CONCATENATE($B111,G$68,"L"))+COUNTIFS(Database!$F:$I,CONCATENATE(G$68,$B111,"L"))+COUNTIFS(Database!$F:$I,CONCATENATE($B111,G$68,"W"))+COUNTIFS(Database!$F:$I,CONCATENATE(G$68,$B111,"W"))),"-")</f>
        <v>-</v>
      </c>
      <c r="H111" s="122" t="str">
        <f>IFERROR((COUNTIFS(Database!$F:$I,CONCATENATE($B111,H$68,"W"))+COUNTIFS(Database!$F:$I,CONCATENATE(H$68,$B111,"W")))/(COUNTIFS(Database!$F:$I,CONCATENATE($B111,H$68,"L"))+COUNTIFS(Database!$F:$I,CONCATENATE(H$68,$B111,"L"))+COUNTIFS(Database!$F:$I,CONCATENATE($B111,H$68,"W"))+COUNTIFS(Database!$F:$I,CONCATENATE(H$68,$B111,"W"))),"-")</f>
        <v>-</v>
      </c>
      <c r="I111" s="122" t="str">
        <f>IFERROR((COUNTIFS(Database!$F:$I,CONCATENATE($B111,I$68,"W"))+COUNTIFS(Database!$F:$I,CONCATENATE(I$68,$B111,"W")))/(COUNTIFS(Database!$F:$I,CONCATENATE($B111,I$68,"L"))+COUNTIFS(Database!$F:$I,CONCATENATE(I$68,$B111,"L"))+COUNTIFS(Database!$F:$I,CONCATENATE($B111,I$68,"W"))+COUNTIFS(Database!$F:$I,CONCATENATE(I$68,$B111,"W"))),"-")</f>
        <v>-</v>
      </c>
      <c r="J111" s="122" t="str">
        <f>IFERROR((COUNTIFS(Database!$F:$I,CONCATENATE($B111,J$68,"W"))+COUNTIFS(Database!$F:$I,CONCATENATE(J$68,$B111,"W")))/(COUNTIFS(Database!$F:$I,CONCATENATE($B111,J$68,"L"))+COUNTIFS(Database!$F:$I,CONCATENATE(J$68,$B111,"L"))+COUNTIFS(Database!$F:$I,CONCATENATE($B111,J$68,"W"))+COUNTIFS(Database!$F:$I,CONCATENATE(J$68,$B111,"W"))),"-")</f>
        <v>-</v>
      </c>
      <c r="K111" s="122" t="str">
        <f>IFERROR((COUNTIFS(Database!$F:$I,CONCATENATE($B111,K$68,"W"))+COUNTIFS(Database!$F:$I,CONCATENATE(K$68,$B111,"W")))/(COUNTIFS(Database!$F:$I,CONCATENATE($B111,K$68,"L"))+COUNTIFS(Database!$F:$I,CONCATENATE(K$68,$B111,"L"))+COUNTIFS(Database!$F:$I,CONCATENATE($B111,K$68,"W"))+COUNTIFS(Database!$F:$I,CONCATENATE(K$68,$B111,"W"))),"-")</f>
        <v>-</v>
      </c>
      <c r="L111" s="122" t="str">
        <f>IFERROR((COUNTIFS(Database!$F:$I,CONCATENATE($B111,L$68,"W"))+COUNTIFS(Database!$F:$I,CONCATENATE(L$68,$B111,"W")))/(COUNTIFS(Database!$F:$I,CONCATENATE($B111,L$68,"L"))+COUNTIFS(Database!$F:$I,CONCATENATE(L$68,$B111,"L"))+COUNTIFS(Database!$F:$I,CONCATENATE($B111,L$68,"W"))+COUNTIFS(Database!$F:$I,CONCATENATE(L$68,$B111,"W"))),"-")</f>
        <v>-</v>
      </c>
      <c r="M111" s="122" t="str">
        <f>IFERROR((COUNTIFS(Database!$F:$I,CONCATENATE($B111,M$68,"W"))+COUNTIFS(Database!$F:$I,CONCATENATE(M$68,$B111,"W")))/(COUNTIFS(Database!$F:$I,CONCATENATE($B111,M$68,"L"))+COUNTIFS(Database!$F:$I,CONCATENATE(M$68,$B111,"L"))+COUNTIFS(Database!$F:$I,CONCATENATE($B111,M$68,"W"))+COUNTIFS(Database!$F:$I,CONCATENATE(M$68,$B111,"W"))),"-")</f>
        <v>-</v>
      </c>
      <c r="N111" s="122" t="str">
        <f>IFERROR((COUNTIFS(Database!$F:$I,CONCATENATE($B111,N$68,"W"))+COUNTIFS(Database!$F:$I,CONCATENATE(N$68,$B111,"W")))/(COUNTIFS(Database!$F:$I,CONCATENATE($B111,N$68,"L"))+COUNTIFS(Database!$F:$I,CONCATENATE(N$68,$B111,"L"))+COUNTIFS(Database!$F:$I,CONCATENATE($B111,N$68,"W"))+COUNTIFS(Database!$F:$I,CONCATENATE(N$68,$B111,"W"))),"-")</f>
        <v>-</v>
      </c>
      <c r="O111" s="122" t="str">
        <f>IFERROR((COUNTIFS(Database!$F:$I,CONCATENATE($B111,O$68,"W"))+COUNTIFS(Database!$F:$I,CONCATENATE(O$68,$B111,"W")))/(COUNTIFS(Database!$F:$I,CONCATENATE($B111,O$68,"L"))+COUNTIFS(Database!$F:$I,CONCATENATE(O$68,$B111,"L"))+COUNTIFS(Database!$F:$I,CONCATENATE($B111,O$68,"W"))+COUNTIFS(Database!$F:$I,CONCATENATE(O$68,$B111,"W"))),"-")</f>
        <v>-</v>
      </c>
      <c r="P111" s="122" t="str">
        <f>IFERROR((COUNTIFS(Database!$F:$I,CONCATENATE($B111,P$68,"W"))+COUNTIFS(Database!$F:$I,CONCATENATE(P$68,$B111,"W")))/(COUNTIFS(Database!$F:$I,CONCATENATE($B111,P$68,"L"))+COUNTIFS(Database!$F:$I,CONCATENATE(P$68,$B111,"L"))+COUNTIFS(Database!$F:$I,CONCATENATE($B111,P$68,"W"))+COUNTIFS(Database!$F:$I,CONCATENATE(P$68,$B111,"W"))),"-")</f>
        <v>-</v>
      </c>
      <c r="Q111" s="122" t="str">
        <f>IFERROR((COUNTIFS(Database!$F:$I,CONCATENATE($B111,Q$68,"W"))+COUNTIFS(Database!$F:$I,CONCATENATE(Q$68,$B111,"W")))/(COUNTIFS(Database!$F:$I,CONCATENATE($B111,Q$68,"L"))+COUNTIFS(Database!$F:$I,CONCATENATE(Q$68,$B111,"L"))+COUNTIFS(Database!$F:$I,CONCATENATE($B111,Q$68,"W"))+COUNTIFS(Database!$F:$I,CONCATENATE(Q$68,$B111,"W"))),"-")</f>
        <v>-</v>
      </c>
      <c r="R111" s="122" t="str">
        <f>IFERROR((COUNTIFS(Database!$F:$I,CONCATENATE($B111,R$68,"W"))+COUNTIFS(Database!$F:$I,CONCATENATE(R$68,$B111,"W")))/(COUNTIFS(Database!$F:$I,CONCATENATE($B111,R$68,"L"))+COUNTIFS(Database!$F:$I,CONCATENATE(R$68,$B111,"L"))+COUNTIFS(Database!$F:$I,CONCATENATE($B111,R$68,"W"))+COUNTIFS(Database!$F:$I,CONCATENATE(R$68,$B111,"W"))),"-")</f>
        <v>-</v>
      </c>
      <c r="S111" s="122" t="str">
        <f>IFERROR((COUNTIFS(Database!$F:$I,CONCATENATE($B111,S$68,"W"))+COUNTIFS(Database!$F:$I,CONCATENATE(S$68,$B111,"W")))/(COUNTIFS(Database!$F:$I,CONCATENATE($B111,S$68,"L"))+COUNTIFS(Database!$F:$I,CONCATENATE(S$68,$B111,"L"))+COUNTIFS(Database!$F:$I,CONCATENATE($B111,S$68,"W"))+COUNTIFS(Database!$F:$I,CONCATENATE(S$68,$B111,"W"))),"-")</f>
        <v>-</v>
      </c>
      <c r="T111" s="122" t="str">
        <f>IFERROR((COUNTIFS(Database!$F:$I,CONCATENATE($B111,T$68,"W"))+COUNTIFS(Database!$F:$I,CONCATENATE(T$68,$B111,"W")))/(COUNTIFS(Database!$F:$I,CONCATENATE($B111,T$68,"L"))+COUNTIFS(Database!$F:$I,CONCATENATE(T$68,$B111,"L"))+COUNTIFS(Database!$F:$I,CONCATENATE($B111,T$68,"W"))+COUNTIFS(Database!$F:$I,CONCATENATE(T$68,$B111,"W"))),"-")</f>
        <v>-</v>
      </c>
      <c r="U111" s="122" t="str">
        <f>IFERROR((COUNTIFS(Database!$F:$I,CONCATENATE($B111,U$68,"W"))+COUNTIFS(Database!$F:$I,CONCATENATE(U$68,$B111,"W")))/(COUNTIFS(Database!$F:$I,CONCATENATE($B111,U$68,"L"))+COUNTIFS(Database!$F:$I,CONCATENATE(U$68,$B111,"L"))+COUNTIFS(Database!$F:$I,CONCATENATE($B111,U$68,"W"))+COUNTIFS(Database!$F:$I,CONCATENATE(U$68,$B111,"W"))),"-")</f>
        <v>-</v>
      </c>
      <c r="V111" s="122" t="str">
        <f>IFERROR((COUNTIFS(Database!$F:$I,CONCATENATE($B111,V$68,"W"))+COUNTIFS(Database!$F:$I,CONCATENATE(V$68,$B111,"W")))/(COUNTIFS(Database!$F:$I,CONCATENATE($B111,V$68,"L"))+COUNTIFS(Database!$F:$I,CONCATENATE(V$68,$B111,"L"))+COUNTIFS(Database!$F:$I,CONCATENATE($B111,V$68,"W"))+COUNTIFS(Database!$F:$I,CONCATENATE(V$68,$B111,"W"))),"-")</f>
        <v>-</v>
      </c>
      <c r="W111" s="122" t="str">
        <f>IFERROR((COUNTIFS(Database!$F:$I,CONCATENATE($B111,W$68,"W"))+COUNTIFS(Database!$F:$I,CONCATENATE(W$68,$B111,"W")))/(COUNTIFS(Database!$F:$I,CONCATENATE($B111,W$68,"L"))+COUNTIFS(Database!$F:$I,CONCATENATE(W$68,$B111,"L"))+COUNTIFS(Database!$F:$I,CONCATENATE($B111,W$68,"W"))+COUNTIFS(Database!$F:$I,CONCATENATE(W$68,$B111,"W"))),"-")</f>
        <v>-</v>
      </c>
      <c r="X111" s="122" t="str">
        <f>IFERROR((COUNTIFS(Database!$F:$I,CONCATENATE($B111,X$68,"W"))+COUNTIFS(Database!$F:$I,CONCATENATE(X$68,$B111,"W")))/(COUNTIFS(Database!$F:$I,CONCATENATE($B111,X$68,"L"))+COUNTIFS(Database!$F:$I,CONCATENATE(X$68,$B111,"L"))+COUNTIFS(Database!$F:$I,CONCATENATE($B111,X$68,"W"))+COUNTIFS(Database!$F:$I,CONCATENATE(X$68,$B111,"W"))),"-")</f>
        <v>-</v>
      </c>
      <c r="Y111" s="122" t="str">
        <f>IFERROR((COUNTIFS(Database!$F:$I,CONCATENATE($B111,Y$68,"W"))+COUNTIFS(Database!$F:$I,CONCATENATE(Y$68,$B111,"W")))/(COUNTIFS(Database!$F:$I,CONCATENATE($B111,Y$68,"L"))+COUNTIFS(Database!$F:$I,CONCATENATE(Y$68,$B111,"L"))+COUNTIFS(Database!$F:$I,CONCATENATE($B111,Y$68,"W"))+COUNTIFS(Database!$F:$I,CONCATENATE(Y$68,$B111,"W"))),"-")</f>
        <v>-</v>
      </c>
      <c r="Z111" s="122" t="str">
        <f>IFERROR((COUNTIFS(Database!$F:$I,CONCATENATE($B111,Z$68,"W"))+COUNTIFS(Database!$F:$I,CONCATENATE(Z$68,$B111,"W")))/(COUNTIFS(Database!$F:$I,CONCATENATE($B111,Z$68,"L"))+COUNTIFS(Database!$F:$I,CONCATENATE(Z$68,$B111,"L"))+COUNTIFS(Database!$F:$I,CONCATENATE($B111,Z$68,"W"))+COUNTIFS(Database!$F:$I,CONCATENATE(Z$68,$B111,"W"))),"-")</f>
        <v>-</v>
      </c>
      <c r="AA111" s="122" t="str">
        <f>IFERROR((COUNTIFS(Database!$F:$I,CONCATENATE($B111,AA$68,"W"))+COUNTIFS(Database!$F:$I,CONCATENATE(AA$68,$B111,"W")))/(COUNTIFS(Database!$F:$I,CONCATENATE($B111,AA$68,"L"))+COUNTIFS(Database!$F:$I,CONCATENATE(AA$68,$B111,"L"))+COUNTIFS(Database!$F:$I,CONCATENATE($B111,AA$68,"W"))+COUNTIFS(Database!$F:$I,CONCATENATE(AA$68,$B111,"W"))),"-")</f>
        <v>-</v>
      </c>
      <c r="AB111" s="122" t="str">
        <f>IFERROR((COUNTIFS(Database!$F:$I,CONCATENATE($B111,AB$68,"W"))+COUNTIFS(Database!$F:$I,CONCATENATE(AB$68,$B111,"W")))/(COUNTIFS(Database!$F:$I,CONCATENATE($B111,AB$68,"L"))+COUNTIFS(Database!$F:$I,CONCATENATE(AB$68,$B111,"L"))+COUNTIFS(Database!$F:$I,CONCATENATE($B111,AB$68,"W"))+COUNTIFS(Database!$F:$I,CONCATENATE(AB$68,$B111,"W"))),"-")</f>
        <v>-</v>
      </c>
      <c r="AC111" s="122" t="str">
        <f>IFERROR((COUNTIFS(Database!$F:$I,CONCATENATE($B111,AC$68,"W"))+COUNTIFS(Database!$F:$I,CONCATENATE(AC$68,$B111,"W")))/(COUNTIFS(Database!$F:$I,CONCATENATE($B111,AC$68,"L"))+COUNTIFS(Database!$F:$I,CONCATENATE(AC$68,$B111,"L"))+COUNTIFS(Database!$F:$I,CONCATENATE($B111,AC$68,"W"))+COUNTIFS(Database!$F:$I,CONCATENATE(AC$68,$B111,"W"))),"-")</f>
        <v>-</v>
      </c>
      <c r="AD111" s="122">
        <f>IFERROR((COUNTIFS(Database!$F:$I,CONCATENATE($B111,AD$68,"W"))+COUNTIFS(Database!$F:$I,CONCATENATE(AD$68,$B111,"W")))/(COUNTIFS(Database!$F:$I,CONCATENATE($B111,AD$68,"L"))+COUNTIFS(Database!$F:$I,CONCATENATE(AD$68,$B111,"L"))+COUNTIFS(Database!$F:$I,CONCATENATE($B111,AD$68,"W"))+COUNTIFS(Database!$F:$I,CONCATENATE(AD$68,$B111,"W"))),"-")</f>
        <v>0</v>
      </c>
      <c r="AE111" s="122" t="str">
        <f>IFERROR((COUNTIFS(Database!$F:$I,CONCATENATE($B111,AE$68,"W"))+COUNTIFS(Database!$F:$I,CONCATENATE(AE$68,$B111,"W")))/(COUNTIFS(Database!$F:$I,CONCATENATE($B111,AE$68,"L"))+COUNTIFS(Database!$F:$I,CONCATENATE(AE$68,$B111,"L"))+COUNTIFS(Database!$F:$I,CONCATENATE($B111,AE$68,"W"))+COUNTIFS(Database!$F:$I,CONCATENATE(AE$68,$B111,"W"))),"-")</f>
        <v>-</v>
      </c>
      <c r="AF111" s="122" t="str">
        <f>IFERROR((COUNTIFS(Database!$F:$I,CONCATENATE($B111,AF$68,"W"))+COUNTIFS(Database!$F:$I,CONCATENATE(AF$68,$B111,"W")))/(COUNTIFS(Database!$F:$I,CONCATENATE($B111,AF$68,"L"))+COUNTIFS(Database!$F:$I,CONCATENATE(AF$68,$B111,"L"))+COUNTIFS(Database!$F:$I,CONCATENATE($B111,AF$68,"W"))+COUNTIFS(Database!$F:$I,CONCATENATE(AF$68,$B111,"W"))),"-")</f>
        <v>-</v>
      </c>
      <c r="AG111" s="122" t="str">
        <f>IFERROR((COUNTIFS(Database!$F:$I,CONCATENATE($B111,AG$68,"W"))+COUNTIFS(Database!$F:$I,CONCATENATE(AG$68,$B111,"W")))/(COUNTIFS(Database!$F:$I,CONCATENATE($B111,AG$68,"L"))+COUNTIFS(Database!$F:$I,CONCATENATE(AG$68,$B111,"L"))+COUNTIFS(Database!$F:$I,CONCATENATE($B111,AG$68,"W"))+COUNTIFS(Database!$F:$I,CONCATENATE(AG$68,$B111,"W"))),"-")</f>
        <v>-</v>
      </c>
      <c r="AH111" s="122" t="str">
        <f>IFERROR((COUNTIFS(Database!$F:$I,CONCATENATE($B111,AH$68,"W"))+COUNTIFS(Database!$F:$I,CONCATENATE(AH$68,$B111,"W")))/(COUNTIFS(Database!$F:$I,CONCATENATE($B111,AH$68,"L"))+COUNTIFS(Database!$F:$I,CONCATENATE(AH$68,$B111,"L"))+COUNTIFS(Database!$F:$I,CONCATENATE($B111,AH$68,"W"))+COUNTIFS(Database!$F:$I,CONCATENATE(AH$68,$B111,"W"))),"-")</f>
        <v>-</v>
      </c>
      <c r="AI111" s="122" t="str">
        <f>IFERROR((COUNTIFS(Database!$F:$I,CONCATENATE($B111,AI$68,"W"))+COUNTIFS(Database!$F:$I,CONCATENATE(AI$68,$B111,"W")))/(COUNTIFS(Database!$F:$I,CONCATENATE($B111,AI$68,"L"))+COUNTIFS(Database!$F:$I,CONCATENATE(AI$68,$B111,"L"))+COUNTIFS(Database!$F:$I,CONCATENATE($B111,AI$68,"W"))+COUNTIFS(Database!$F:$I,CONCATENATE(AI$68,$B111,"W"))),"-")</f>
        <v>-</v>
      </c>
      <c r="AJ111" s="122" t="str">
        <f>IFERROR((COUNTIFS(Database!$F:$I,CONCATENATE($B111,AJ$68,"W"))+COUNTIFS(Database!$F:$I,CONCATENATE(AJ$68,$B111,"W")))/(COUNTIFS(Database!$F:$I,CONCATENATE($B111,AJ$68,"L"))+COUNTIFS(Database!$F:$I,CONCATENATE(AJ$68,$B111,"L"))+COUNTIFS(Database!$F:$I,CONCATENATE($B111,AJ$68,"W"))+COUNTIFS(Database!$F:$I,CONCATENATE(AJ$68,$B111,"W"))),"-")</f>
        <v>-</v>
      </c>
      <c r="AK111" s="122" t="str">
        <f>IFERROR((COUNTIFS(Database!$F:$I,CONCATENATE($B111,AK$68,"W"))+COUNTIFS(Database!$F:$I,CONCATENATE(AK$68,$B111,"W")))/(COUNTIFS(Database!$F:$I,CONCATENATE($B111,AK$68,"L"))+COUNTIFS(Database!$F:$I,CONCATENATE(AK$68,$B111,"L"))+COUNTIFS(Database!$F:$I,CONCATENATE($B111,AK$68,"W"))+COUNTIFS(Database!$F:$I,CONCATENATE(AK$68,$B111,"W"))),"-")</f>
        <v>-</v>
      </c>
      <c r="AL111" s="122" t="str">
        <f>IFERROR((COUNTIFS(Database!$F:$I,CONCATENATE($B111,AL$68,"W"))+COUNTIFS(Database!$F:$I,CONCATENATE(AL$68,$B111,"W")))/(COUNTIFS(Database!$F:$I,CONCATENATE($B111,AL$68,"L"))+COUNTIFS(Database!$F:$I,CONCATENATE(AL$68,$B111,"L"))+COUNTIFS(Database!$F:$I,CONCATENATE($B111,AL$68,"W"))+COUNTIFS(Database!$F:$I,CONCATENATE(AL$68,$B111,"W"))),"-")</f>
        <v>-</v>
      </c>
      <c r="AM111" s="122" t="str">
        <f>IFERROR((COUNTIFS(Database!$F:$I,CONCATENATE($B111,AM$68,"W"))+COUNTIFS(Database!$F:$I,CONCATENATE(AM$68,$B111,"W")))/(COUNTIFS(Database!$F:$I,CONCATENATE($B111,AM$68,"L"))+COUNTIFS(Database!$F:$I,CONCATENATE(AM$68,$B111,"L"))+COUNTIFS(Database!$F:$I,CONCATENATE($B111,AM$68,"W"))+COUNTIFS(Database!$F:$I,CONCATENATE(AM$68,$B111,"W"))),"-")</f>
        <v>-</v>
      </c>
      <c r="AN111" s="122" t="str">
        <f>IFERROR((COUNTIFS(Database!$F:$I,CONCATENATE($B111,AN$68,"W"))+COUNTIFS(Database!$F:$I,CONCATENATE(AN$68,$B111,"W")))/(COUNTIFS(Database!$F:$I,CONCATENATE($B111,AN$68,"L"))+COUNTIFS(Database!$F:$I,CONCATENATE(AN$68,$B111,"L"))+COUNTIFS(Database!$F:$I,CONCATENATE($B111,AN$68,"W"))+COUNTIFS(Database!$F:$I,CONCATENATE(AN$68,$B111,"W"))),"-")</f>
        <v>-</v>
      </c>
      <c r="AO111" s="122" t="str">
        <f>IFERROR((COUNTIFS(Database!$F:$I,CONCATENATE($B111,AO$68,"W"))+COUNTIFS(Database!$F:$I,CONCATENATE(AO$68,$B111,"W")))/(COUNTIFS(Database!$F:$I,CONCATENATE($B111,AO$68,"L"))+COUNTIFS(Database!$F:$I,CONCATENATE(AO$68,$B111,"L"))+COUNTIFS(Database!$F:$I,CONCATENATE($B111,AO$68,"W"))+COUNTIFS(Database!$F:$I,CONCATENATE(AO$68,$B111,"W"))),"-")</f>
        <v>-</v>
      </c>
      <c r="AP111" s="122" t="str">
        <f>IFERROR((COUNTIFS(Database!$F:$I,CONCATENATE($B111,AP$68,"W"))+COUNTIFS(Database!$F:$I,CONCATENATE(AP$68,$B111,"W")))/(COUNTIFS(Database!$F:$I,CONCATENATE($B111,AP$68,"L"))+COUNTIFS(Database!$F:$I,CONCATENATE(AP$68,$B111,"L"))+COUNTIFS(Database!$F:$I,CONCATENATE($B111,AP$68,"W"))+COUNTIFS(Database!$F:$I,CONCATENATE(AP$68,$B111,"W"))),"-")</f>
        <v>-</v>
      </c>
      <c r="AQ111" s="122" t="str">
        <f>IFERROR((COUNTIFS(Database!$F:$I,CONCATENATE($B111,AQ$68,"W"))+COUNTIFS(Database!$F:$I,CONCATENATE(AQ$68,$B111,"W")))/(COUNTIFS(Database!$F:$I,CONCATENATE($B111,AQ$68,"L"))+COUNTIFS(Database!$F:$I,CONCATENATE(AQ$68,$B111,"L"))+COUNTIFS(Database!$F:$I,CONCATENATE($B111,AQ$68,"W"))+COUNTIFS(Database!$F:$I,CONCATENATE(AQ$68,$B111,"W"))),"-")</f>
        <v>-</v>
      </c>
      <c r="AR111" s="122">
        <f>IFERROR((COUNTIFS(Database!$F:$I,CONCATENATE($B111,AR$68,"W"))+COUNTIFS(Database!$F:$I,CONCATENATE(AR$68,$B111,"W")))/(COUNTIFS(Database!$F:$I,CONCATENATE($B111,AR$68,"L"))+COUNTIFS(Database!$F:$I,CONCATENATE(AR$68,$B111,"L"))+COUNTIFS(Database!$F:$I,CONCATENATE($B111,AR$68,"W"))+COUNTIFS(Database!$F:$I,CONCATENATE(AR$68,$B111,"W"))),"-")</f>
        <v>0</v>
      </c>
      <c r="AS111" s="122" t="str">
        <f>IFERROR((COUNTIFS(Database!$F:$I,CONCATENATE($B111,AS$68,"W"))+COUNTIFS(Database!$F:$I,CONCATENATE(AS$68,$B111,"W")))/(COUNTIFS(Database!$F:$I,CONCATENATE($B111,AS$68,"L"))+COUNTIFS(Database!$F:$I,CONCATENATE(AS$68,$B111,"L"))+COUNTIFS(Database!$F:$I,CONCATENATE($B111,AS$68,"W"))+COUNTIFS(Database!$F:$I,CONCATENATE(AS$68,$B111,"W"))),"-")</f>
        <v>-</v>
      </c>
      <c r="AT111" s="122" t="str">
        <f>IFERROR((COUNTIFS(Database!$F:$I,CONCATENATE($B111,AT$68,"W"))+COUNTIFS(Database!$F:$I,CONCATENATE(AT$68,$B111,"W")))/(COUNTIFS(Database!$F:$I,CONCATENATE($B111,AT$68,"L"))+COUNTIFS(Database!$F:$I,CONCATENATE(AT$68,$B111,"L"))+COUNTIFS(Database!$F:$I,CONCATENATE($B111,AT$68,"W"))+COUNTIFS(Database!$F:$I,CONCATENATE(AT$68,$B111,"W"))),"-")</f>
        <v>-</v>
      </c>
      <c r="AU111" s="122" t="str">
        <f>IFERROR((COUNTIFS(Database!$F:$I,CONCATENATE($B111,AU$68,"W"))+COUNTIFS(Database!$F:$I,CONCATENATE(AU$68,$B111,"W")))/(COUNTIFS(Database!$F:$I,CONCATENATE($B111,AU$68,"L"))+COUNTIFS(Database!$F:$I,CONCATENATE(AU$68,$B111,"L"))+COUNTIFS(Database!$F:$I,CONCATENATE($B111,AU$68,"W"))+COUNTIFS(Database!$F:$I,CONCATENATE(AU$68,$B111,"W"))),"-")</f>
        <v>-</v>
      </c>
      <c r="AV111" s="122" t="str">
        <f>IFERROR((COUNTIFS(Database!$F:$I,CONCATENATE($B111,AV$68,"W"))+COUNTIFS(Database!$F:$I,CONCATENATE(AV$68,$B111,"W")))/(COUNTIFS(Database!$F:$I,CONCATENATE($B111,AV$68,"L"))+COUNTIFS(Database!$F:$I,CONCATENATE(AV$68,$B111,"L"))+COUNTIFS(Database!$F:$I,CONCATENATE($B111,AV$68,"W"))+COUNTIFS(Database!$F:$I,CONCATENATE(AV$68,$B111,"W"))),"-")</f>
        <v>-</v>
      </c>
      <c r="AW111" s="122" t="str">
        <f>IFERROR((COUNTIFS(Database!$F:$I,CONCATENATE($B111,AW$68,"W"))+COUNTIFS(Database!$F:$I,CONCATENATE(AW$68,$B111,"W")))/(COUNTIFS(Database!$F:$I,CONCATENATE($B111,AW$68,"L"))+COUNTIFS(Database!$F:$I,CONCATENATE(AW$68,$B111,"L"))+COUNTIFS(Database!$F:$I,CONCATENATE($B111,AW$68,"W"))+COUNTIFS(Database!$F:$I,CONCATENATE(AW$68,$B111,"W"))),"-")</f>
        <v>-</v>
      </c>
      <c r="AX111" s="122" t="str">
        <f>IFERROR((COUNTIFS(Database!$F:$I,CONCATENATE($B111,AX$68,"W"))+COUNTIFS(Database!$F:$I,CONCATENATE(AX$68,$B111,"W")))/(COUNTIFS(Database!$F:$I,CONCATENATE($B111,AX$68,"L"))+COUNTIFS(Database!$F:$I,CONCATENATE(AX$68,$B111,"L"))+COUNTIFS(Database!$F:$I,CONCATENATE($B111,AX$68,"W"))+COUNTIFS(Database!$F:$I,CONCATENATE(AX$68,$B111,"W"))),"-")</f>
        <v>-</v>
      </c>
      <c r="AY111" s="122">
        <f>IFERROR((COUNTIFS(Database!$F:$I,CONCATENATE($B111,AY$68,"W"))+COUNTIFS(Database!$F:$I,CONCATENATE(AY$68,$B111,"W")))/(COUNTIFS(Database!$F:$I,CONCATENATE($B111,AY$68,"L"))+COUNTIFS(Database!$F:$I,CONCATENATE(AY$68,$B111,"L"))+COUNTIFS(Database!$F:$I,CONCATENATE($B111,AY$68,"W"))+COUNTIFS(Database!$F:$I,CONCATENATE(AY$68,$B111,"W"))),"-")</f>
        <v>0</v>
      </c>
    </row>
    <row r="112" spans="2:51" x14ac:dyDescent="0.25">
      <c r="B112" s="120" t="s">
        <v>13</v>
      </c>
      <c r="C112" s="122" t="str">
        <f>IFERROR((COUNTIFS(Database!$F:$I,CONCATENATE($B112,C$68,"W"))+COUNTIFS(Database!$F:$I,CONCATENATE(C$68,$B112,"W")))/(COUNTIFS(Database!$F:$I,CONCATENATE($B112,C$68,"L"))+COUNTIFS(Database!$F:$I,CONCATENATE(C$68,$B112,"L"))+COUNTIFS(Database!$F:$I,CONCATENATE($B112,C$68,"W"))+COUNTIFS(Database!$F:$I,CONCATENATE(C$68,$B112,"W"))),"-")</f>
        <v>-</v>
      </c>
      <c r="D112" s="122" t="str">
        <f>IFERROR((COUNTIFS(Database!$F:$I,CONCATENATE($B112,D$68,"W"))+COUNTIFS(Database!$F:$I,CONCATENATE(D$68,$B112,"W")))/(COUNTIFS(Database!$F:$I,CONCATENATE($B112,D$68,"L"))+COUNTIFS(Database!$F:$I,CONCATENATE(D$68,$B112,"L"))+COUNTIFS(Database!$F:$I,CONCATENATE($B112,D$68,"W"))+COUNTIFS(Database!$F:$I,CONCATENATE(D$68,$B112,"W"))),"-")</f>
        <v>-</v>
      </c>
      <c r="E112" s="122" t="str">
        <f>IFERROR((COUNTIFS(Database!$F:$I,CONCATENATE($B112,E$68,"W"))+COUNTIFS(Database!$F:$I,CONCATENATE(E$68,$B112,"W")))/(COUNTIFS(Database!$F:$I,CONCATENATE($B112,E$68,"L"))+COUNTIFS(Database!$F:$I,CONCATENATE(E$68,$B112,"L"))+COUNTIFS(Database!$F:$I,CONCATENATE($B112,E$68,"W"))+COUNTIFS(Database!$F:$I,CONCATENATE(E$68,$B112,"W"))),"-")</f>
        <v>-</v>
      </c>
      <c r="F112" s="122" t="str">
        <f>IFERROR((COUNTIFS(Database!$F:$I,CONCATENATE($B112,F$68,"W"))+COUNTIFS(Database!$F:$I,CONCATENATE(F$68,$B112,"W")))/(COUNTIFS(Database!$F:$I,CONCATENATE($B112,F$68,"L"))+COUNTIFS(Database!$F:$I,CONCATENATE(F$68,$B112,"L"))+COUNTIFS(Database!$F:$I,CONCATENATE($B112,F$68,"W"))+COUNTIFS(Database!$F:$I,CONCATENATE(F$68,$B112,"W"))),"-")</f>
        <v>-</v>
      </c>
      <c r="G112" s="122" t="str">
        <f>IFERROR((COUNTIFS(Database!$F:$I,CONCATENATE($B112,G$68,"W"))+COUNTIFS(Database!$F:$I,CONCATENATE(G$68,$B112,"W")))/(COUNTIFS(Database!$F:$I,CONCATENATE($B112,G$68,"L"))+COUNTIFS(Database!$F:$I,CONCATENATE(G$68,$B112,"L"))+COUNTIFS(Database!$F:$I,CONCATENATE($B112,G$68,"W"))+COUNTIFS(Database!$F:$I,CONCATENATE(G$68,$B112,"W"))),"-")</f>
        <v>-</v>
      </c>
      <c r="H112" s="122" t="str">
        <f>IFERROR((COUNTIFS(Database!$F:$I,CONCATENATE($B112,H$68,"W"))+COUNTIFS(Database!$F:$I,CONCATENATE(H$68,$B112,"W")))/(COUNTIFS(Database!$F:$I,CONCATENATE($B112,H$68,"L"))+COUNTIFS(Database!$F:$I,CONCATENATE(H$68,$B112,"L"))+COUNTIFS(Database!$F:$I,CONCATENATE($B112,H$68,"W"))+COUNTIFS(Database!$F:$I,CONCATENATE(H$68,$B112,"W"))),"-")</f>
        <v>-</v>
      </c>
      <c r="I112" s="122" t="str">
        <f>IFERROR((COUNTIFS(Database!$F:$I,CONCATENATE($B112,I$68,"W"))+COUNTIFS(Database!$F:$I,CONCATENATE(I$68,$B112,"W")))/(COUNTIFS(Database!$F:$I,CONCATENATE($B112,I$68,"L"))+COUNTIFS(Database!$F:$I,CONCATENATE(I$68,$B112,"L"))+COUNTIFS(Database!$F:$I,CONCATENATE($B112,I$68,"W"))+COUNTIFS(Database!$F:$I,CONCATENATE(I$68,$B112,"W"))),"-")</f>
        <v>-</v>
      </c>
      <c r="J112" s="122" t="str">
        <f>IFERROR((COUNTIFS(Database!$F:$I,CONCATENATE($B112,J$68,"W"))+COUNTIFS(Database!$F:$I,CONCATENATE(J$68,$B112,"W")))/(COUNTIFS(Database!$F:$I,CONCATENATE($B112,J$68,"L"))+COUNTIFS(Database!$F:$I,CONCATENATE(J$68,$B112,"L"))+COUNTIFS(Database!$F:$I,CONCATENATE($B112,J$68,"W"))+COUNTIFS(Database!$F:$I,CONCATENATE(J$68,$B112,"W"))),"-")</f>
        <v>-</v>
      </c>
      <c r="K112" s="122" t="str">
        <f>IFERROR((COUNTIFS(Database!$F:$I,CONCATENATE($B112,K$68,"W"))+COUNTIFS(Database!$F:$I,CONCATENATE(K$68,$B112,"W")))/(COUNTIFS(Database!$F:$I,CONCATENATE($B112,K$68,"L"))+COUNTIFS(Database!$F:$I,CONCATENATE(K$68,$B112,"L"))+COUNTIFS(Database!$F:$I,CONCATENATE($B112,K$68,"W"))+COUNTIFS(Database!$F:$I,CONCATENATE(K$68,$B112,"W"))),"-")</f>
        <v>-</v>
      </c>
      <c r="L112" s="122" t="str">
        <f>IFERROR((COUNTIFS(Database!$F:$I,CONCATENATE($B112,L$68,"W"))+COUNTIFS(Database!$F:$I,CONCATENATE(L$68,$B112,"W")))/(COUNTIFS(Database!$F:$I,CONCATENATE($B112,L$68,"L"))+COUNTIFS(Database!$F:$I,CONCATENATE(L$68,$B112,"L"))+COUNTIFS(Database!$F:$I,CONCATENATE($B112,L$68,"W"))+COUNTIFS(Database!$F:$I,CONCATENATE(L$68,$B112,"W"))),"-")</f>
        <v>-</v>
      </c>
      <c r="M112" s="122">
        <f>IFERROR((COUNTIFS(Database!$F:$I,CONCATENATE($B112,M$68,"W"))+COUNTIFS(Database!$F:$I,CONCATENATE(M$68,$B112,"W")))/(COUNTIFS(Database!$F:$I,CONCATENATE($B112,M$68,"L"))+COUNTIFS(Database!$F:$I,CONCATENATE(M$68,$B112,"L"))+COUNTIFS(Database!$F:$I,CONCATENATE($B112,M$68,"W"))+COUNTIFS(Database!$F:$I,CONCATENATE(M$68,$B112,"W"))),"-")</f>
        <v>1</v>
      </c>
      <c r="N112" s="122" t="str">
        <f>IFERROR((COUNTIFS(Database!$F:$I,CONCATENATE($B112,N$68,"W"))+COUNTIFS(Database!$F:$I,CONCATENATE(N$68,$B112,"W")))/(COUNTIFS(Database!$F:$I,CONCATENATE($B112,N$68,"L"))+COUNTIFS(Database!$F:$I,CONCATENATE(N$68,$B112,"L"))+COUNTIFS(Database!$F:$I,CONCATENATE($B112,N$68,"W"))+COUNTIFS(Database!$F:$I,CONCATENATE(N$68,$B112,"W"))),"-")</f>
        <v>-</v>
      </c>
      <c r="O112" s="122">
        <f>IFERROR((COUNTIFS(Database!$F:$I,CONCATENATE($B112,O$68,"W"))+COUNTIFS(Database!$F:$I,CONCATENATE(O$68,$B112,"W")))/(COUNTIFS(Database!$F:$I,CONCATENATE($B112,O$68,"L"))+COUNTIFS(Database!$F:$I,CONCATENATE(O$68,$B112,"L"))+COUNTIFS(Database!$F:$I,CONCATENATE($B112,O$68,"W"))+COUNTIFS(Database!$F:$I,CONCATENATE(O$68,$B112,"W"))),"-")</f>
        <v>1</v>
      </c>
      <c r="P112" s="122" t="str">
        <f>IFERROR((COUNTIFS(Database!$F:$I,CONCATENATE($B112,P$68,"W"))+COUNTIFS(Database!$F:$I,CONCATENATE(P$68,$B112,"W")))/(COUNTIFS(Database!$F:$I,CONCATENATE($B112,P$68,"L"))+COUNTIFS(Database!$F:$I,CONCATENATE(P$68,$B112,"L"))+COUNTIFS(Database!$F:$I,CONCATENATE($B112,P$68,"W"))+COUNTIFS(Database!$F:$I,CONCATENATE(P$68,$B112,"W"))),"-")</f>
        <v>-</v>
      </c>
      <c r="Q112" s="122" t="str">
        <f>IFERROR((COUNTIFS(Database!$F:$I,CONCATENATE($B112,Q$68,"W"))+COUNTIFS(Database!$F:$I,CONCATENATE(Q$68,$B112,"W")))/(COUNTIFS(Database!$F:$I,CONCATENATE($B112,Q$68,"L"))+COUNTIFS(Database!$F:$I,CONCATENATE(Q$68,$B112,"L"))+COUNTIFS(Database!$F:$I,CONCATENATE($B112,Q$68,"W"))+COUNTIFS(Database!$F:$I,CONCATENATE(Q$68,$B112,"W"))),"-")</f>
        <v>-</v>
      </c>
      <c r="R112" s="122" t="str">
        <f>IFERROR((COUNTIFS(Database!$F:$I,CONCATENATE($B112,R$68,"W"))+COUNTIFS(Database!$F:$I,CONCATENATE(R$68,$B112,"W")))/(COUNTIFS(Database!$F:$I,CONCATENATE($B112,R$68,"L"))+COUNTIFS(Database!$F:$I,CONCATENATE(R$68,$B112,"L"))+COUNTIFS(Database!$F:$I,CONCATENATE($B112,R$68,"W"))+COUNTIFS(Database!$F:$I,CONCATENATE(R$68,$B112,"W"))),"-")</f>
        <v>-</v>
      </c>
      <c r="S112" s="122" t="str">
        <f>IFERROR((COUNTIFS(Database!$F:$I,CONCATENATE($B112,S$68,"W"))+COUNTIFS(Database!$F:$I,CONCATENATE(S$68,$B112,"W")))/(COUNTIFS(Database!$F:$I,CONCATENATE($B112,S$68,"L"))+COUNTIFS(Database!$F:$I,CONCATENATE(S$68,$B112,"L"))+COUNTIFS(Database!$F:$I,CONCATENATE($B112,S$68,"W"))+COUNTIFS(Database!$F:$I,CONCATENATE(S$68,$B112,"W"))),"-")</f>
        <v>-</v>
      </c>
      <c r="T112" s="122" t="str">
        <f>IFERROR((COUNTIFS(Database!$F:$I,CONCATENATE($B112,T$68,"W"))+COUNTIFS(Database!$F:$I,CONCATENATE(T$68,$B112,"W")))/(COUNTIFS(Database!$F:$I,CONCATENATE($B112,T$68,"L"))+COUNTIFS(Database!$F:$I,CONCATENATE(T$68,$B112,"L"))+COUNTIFS(Database!$F:$I,CONCATENATE($B112,T$68,"W"))+COUNTIFS(Database!$F:$I,CONCATENATE(T$68,$B112,"W"))),"-")</f>
        <v>-</v>
      </c>
      <c r="U112" s="122" t="str">
        <f>IFERROR((COUNTIFS(Database!$F:$I,CONCATENATE($B112,U$68,"W"))+COUNTIFS(Database!$F:$I,CONCATENATE(U$68,$B112,"W")))/(COUNTIFS(Database!$F:$I,CONCATENATE($B112,U$68,"L"))+COUNTIFS(Database!$F:$I,CONCATENATE(U$68,$B112,"L"))+COUNTIFS(Database!$F:$I,CONCATENATE($B112,U$68,"W"))+COUNTIFS(Database!$F:$I,CONCATENATE(U$68,$B112,"W"))),"-")</f>
        <v>-</v>
      </c>
      <c r="V112" s="122" t="str">
        <f>IFERROR((COUNTIFS(Database!$F:$I,CONCATENATE($B112,V$68,"W"))+COUNTIFS(Database!$F:$I,CONCATENATE(V$68,$B112,"W")))/(COUNTIFS(Database!$F:$I,CONCATENATE($B112,V$68,"L"))+COUNTIFS(Database!$F:$I,CONCATENATE(V$68,$B112,"L"))+COUNTIFS(Database!$F:$I,CONCATENATE($B112,V$68,"W"))+COUNTIFS(Database!$F:$I,CONCATENATE(V$68,$B112,"W"))),"-")</f>
        <v>-</v>
      </c>
      <c r="W112" s="122" t="str">
        <f>IFERROR((COUNTIFS(Database!$F:$I,CONCATENATE($B112,W$68,"W"))+COUNTIFS(Database!$F:$I,CONCATENATE(W$68,$B112,"W")))/(COUNTIFS(Database!$F:$I,CONCATENATE($B112,W$68,"L"))+COUNTIFS(Database!$F:$I,CONCATENATE(W$68,$B112,"L"))+COUNTIFS(Database!$F:$I,CONCATENATE($B112,W$68,"W"))+COUNTIFS(Database!$F:$I,CONCATENATE(W$68,$B112,"W"))),"-")</f>
        <v>-</v>
      </c>
      <c r="X112" s="122" t="str">
        <f>IFERROR((COUNTIFS(Database!$F:$I,CONCATENATE($B112,X$68,"W"))+COUNTIFS(Database!$F:$I,CONCATENATE(X$68,$B112,"W")))/(COUNTIFS(Database!$F:$I,CONCATENATE($B112,X$68,"L"))+COUNTIFS(Database!$F:$I,CONCATENATE(X$68,$B112,"L"))+COUNTIFS(Database!$F:$I,CONCATENATE($B112,X$68,"W"))+COUNTIFS(Database!$F:$I,CONCATENATE(X$68,$B112,"W"))),"-")</f>
        <v>-</v>
      </c>
      <c r="Y112" s="122" t="str">
        <f>IFERROR((COUNTIFS(Database!$F:$I,CONCATENATE($B112,Y$68,"W"))+COUNTIFS(Database!$F:$I,CONCATENATE(Y$68,$B112,"W")))/(COUNTIFS(Database!$F:$I,CONCATENATE($B112,Y$68,"L"))+COUNTIFS(Database!$F:$I,CONCATENATE(Y$68,$B112,"L"))+COUNTIFS(Database!$F:$I,CONCATENATE($B112,Y$68,"W"))+COUNTIFS(Database!$F:$I,CONCATENATE(Y$68,$B112,"W"))),"-")</f>
        <v>-</v>
      </c>
      <c r="Z112" s="122" t="str">
        <f>IFERROR((COUNTIFS(Database!$F:$I,CONCATENATE($B112,Z$68,"W"))+COUNTIFS(Database!$F:$I,CONCATENATE(Z$68,$B112,"W")))/(COUNTIFS(Database!$F:$I,CONCATENATE($B112,Z$68,"L"))+COUNTIFS(Database!$F:$I,CONCATENATE(Z$68,$B112,"L"))+COUNTIFS(Database!$F:$I,CONCATENATE($B112,Z$68,"W"))+COUNTIFS(Database!$F:$I,CONCATENATE(Z$68,$B112,"W"))),"-")</f>
        <v>-</v>
      </c>
      <c r="AA112" s="122" t="str">
        <f>IFERROR((COUNTIFS(Database!$F:$I,CONCATENATE($B112,AA$68,"W"))+COUNTIFS(Database!$F:$I,CONCATENATE(AA$68,$B112,"W")))/(COUNTIFS(Database!$F:$I,CONCATENATE($B112,AA$68,"L"))+COUNTIFS(Database!$F:$I,CONCATENATE(AA$68,$B112,"L"))+COUNTIFS(Database!$F:$I,CONCATENATE($B112,AA$68,"W"))+COUNTIFS(Database!$F:$I,CONCATENATE(AA$68,$B112,"W"))),"-")</f>
        <v>-</v>
      </c>
      <c r="AB112" s="122" t="str">
        <f>IFERROR((COUNTIFS(Database!$F:$I,CONCATENATE($B112,AB$68,"W"))+COUNTIFS(Database!$F:$I,CONCATENATE(AB$68,$B112,"W")))/(COUNTIFS(Database!$F:$I,CONCATENATE($B112,AB$68,"L"))+COUNTIFS(Database!$F:$I,CONCATENATE(AB$68,$B112,"L"))+COUNTIFS(Database!$F:$I,CONCATENATE($B112,AB$68,"W"))+COUNTIFS(Database!$F:$I,CONCATENATE(AB$68,$B112,"W"))),"-")</f>
        <v>-</v>
      </c>
      <c r="AC112" s="122" t="str">
        <f>IFERROR((COUNTIFS(Database!$F:$I,CONCATENATE($B112,AC$68,"W"))+COUNTIFS(Database!$F:$I,CONCATENATE(AC$68,$B112,"W")))/(COUNTIFS(Database!$F:$I,CONCATENATE($B112,AC$68,"L"))+COUNTIFS(Database!$F:$I,CONCATENATE(AC$68,$B112,"L"))+COUNTIFS(Database!$F:$I,CONCATENATE($B112,AC$68,"W"))+COUNTIFS(Database!$F:$I,CONCATENATE(AC$68,$B112,"W"))),"-")</f>
        <v>-</v>
      </c>
      <c r="AD112" s="122" t="str">
        <f>IFERROR((COUNTIFS(Database!$F:$I,CONCATENATE($B112,AD$68,"W"))+COUNTIFS(Database!$F:$I,CONCATENATE(AD$68,$B112,"W")))/(COUNTIFS(Database!$F:$I,CONCATENATE($B112,AD$68,"L"))+COUNTIFS(Database!$F:$I,CONCATENATE(AD$68,$B112,"L"))+COUNTIFS(Database!$F:$I,CONCATENATE($B112,AD$68,"W"))+COUNTIFS(Database!$F:$I,CONCATENATE(AD$68,$B112,"W"))),"-")</f>
        <v>-</v>
      </c>
      <c r="AE112" s="122" t="str">
        <f>IFERROR((COUNTIFS(Database!$F:$I,CONCATENATE($B112,AE$68,"W"))+COUNTIFS(Database!$F:$I,CONCATENATE(AE$68,$B112,"W")))/(COUNTIFS(Database!$F:$I,CONCATENATE($B112,AE$68,"L"))+COUNTIFS(Database!$F:$I,CONCATENATE(AE$68,$B112,"L"))+COUNTIFS(Database!$F:$I,CONCATENATE($B112,AE$68,"W"))+COUNTIFS(Database!$F:$I,CONCATENATE(AE$68,$B112,"W"))),"-")</f>
        <v>-</v>
      </c>
      <c r="AF112" s="122" t="str">
        <f>IFERROR((COUNTIFS(Database!$F:$I,CONCATENATE($B112,AF$68,"W"))+COUNTIFS(Database!$F:$I,CONCATENATE(AF$68,$B112,"W")))/(COUNTIFS(Database!$F:$I,CONCATENATE($B112,AF$68,"L"))+COUNTIFS(Database!$F:$I,CONCATENATE(AF$68,$B112,"L"))+COUNTIFS(Database!$F:$I,CONCATENATE($B112,AF$68,"W"))+COUNTIFS(Database!$F:$I,CONCATENATE(AF$68,$B112,"W"))),"-")</f>
        <v>-</v>
      </c>
      <c r="AG112" s="122" t="str">
        <f>IFERROR((COUNTIFS(Database!$F:$I,CONCATENATE($B112,AG$68,"W"))+COUNTIFS(Database!$F:$I,CONCATENATE(AG$68,$B112,"W")))/(COUNTIFS(Database!$F:$I,CONCATENATE($B112,AG$68,"L"))+COUNTIFS(Database!$F:$I,CONCATENATE(AG$68,$B112,"L"))+COUNTIFS(Database!$F:$I,CONCATENATE($B112,AG$68,"W"))+COUNTIFS(Database!$F:$I,CONCATENATE(AG$68,$B112,"W"))),"-")</f>
        <v>-</v>
      </c>
      <c r="AH112" s="122" t="str">
        <f>IFERROR((COUNTIFS(Database!$F:$I,CONCATENATE($B112,AH$68,"W"))+COUNTIFS(Database!$F:$I,CONCATENATE(AH$68,$B112,"W")))/(COUNTIFS(Database!$F:$I,CONCATENATE($B112,AH$68,"L"))+COUNTIFS(Database!$F:$I,CONCATENATE(AH$68,$B112,"L"))+COUNTIFS(Database!$F:$I,CONCATENATE($B112,AH$68,"W"))+COUNTIFS(Database!$F:$I,CONCATENATE(AH$68,$B112,"W"))),"-")</f>
        <v>-</v>
      </c>
      <c r="AI112" s="122" t="str">
        <f>IFERROR((COUNTIFS(Database!$F:$I,CONCATENATE($B112,AI$68,"W"))+COUNTIFS(Database!$F:$I,CONCATENATE(AI$68,$B112,"W")))/(COUNTIFS(Database!$F:$I,CONCATENATE($B112,AI$68,"L"))+COUNTIFS(Database!$F:$I,CONCATENATE(AI$68,$B112,"L"))+COUNTIFS(Database!$F:$I,CONCATENATE($B112,AI$68,"W"))+COUNTIFS(Database!$F:$I,CONCATENATE(AI$68,$B112,"W"))),"-")</f>
        <v>-</v>
      </c>
      <c r="AJ112" s="122" t="str">
        <f>IFERROR((COUNTIFS(Database!$F:$I,CONCATENATE($B112,AJ$68,"W"))+COUNTIFS(Database!$F:$I,CONCATENATE(AJ$68,$B112,"W")))/(COUNTIFS(Database!$F:$I,CONCATENATE($B112,AJ$68,"L"))+COUNTIFS(Database!$F:$I,CONCATENATE(AJ$68,$B112,"L"))+COUNTIFS(Database!$F:$I,CONCATENATE($B112,AJ$68,"W"))+COUNTIFS(Database!$F:$I,CONCATENATE(AJ$68,$B112,"W"))),"-")</f>
        <v>-</v>
      </c>
      <c r="AK112" s="122">
        <f>IFERROR((COUNTIFS(Database!$F:$I,CONCATENATE($B112,AK$68,"W"))+COUNTIFS(Database!$F:$I,CONCATENATE(AK$68,$B112,"W")))/(COUNTIFS(Database!$F:$I,CONCATENATE($B112,AK$68,"L"))+COUNTIFS(Database!$F:$I,CONCATENATE(AK$68,$B112,"L"))+COUNTIFS(Database!$F:$I,CONCATENATE($B112,AK$68,"W"))+COUNTIFS(Database!$F:$I,CONCATENATE(AK$68,$B112,"W"))),"-")</f>
        <v>1</v>
      </c>
      <c r="AL112" s="122" t="str">
        <f>IFERROR((COUNTIFS(Database!$F:$I,CONCATENATE($B112,AL$68,"W"))+COUNTIFS(Database!$F:$I,CONCATENATE(AL$68,$B112,"W")))/(COUNTIFS(Database!$F:$I,CONCATENATE($B112,AL$68,"L"))+COUNTIFS(Database!$F:$I,CONCATENATE(AL$68,$B112,"L"))+COUNTIFS(Database!$F:$I,CONCATENATE($B112,AL$68,"W"))+COUNTIFS(Database!$F:$I,CONCATENATE(AL$68,$B112,"W"))),"-")</f>
        <v>-</v>
      </c>
      <c r="AM112" s="122" t="str">
        <f>IFERROR((COUNTIFS(Database!$F:$I,CONCATENATE($B112,AM$68,"W"))+COUNTIFS(Database!$F:$I,CONCATENATE(AM$68,$B112,"W")))/(COUNTIFS(Database!$F:$I,CONCATENATE($B112,AM$68,"L"))+COUNTIFS(Database!$F:$I,CONCATENATE(AM$68,$B112,"L"))+COUNTIFS(Database!$F:$I,CONCATENATE($B112,AM$68,"W"))+COUNTIFS(Database!$F:$I,CONCATENATE(AM$68,$B112,"W"))),"-")</f>
        <v>-</v>
      </c>
      <c r="AN112" s="122" t="str">
        <f>IFERROR((COUNTIFS(Database!$F:$I,CONCATENATE($B112,AN$68,"W"))+COUNTIFS(Database!$F:$I,CONCATENATE(AN$68,$B112,"W")))/(COUNTIFS(Database!$F:$I,CONCATENATE($B112,AN$68,"L"))+COUNTIFS(Database!$F:$I,CONCATENATE(AN$68,$B112,"L"))+COUNTIFS(Database!$F:$I,CONCATENATE($B112,AN$68,"W"))+COUNTIFS(Database!$F:$I,CONCATENATE(AN$68,$B112,"W"))),"-")</f>
        <v>-</v>
      </c>
      <c r="AO112" s="122" t="str">
        <f>IFERROR((COUNTIFS(Database!$F:$I,CONCATENATE($B112,AO$68,"W"))+COUNTIFS(Database!$F:$I,CONCATENATE(AO$68,$B112,"W")))/(COUNTIFS(Database!$F:$I,CONCATENATE($B112,AO$68,"L"))+COUNTIFS(Database!$F:$I,CONCATENATE(AO$68,$B112,"L"))+COUNTIFS(Database!$F:$I,CONCATENATE($B112,AO$68,"W"))+COUNTIFS(Database!$F:$I,CONCATENATE(AO$68,$B112,"W"))),"-")</f>
        <v>-</v>
      </c>
      <c r="AP112" s="122" t="str">
        <f>IFERROR((COUNTIFS(Database!$F:$I,CONCATENATE($B112,AP$68,"W"))+COUNTIFS(Database!$F:$I,CONCATENATE(AP$68,$B112,"W")))/(COUNTIFS(Database!$F:$I,CONCATENATE($B112,AP$68,"L"))+COUNTIFS(Database!$F:$I,CONCATENATE(AP$68,$B112,"L"))+COUNTIFS(Database!$F:$I,CONCATENATE($B112,AP$68,"W"))+COUNTIFS(Database!$F:$I,CONCATENATE(AP$68,$B112,"W"))),"-")</f>
        <v>-</v>
      </c>
      <c r="AQ112" s="122" t="str">
        <f>IFERROR((COUNTIFS(Database!$F:$I,CONCATENATE($B112,AQ$68,"W"))+COUNTIFS(Database!$F:$I,CONCATENATE(AQ$68,$B112,"W")))/(COUNTIFS(Database!$F:$I,CONCATENATE($B112,AQ$68,"L"))+COUNTIFS(Database!$F:$I,CONCATENATE(AQ$68,$B112,"L"))+COUNTIFS(Database!$F:$I,CONCATENATE($B112,AQ$68,"W"))+COUNTIFS(Database!$F:$I,CONCATENATE(AQ$68,$B112,"W"))),"-")</f>
        <v>-</v>
      </c>
      <c r="AR112" s="122" t="str">
        <f>IFERROR((COUNTIFS(Database!$F:$I,CONCATENATE($B112,AR$68,"W"))+COUNTIFS(Database!$F:$I,CONCATENATE(AR$68,$B112,"W")))/(COUNTIFS(Database!$F:$I,CONCATENATE($B112,AR$68,"L"))+COUNTIFS(Database!$F:$I,CONCATENATE(AR$68,$B112,"L"))+COUNTIFS(Database!$F:$I,CONCATENATE($B112,AR$68,"W"))+COUNTIFS(Database!$F:$I,CONCATENATE(AR$68,$B112,"W"))),"-")</f>
        <v>-</v>
      </c>
      <c r="AS112" s="122" t="str">
        <f>IFERROR((COUNTIFS(Database!$F:$I,CONCATENATE($B112,AS$68,"W"))+COUNTIFS(Database!$F:$I,CONCATENATE(AS$68,$B112,"W")))/(COUNTIFS(Database!$F:$I,CONCATENATE($B112,AS$68,"L"))+COUNTIFS(Database!$F:$I,CONCATENATE(AS$68,$B112,"L"))+COUNTIFS(Database!$F:$I,CONCATENATE($B112,AS$68,"W"))+COUNTIFS(Database!$F:$I,CONCATENATE(AS$68,$B112,"W"))),"-")</f>
        <v>-</v>
      </c>
      <c r="AT112" s="122" t="str">
        <f>IFERROR((COUNTIFS(Database!$F:$I,CONCATENATE($B112,AT$68,"W"))+COUNTIFS(Database!$F:$I,CONCATENATE(AT$68,$B112,"W")))/(COUNTIFS(Database!$F:$I,CONCATENATE($B112,AT$68,"L"))+COUNTIFS(Database!$F:$I,CONCATENATE(AT$68,$B112,"L"))+COUNTIFS(Database!$F:$I,CONCATENATE($B112,AT$68,"W"))+COUNTIFS(Database!$F:$I,CONCATENATE(AT$68,$B112,"W"))),"-")</f>
        <v>-</v>
      </c>
      <c r="AU112" s="122">
        <f>IFERROR((COUNTIFS(Database!$F:$I,CONCATENATE($B112,AU$68,"W"))+COUNTIFS(Database!$F:$I,CONCATENATE(AU$68,$B112,"W")))/(COUNTIFS(Database!$F:$I,CONCATENATE($B112,AU$68,"L"))+COUNTIFS(Database!$F:$I,CONCATENATE(AU$68,$B112,"L"))+COUNTIFS(Database!$F:$I,CONCATENATE($B112,AU$68,"W"))+COUNTIFS(Database!$F:$I,CONCATENATE(AU$68,$B112,"W"))),"-")</f>
        <v>1</v>
      </c>
      <c r="AV112" s="122" t="str">
        <f>IFERROR((COUNTIFS(Database!$F:$I,CONCATENATE($B112,AV$68,"W"))+COUNTIFS(Database!$F:$I,CONCATENATE(AV$68,$B112,"W")))/(COUNTIFS(Database!$F:$I,CONCATENATE($B112,AV$68,"L"))+COUNTIFS(Database!$F:$I,CONCATENATE(AV$68,$B112,"L"))+COUNTIFS(Database!$F:$I,CONCATENATE($B112,AV$68,"W"))+COUNTIFS(Database!$F:$I,CONCATENATE(AV$68,$B112,"W"))),"-")</f>
        <v>-</v>
      </c>
      <c r="AW112" s="122" t="str">
        <f>IFERROR((COUNTIFS(Database!$F:$I,CONCATENATE($B112,AW$68,"W"))+COUNTIFS(Database!$F:$I,CONCATENATE(AW$68,$B112,"W")))/(COUNTIFS(Database!$F:$I,CONCATENATE($B112,AW$68,"L"))+COUNTIFS(Database!$F:$I,CONCATENATE(AW$68,$B112,"L"))+COUNTIFS(Database!$F:$I,CONCATENATE($B112,AW$68,"W"))+COUNTIFS(Database!$F:$I,CONCATENATE(AW$68,$B112,"W"))),"-")</f>
        <v>-</v>
      </c>
      <c r="AX112" s="122" t="str">
        <f>IFERROR((COUNTIFS(Database!$F:$I,CONCATENATE($B112,AX$68,"W"))+COUNTIFS(Database!$F:$I,CONCATENATE(AX$68,$B112,"W")))/(COUNTIFS(Database!$F:$I,CONCATENATE($B112,AX$68,"L"))+COUNTIFS(Database!$F:$I,CONCATENATE(AX$68,$B112,"L"))+COUNTIFS(Database!$F:$I,CONCATENATE($B112,AX$68,"W"))+COUNTIFS(Database!$F:$I,CONCATENATE(AX$68,$B112,"W"))),"-")</f>
        <v>-</v>
      </c>
      <c r="AY112" s="122" t="str">
        <f>IFERROR((COUNTIFS(Database!$F:$I,CONCATENATE($B112,AY$68,"W"))+COUNTIFS(Database!$F:$I,CONCATENATE(AY$68,$B112,"W")))/(COUNTIFS(Database!$F:$I,CONCATENATE($B112,AY$68,"L"))+COUNTIFS(Database!$F:$I,CONCATENATE(AY$68,$B112,"L"))+COUNTIFS(Database!$F:$I,CONCATENATE($B112,AY$68,"W"))+COUNTIFS(Database!$F:$I,CONCATENATE(AY$68,$B112,"W"))),"-")</f>
        <v>-</v>
      </c>
    </row>
    <row r="113" spans="2:51" x14ac:dyDescent="0.25">
      <c r="B113" s="120" t="s">
        <v>37</v>
      </c>
      <c r="C113" s="122">
        <f>IFERROR((COUNTIFS(Database!$F:$I,CONCATENATE($B113,C$68,"W"))+COUNTIFS(Database!$F:$I,CONCATENATE(C$68,$B113,"W")))/(COUNTIFS(Database!$F:$I,CONCATENATE($B113,C$68,"L"))+COUNTIFS(Database!$F:$I,CONCATENATE(C$68,$B113,"L"))+COUNTIFS(Database!$F:$I,CONCATENATE($B113,C$68,"W"))+COUNTIFS(Database!$F:$I,CONCATENATE(C$68,$B113,"W"))),"-")</f>
        <v>0.5</v>
      </c>
      <c r="D113" s="122">
        <f>IFERROR((COUNTIFS(Database!$F:$I,CONCATENATE($B113,D$68,"W"))+COUNTIFS(Database!$F:$I,CONCATENATE(D$68,$B113,"W")))/(COUNTIFS(Database!$F:$I,CONCATENATE($B113,D$68,"L"))+COUNTIFS(Database!$F:$I,CONCATENATE(D$68,$B113,"L"))+COUNTIFS(Database!$F:$I,CONCATENATE($B113,D$68,"W"))+COUNTIFS(Database!$F:$I,CONCATENATE(D$68,$B113,"W"))),"-")</f>
        <v>1</v>
      </c>
      <c r="E113" s="122">
        <f>IFERROR((COUNTIFS(Database!$F:$I,CONCATENATE($B113,E$68,"W"))+COUNTIFS(Database!$F:$I,CONCATENATE(E$68,$B113,"W")))/(COUNTIFS(Database!$F:$I,CONCATENATE($B113,E$68,"L"))+COUNTIFS(Database!$F:$I,CONCATENATE(E$68,$B113,"L"))+COUNTIFS(Database!$F:$I,CONCATENATE($B113,E$68,"W"))+COUNTIFS(Database!$F:$I,CONCATENATE(E$68,$B113,"W"))),"-")</f>
        <v>0.66666666666666663</v>
      </c>
      <c r="F113" s="122">
        <f>IFERROR((COUNTIFS(Database!$F:$I,CONCATENATE($B113,F$68,"W"))+COUNTIFS(Database!$F:$I,CONCATENATE(F$68,$B113,"W")))/(COUNTIFS(Database!$F:$I,CONCATENATE($B113,F$68,"L"))+COUNTIFS(Database!$F:$I,CONCATENATE(F$68,$B113,"L"))+COUNTIFS(Database!$F:$I,CONCATENATE($B113,F$68,"W"))+COUNTIFS(Database!$F:$I,CONCATENATE(F$68,$B113,"W"))),"-")</f>
        <v>0.5</v>
      </c>
      <c r="G113" s="122" t="str">
        <f>IFERROR((COUNTIFS(Database!$F:$I,CONCATENATE($B113,G$68,"W"))+COUNTIFS(Database!$F:$I,CONCATENATE(G$68,$B113,"W")))/(COUNTIFS(Database!$F:$I,CONCATENATE($B113,G$68,"L"))+COUNTIFS(Database!$F:$I,CONCATENATE(G$68,$B113,"L"))+COUNTIFS(Database!$F:$I,CONCATENATE($B113,G$68,"W"))+COUNTIFS(Database!$F:$I,CONCATENATE(G$68,$B113,"W"))),"-")</f>
        <v>-</v>
      </c>
      <c r="H113" s="122" t="str">
        <f>IFERROR((COUNTIFS(Database!$F:$I,CONCATENATE($B113,H$68,"W"))+COUNTIFS(Database!$F:$I,CONCATENATE(H$68,$B113,"W")))/(COUNTIFS(Database!$F:$I,CONCATENATE($B113,H$68,"L"))+COUNTIFS(Database!$F:$I,CONCATENATE(H$68,$B113,"L"))+COUNTIFS(Database!$F:$I,CONCATENATE($B113,H$68,"W"))+COUNTIFS(Database!$F:$I,CONCATENATE(H$68,$B113,"W"))),"-")</f>
        <v>-</v>
      </c>
      <c r="I113" s="122">
        <f>IFERROR((COUNTIFS(Database!$F:$I,CONCATENATE($B113,I$68,"W"))+COUNTIFS(Database!$F:$I,CONCATENATE(I$68,$B113,"W")))/(COUNTIFS(Database!$F:$I,CONCATENATE($B113,I$68,"L"))+COUNTIFS(Database!$F:$I,CONCATENATE(I$68,$B113,"L"))+COUNTIFS(Database!$F:$I,CONCATENATE($B113,I$68,"W"))+COUNTIFS(Database!$F:$I,CONCATENATE(I$68,$B113,"W"))),"-")</f>
        <v>0</v>
      </c>
      <c r="J113" s="122">
        <f>IFERROR((COUNTIFS(Database!$F:$I,CONCATENATE($B113,J$68,"W"))+COUNTIFS(Database!$F:$I,CONCATENATE(J$68,$B113,"W")))/(COUNTIFS(Database!$F:$I,CONCATENATE($B113,J$68,"L"))+COUNTIFS(Database!$F:$I,CONCATENATE(J$68,$B113,"L"))+COUNTIFS(Database!$F:$I,CONCATENATE($B113,J$68,"W"))+COUNTIFS(Database!$F:$I,CONCATENATE(J$68,$B113,"W"))),"-")</f>
        <v>0.33333333333333331</v>
      </c>
      <c r="K113" s="122">
        <f>IFERROR((COUNTIFS(Database!$F:$I,CONCATENATE($B113,K$68,"W"))+COUNTIFS(Database!$F:$I,CONCATENATE(K$68,$B113,"W")))/(COUNTIFS(Database!$F:$I,CONCATENATE($B113,K$68,"L"))+COUNTIFS(Database!$F:$I,CONCATENATE(K$68,$B113,"L"))+COUNTIFS(Database!$F:$I,CONCATENATE($B113,K$68,"W"))+COUNTIFS(Database!$F:$I,CONCATENATE(K$68,$B113,"W"))),"-")</f>
        <v>0.5714285714285714</v>
      </c>
      <c r="L113" s="122" t="str">
        <f>IFERROR((COUNTIFS(Database!$F:$I,CONCATENATE($B113,L$68,"W"))+COUNTIFS(Database!$F:$I,CONCATENATE(L$68,$B113,"W")))/(COUNTIFS(Database!$F:$I,CONCATENATE($B113,L$68,"L"))+COUNTIFS(Database!$F:$I,CONCATENATE(L$68,$B113,"L"))+COUNTIFS(Database!$F:$I,CONCATENATE($B113,L$68,"W"))+COUNTIFS(Database!$F:$I,CONCATENATE(L$68,$B113,"W"))),"-")</f>
        <v>-</v>
      </c>
      <c r="M113" s="122">
        <f>IFERROR((COUNTIFS(Database!$F:$I,CONCATENATE($B113,M$68,"W"))+COUNTIFS(Database!$F:$I,CONCATENATE(M$68,$B113,"W")))/(COUNTIFS(Database!$F:$I,CONCATENATE($B113,M$68,"L"))+COUNTIFS(Database!$F:$I,CONCATENATE(M$68,$B113,"L"))+COUNTIFS(Database!$F:$I,CONCATENATE($B113,M$68,"W"))+COUNTIFS(Database!$F:$I,CONCATENATE(M$68,$B113,"W"))),"-")</f>
        <v>1</v>
      </c>
      <c r="N113" s="122" t="str">
        <f>IFERROR((COUNTIFS(Database!$F:$I,CONCATENATE($B113,N$68,"W"))+COUNTIFS(Database!$F:$I,CONCATENATE(N$68,$B113,"W")))/(COUNTIFS(Database!$F:$I,CONCATENATE($B113,N$68,"L"))+COUNTIFS(Database!$F:$I,CONCATENATE(N$68,$B113,"L"))+COUNTIFS(Database!$F:$I,CONCATENATE($B113,N$68,"W"))+COUNTIFS(Database!$F:$I,CONCATENATE(N$68,$B113,"W"))),"-")</f>
        <v>-</v>
      </c>
      <c r="O113" s="122">
        <f>IFERROR((COUNTIFS(Database!$F:$I,CONCATENATE($B113,O$68,"W"))+COUNTIFS(Database!$F:$I,CONCATENATE(O$68,$B113,"W")))/(COUNTIFS(Database!$F:$I,CONCATENATE($B113,O$68,"L"))+COUNTIFS(Database!$F:$I,CONCATENATE(O$68,$B113,"L"))+COUNTIFS(Database!$F:$I,CONCATENATE($B113,O$68,"W"))+COUNTIFS(Database!$F:$I,CONCATENATE(O$68,$B113,"W"))),"-")</f>
        <v>0.8571428571428571</v>
      </c>
      <c r="P113" s="122" t="str">
        <f>IFERROR((COUNTIFS(Database!$F:$I,CONCATENATE($B113,P$68,"W"))+COUNTIFS(Database!$F:$I,CONCATENATE(P$68,$B113,"W")))/(COUNTIFS(Database!$F:$I,CONCATENATE($B113,P$68,"L"))+COUNTIFS(Database!$F:$I,CONCATENATE(P$68,$B113,"L"))+COUNTIFS(Database!$F:$I,CONCATENATE($B113,P$68,"W"))+COUNTIFS(Database!$F:$I,CONCATENATE(P$68,$B113,"W"))),"-")</f>
        <v>-</v>
      </c>
      <c r="Q113" s="122" t="str">
        <f>IFERROR((COUNTIFS(Database!$F:$I,CONCATENATE($B113,Q$68,"W"))+COUNTIFS(Database!$F:$I,CONCATENATE(Q$68,$B113,"W")))/(COUNTIFS(Database!$F:$I,CONCATENATE($B113,Q$68,"L"))+COUNTIFS(Database!$F:$I,CONCATENATE(Q$68,$B113,"L"))+COUNTIFS(Database!$F:$I,CONCATENATE($B113,Q$68,"W"))+COUNTIFS(Database!$F:$I,CONCATENATE(Q$68,$B113,"W"))),"-")</f>
        <v>-</v>
      </c>
      <c r="R113" s="122" t="str">
        <f>IFERROR((COUNTIFS(Database!$F:$I,CONCATENATE($B113,R$68,"W"))+COUNTIFS(Database!$F:$I,CONCATENATE(R$68,$B113,"W")))/(COUNTIFS(Database!$F:$I,CONCATENATE($B113,R$68,"L"))+COUNTIFS(Database!$F:$I,CONCATENATE(R$68,$B113,"L"))+COUNTIFS(Database!$F:$I,CONCATENATE($B113,R$68,"W"))+COUNTIFS(Database!$F:$I,CONCATENATE(R$68,$B113,"W"))),"-")</f>
        <v>-</v>
      </c>
      <c r="S113" s="122">
        <f>IFERROR((COUNTIFS(Database!$F:$I,CONCATENATE($B113,S$68,"W"))+COUNTIFS(Database!$F:$I,CONCATENATE(S$68,$B113,"W")))/(COUNTIFS(Database!$F:$I,CONCATENATE($B113,S$68,"L"))+COUNTIFS(Database!$F:$I,CONCATENATE(S$68,$B113,"L"))+COUNTIFS(Database!$F:$I,CONCATENATE($B113,S$68,"W"))+COUNTIFS(Database!$F:$I,CONCATENATE(S$68,$B113,"W"))),"-")</f>
        <v>1</v>
      </c>
      <c r="T113" s="122" t="str">
        <f>IFERROR((COUNTIFS(Database!$F:$I,CONCATENATE($B113,T$68,"W"))+COUNTIFS(Database!$F:$I,CONCATENATE(T$68,$B113,"W")))/(COUNTIFS(Database!$F:$I,CONCATENATE($B113,T$68,"L"))+COUNTIFS(Database!$F:$I,CONCATENATE(T$68,$B113,"L"))+COUNTIFS(Database!$F:$I,CONCATENATE($B113,T$68,"W"))+COUNTIFS(Database!$F:$I,CONCATENATE(T$68,$B113,"W"))),"-")</f>
        <v>-</v>
      </c>
      <c r="U113" s="122" t="str">
        <f>IFERROR((COUNTIFS(Database!$F:$I,CONCATENATE($B113,U$68,"W"))+COUNTIFS(Database!$F:$I,CONCATENATE(U$68,$B113,"W")))/(COUNTIFS(Database!$F:$I,CONCATENATE($B113,U$68,"L"))+COUNTIFS(Database!$F:$I,CONCATENATE(U$68,$B113,"L"))+COUNTIFS(Database!$F:$I,CONCATENATE($B113,U$68,"W"))+COUNTIFS(Database!$F:$I,CONCATENATE(U$68,$B113,"W"))),"-")</f>
        <v>-</v>
      </c>
      <c r="V113" s="122" t="str">
        <f>IFERROR((COUNTIFS(Database!$F:$I,CONCATENATE($B113,V$68,"W"))+COUNTIFS(Database!$F:$I,CONCATENATE(V$68,$B113,"W")))/(COUNTIFS(Database!$F:$I,CONCATENATE($B113,V$68,"L"))+COUNTIFS(Database!$F:$I,CONCATENATE(V$68,$B113,"L"))+COUNTIFS(Database!$F:$I,CONCATENATE($B113,V$68,"W"))+COUNTIFS(Database!$F:$I,CONCATENATE(V$68,$B113,"W"))),"-")</f>
        <v>-</v>
      </c>
      <c r="W113" s="122">
        <f>IFERROR((COUNTIFS(Database!$F:$I,CONCATENATE($B113,W$68,"W"))+COUNTIFS(Database!$F:$I,CONCATENATE(W$68,$B113,"W")))/(COUNTIFS(Database!$F:$I,CONCATENATE($B113,W$68,"L"))+COUNTIFS(Database!$F:$I,CONCATENATE(W$68,$B113,"L"))+COUNTIFS(Database!$F:$I,CONCATENATE($B113,W$68,"W"))+COUNTIFS(Database!$F:$I,CONCATENATE(W$68,$B113,"W"))),"-")</f>
        <v>0.5</v>
      </c>
      <c r="X113" s="122" t="str">
        <f>IFERROR((COUNTIFS(Database!$F:$I,CONCATENATE($B113,X$68,"W"))+COUNTIFS(Database!$F:$I,CONCATENATE(X$68,$B113,"W")))/(COUNTIFS(Database!$F:$I,CONCATENATE($B113,X$68,"L"))+COUNTIFS(Database!$F:$I,CONCATENATE(X$68,$B113,"L"))+COUNTIFS(Database!$F:$I,CONCATENATE($B113,X$68,"W"))+COUNTIFS(Database!$F:$I,CONCATENATE(X$68,$B113,"W"))),"-")</f>
        <v>-</v>
      </c>
      <c r="Y113" s="122">
        <f>IFERROR((COUNTIFS(Database!$F:$I,CONCATENATE($B113,Y$68,"W"))+COUNTIFS(Database!$F:$I,CONCATENATE(Y$68,$B113,"W")))/(COUNTIFS(Database!$F:$I,CONCATENATE($B113,Y$68,"L"))+COUNTIFS(Database!$F:$I,CONCATENATE(Y$68,$B113,"L"))+COUNTIFS(Database!$F:$I,CONCATENATE($B113,Y$68,"W"))+COUNTIFS(Database!$F:$I,CONCATENATE(Y$68,$B113,"W"))),"-")</f>
        <v>1</v>
      </c>
      <c r="Z113" s="122" t="str">
        <f>IFERROR((COUNTIFS(Database!$F:$I,CONCATENATE($B113,Z$68,"W"))+COUNTIFS(Database!$F:$I,CONCATENATE(Z$68,$B113,"W")))/(COUNTIFS(Database!$F:$I,CONCATENATE($B113,Z$68,"L"))+COUNTIFS(Database!$F:$I,CONCATENATE(Z$68,$B113,"L"))+COUNTIFS(Database!$F:$I,CONCATENATE($B113,Z$68,"W"))+COUNTIFS(Database!$F:$I,CONCATENATE(Z$68,$B113,"W"))),"-")</f>
        <v>-</v>
      </c>
      <c r="AA113" s="122" t="str">
        <f>IFERROR((COUNTIFS(Database!$F:$I,CONCATENATE($B113,AA$68,"W"))+COUNTIFS(Database!$F:$I,CONCATENATE(AA$68,$B113,"W")))/(COUNTIFS(Database!$F:$I,CONCATENATE($B113,AA$68,"L"))+COUNTIFS(Database!$F:$I,CONCATENATE(AA$68,$B113,"L"))+COUNTIFS(Database!$F:$I,CONCATENATE($B113,AA$68,"W"))+COUNTIFS(Database!$F:$I,CONCATENATE(AA$68,$B113,"W"))),"-")</f>
        <v>-</v>
      </c>
      <c r="AB113" s="122">
        <f>IFERROR((COUNTIFS(Database!$F:$I,CONCATENATE($B113,AB$68,"W"))+COUNTIFS(Database!$F:$I,CONCATENATE(AB$68,$B113,"W")))/(COUNTIFS(Database!$F:$I,CONCATENATE($B113,AB$68,"L"))+COUNTIFS(Database!$F:$I,CONCATENATE(AB$68,$B113,"L"))+COUNTIFS(Database!$F:$I,CONCATENATE($B113,AB$68,"W"))+COUNTIFS(Database!$F:$I,CONCATENATE(AB$68,$B113,"W"))),"-")</f>
        <v>0.25</v>
      </c>
      <c r="AC113" s="122">
        <f>IFERROR((COUNTIFS(Database!$F:$I,CONCATENATE($B113,AC$68,"W"))+COUNTIFS(Database!$F:$I,CONCATENATE(AC$68,$B113,"W")))/(COUNTIFS(Database!$F:$I,CONCATENATE($B113,AC$68,"L"))+COUNTIFS(Database!$F:$I,CONCATENATE(AC$68,$B113,"L"))+COUNTIFS(Database!$F:$I,CONCATENATE($B113,AC$68,"W"))+COUNTIFS(Database!$F:$I,CONCATENATE(AC$68,$B113,"W"))),"-")</f>
        <v>0.8</v>
      </c>
      <c r="AD113" s="122" t="str">
        <f>IFERROR((COUNTIFS(Database!$F:$I,CONCATENATE($B113,AD$68,"W"))+COUNTIFS(Database!$F:$I,CONCATENATE(AD$68,$B113,"W")))/(COUNTIFS(Database!$F:$I,CONCATENATE($B113,AD$68,"L"))+COUNTIFS(Database!$F:$I,CONCATENATE(AD$68,$B113,"L"))+COUNTIFS(Database!$F:$I,CONCATENATE($B113,AD$68,"W"))+COUNTIFS(Database!$F:$I,CONCATENATE(AD$68,$B113,"W"))),"-")</f>
        <v>-</v>
      </c>
      <c r="AE113" s="122" t="str">
        <f>IFERROR((COUNTIFS(Database!$F:$I,CONCATENATE($B113,AE$68,"W"))+COUNTIFS(Database!$F:$I,CONCATENATE(AE$68,$B113,"W")))/(COUNTIFS(Database!$F:$I,CONCATENATE($B113,AE$68,"L"))+COUNTIFS(Database!$F:$I,CONCATENATE(AE$68,$B113,"L"))+COUNTIFS(Database!$F:$I,CONCATENATE($B113,AE$68,"W"))+COUNTIFS(Database!$F:$I,CONCATENATE(AE$68,$B113,"W"))),"-")</f>
        <v>-</v>
      </c>
      <c r="AF113" s="122">
        <f>IFERROR((COUNTIFS(Database!$F:$I,CONCATENATE($B113,AF$68,"W"))+COUNTIFS(Database!$F:$I,CONCATENATE(AF$68,$B113,"W")))/(COUNTIFS(Database!$F:$I,CONCATENATE($B113,AF$68,"L"))+COUNTIFS(Database!$F:$I,CONCATENATE(AF$68,$B113,"L"))+COUNTIFS(Database!$F:$I,CONCATENATE($B113,AF$68,"W"))+COUNTIFS(Database!$F:$I,CONCATENATE(AF$68,$B113,"W"))),"-")</f>
        <v>0.5</v>
      </c>
      <c r="AG113" s="122" t="str">
        <f>IFERROR((COUNTIFS(Database!$F:$I,CONCATENATE($B113,AG$68,"W"))+COUNTIFS(Database!$F:$I,CONCATENATE(AG$68,$B113,"W")))/(COUNTIFS(Database!$F:$I,CONCATENATE($B113,AG$68,"L"))+COUNTIFS(Database!$F:$I,CONCATENATE(AG$68,$B113,"L"))+COUNTIFS(Database!$F:$I,CONCATENATE($B113,AG$68,"W"))+COUNTIFS(Database!$F:$I,CONCATENATE(AG$68,$B113,"W"))),"-")</f>
        <v>-</v>
      </c>
      <c r="AH113" s="122" t="str">
        <f>IFERROR((COUNTIFS(Database!$F:$I,CONCATENATE($B113,AH$68,"W"))+COUNTIFS(Database!$F:$I,CONCATENATE(AH$68,$B113,"W")))/(COUNTIFS(Database!$F:$I,CONCATENATE($B113,AH$68,"L"))+COUNTIFS(Database!$F:$I,CONCATENATE(AH$68,$B113,"L"))+COUNTIFS(Database!$F:$I,CONCATENATE($B113,AH$68,"W"))+COUNTIFS(Database!$F:$I,CONCATENATE(AH$68,$B113,"W"))),"-")</f>
        <v>-</v>
      </c>
      <c r="AI113" s="122">
        <f>IFERROR((COUNTIFS(Database!$F:$I,CONCATENATE($B113,AI$68,"W"))+COUNTIFS(Database!$F:$I,CONCATENATE(AI$68,$B113,"W")))/(COUNTIFS(Database!$F:$I,CONCATENATE($B113,AI$68,"L"))+COUNTIFS(Database!$F:$I,CONCATENATE(AI$68,$B113,"L"))+COUNTIFS(Database!$F:$I,CONCATENATE($B113,AI$68,"W"))+COUNTIFS(Database!$F:$I,CONCATENATE(AI$68,$B113,"W"))),"-")</f>
        <v>0.66666666666666663</v>
      </c>
      <c r="AJ113" s="122">
        <f>IFERROR((COUNTIFS(Database!$F:$I,CONCATENATE($B113,AJ$68,"W"))+COUNTIFS(Database!$F:$I,CONCATENATE(AJ$68,$B113,"W")))/(COUNTIFS(Database!$F:$I,CONCATENATE($B113,AJ$68,"L"))+COUNTIFS(Database!$F:$I,CONCATENATE(AJ$68,$B113,"L"))+COUNTIFS(Database!$F:$I,CONCATENATE($B113,AJ$68,"W"))+COUNTIFS(Database!$F:$I,CONCATENATE(AJ$68,$B113,"W"))),"-")</f>
        <v>1</v>
      </c>
      <c r="AK113" s="122">
        <f>IFERROR((COUNTIFS(Database!$F:$I,CONCATENATE($B113,AK$68,"W"))+COUNTIFS(Database!$F:$I,CONCATENATE(AK$68,$B113,"W")))/(COUNTIFS(Database!$F:$I,CONCATENATE($B113,AK$68,"L"))+COUNTIFS(Database!$F:$I,CONCATENATE(AK$68,$B113,"L"))+COUNTIFS(Database!$F:$I,CONCATENATE($B113,AK$68,"W"))+COUNTIFS(Database!$F:$I,CONCATENATE(AK$68,$B113,"W"))),"-")</f>
        <v>0.8571428571428571</v>
      </c>
      <c r="AL113" s="122">
        <f>IFERROR((COUNTIFS(Database!$F:$I,CONCATENATE($B113,AL$68,"W"))+COUNTIFS(Database!$F:$I,CONCATENATE(AL$68,$B113,"W")))/(COUNTIFS(Database!$F:$I,CONCATENATE($B113,AL$68,"L"))+COUNTIFS(Database!$F:$I,CONCATENATE(AL$68,$B113,"L"))+COUNTIFS(Database!$F:$I,CONCATENATE($B113,AL$68,"W"))+COUNTIFS(Database!$F:$I,CONCATENATE(AL$68,$B113,"W"))),"-")</f>
        <v>0</v>
      </c>
      <c r="AM113" s="122">
        <f>IFERROR((COUNTIFS(Database!$F:$I,CONCATENATE($B113,AM$68,"W"))+COUNTIFS(Database!$F:$I,CONCATENATE(AM$68,$B113,"W")))/(COUNTIFS(Database!$F:$I,CONCATENATE($B113,AM$68,"L"))+COUNTIFS(Database!$F:$I,CONCATENATE(AM$68,$B113,"L"))+COUNTIFS(Database!$F:$I,CONCATENATE($B113,AM$68,"W"))+COUNTIFS(Database!$F:$I,CONCATENATE(AM$68,$B113,"W"))),"-")</f>
        <v>0</v>
      </c>
      <c r="AN113" s="122" t="str">
        <f>IFERROR((COUNTIFS(Database!$F:$I,CONCATENATE($B113,AN$68,"W"))+COUNTIFS(Database!$F:$I,CONCATENATE(AN$68,$B113,"W")))/(COUNTIFS(Database!$F:$I,CONCATENATE($B113,AN$68,"L"))+COUNTIFS(Database!$F:$I,CONCATENATE(AN$68,$B113,"L"))+COUNTIFS(Database!$F:$I,CONCATENATE($B113,AN$68,"W"))+COUNTIFS(Database!$F:$I,CONCATENATE(AN$68,$B113,"W"))),"-")</f>
        <v>-</v>
      </c>
      <c r="AO113" s="122">
        <f>IFERROR((COUNTIFS(Database!$F:$I,CONCATENATE($B113,AO$68,"W"))+COUNTIFS(Database!$F:$I,CONCATENATE(AO$68,$B113,"W")))/(COUNTIFS(Database!$F:$I,CONCATENATE($B113,AO$68,"L"))+COUNTIFS(Database!$F:$I,CONCATENATE(AO$68,$B113,"L"))+COUNTIFS(Database!$F:$I,CONCATENATE($B113,AO$68,"W"))+COUNTIFS(Database!$F:$I,CONCATENATE(AO$68,$B113,"W"))),"-")</f>
        <v>0</v>
      </c>
      <c r="AP113" s="122">
        <f>IFERROR((COUNTIFS(Database!$F:$I,CONCATENATE($B113,AP$68,"W"))+COUNTIFS(Database!$F:$I,CONCATENATE(AP$68,$B113,"W")))/(COUNTIFS(Database!$F:$I,CONCATENATE($B113,AP$68,"L"))+COUNTIFS(Database!$F:$I,CONCATENATE(AP$68,$B113,"L"))+COUNTIFS(Database!$F:$I,CONCATENATE($B113,AP$68,"W"))+COUNTIFS(Database!$F:$I,CONCATENATE(AP$68,$B113,"W"))),"-")</f>
        <v>0.5</v>
      </c>
      <c r="AQ113" s="122">
        <f>IFERROR((COUNTIFS(Database!$F:$I,CONCATENATE($B113,AQ$68,"W"))+COUNTIFS(Database!$F:$I,CONCATENATE(AQ$68,$B113,"W")))/(COUNTIFS(Database!$F:$I,CONCATENATE($B113,AQ$68,"L"))+COUNTIFS(Database!$F:$I,CONCATENATE(AQ$68,$B113,"L"))+COUNTIFS(Database!$F:$I,CONCATENATE($B113,AQ$68,"W"))+COUNTIFS(Database!$F:$I,CONCATENATE(AQ$68,$B113,"W"))),"-")</f>
        <v>0</v>
      </c>
      <c r="AR113" s="122">
        <f>IFERROR((COUNTIFS(Database!$F:$I,CONCATENATE($B113,AR$68,"W"))+COUNTIFS(Database!$F:$I,CONCATENATE(AR$68,$B113,"W")))/(COUNTIFS(Database!$F:$I,CONCATENATE($B113,AR$68,"L"))+COUNTIFS(Database!$F:$I,CONCATENATE(AR$68,$B113,"L"))+COUNTIFS(Database!$F:$I,CONCATENATE($B113,AR$68,"W"))+COUNTIFS(Database!$F:$I,CONCATENATE(AR$68,$B113,"W"))),"-")</f>
        <v>0.4</v>
      </c>
      <c r="AS113" s="122" t="str">
        <f>IFERROR((COUNTIFS(Database!$F:$I,CONCATENATE($B113,AS$68,"W"))+COUNTIFS(Database!$F:$I,CONCATENATE(AS$68,$B113,"W")))/(COUNTIFS(Database!$F:$I,CONCATENATE($B113,AS$68,"L"))+COUNTIFS(Database!$F:$I,CONCATENATE(AS$68,$B113,"L"))+COUNTIFS(Database!$F:$I,CONCATENATE($B113,AS$68,"W"))+COUNTIFS(Database!$F:$I,CONCATENATE(AS$68,$B113,"W"))),"-")</f>
        <v>-</v>
      </c>
      <c r="AT113" s="122">
        <f>IFERROR((COUNTIFS(Database!$F:$I,CONCATENATE($B113,AT$68,"W"))+COUNTIFS(Database!$F:$I,CONCATENATE(AT$68,$B113,"W")))/(COUNTIFS(Database!$F:$I,CONCATENATE($B113,AT$68,"L"))+COUNTIFS(Database!$F:$I,CONCATENATE(AT$68,$B113,"L"))+COUNTIFS(Database!$F:$I,CONCATENATE($B113,AT$68,"W"))+COUNTIFS(Database!$F:$I,CONCATENATE(AT$68,$B113,"W"))),"-")</f>
        <v>1</v>
      </c>
      <c r="AU113" s="122" t="str">
        <f>IFERROR((COUNTIFS(Database!$F:$I,CONCATENATE($B113,AU$68,"W"))+COUNTIFS(Database!$F:$I,CONCATENATE(AU$68,$B113,"W")))/(COUNTIFS(Database!$F:$I,CONCATENATE($B113,AU$68,"L"))+COUNTIFS(Database!$F:$I,CONCATENATE(AU$68,$B113,"L"))+COUNTIFS(Database!$F:$I,CONCATENATE($B113,AU$68,"W"))+COUNTIFS(Database!$F:$I,CONCATENATE(AU$68,$B113,"W"))),"-")</f>
        <v>-</v>
      </c>
      <c r="AV113" s="122">
        <f>IFERROR((COUNTIFS(Database!$F:$I,CONCATENATE($B113,AV$68,"W"))+COUNTIFS(Database!$F:$I,CONCATENATE(AV$68,$B113,"W")))/(COUNTIFS(Database!$F:$I,CONCATENATE($B113,AV$68,"L"))+COUNTIFS(Database!$F:$I,CONCATENATE(AV$68,$B113,"L"))+COUNTIFS(Database!$F:$I,CONCATENATE($B113,AV$68,"W"))+COUNTIFS(Database!$F:$I,CONCATENATE(AV$68,$B113,"W"))),"-")</f>
        <v>1</v>
      </c>
      <c r="AW113" s="122">
        <f>IFERROR((COUNTIFS(Database!$F:$I,CONCATENATE($B113,AW$68,"W"))+COUNTIFS(Database!$F:$I,CONCATENATE(AW$68,$B113,"W")))/(COUNTIFS(Database!$F:$I,CONCATENATE($B113,AW$68,"L"))+COUNTIFS(Database!$F:$I,CONCATENATE(AW$68,$B113,"L"))+COUNTIFS(Database!$F:$I,CONCATENATE($B113,AW$68,"W"))+COUNTIFS(Database!$F:$I,CONCATENATE(AW$68,$B113,"W"))),"-")</f>
        <v>1</v>
      </c>
      <c r="AX113" s="122" t="str">
        <f>IFERROR((COUNTIFS(Database!$F:$I,CONCATENATE($B113,AX$68,"W"))+COUNTIFS(Database!$F:$I,CONCATENATE(AX$68,$B113,"W")))/(COUNTIFS(Database!$F:$I,CONCATENATE($B113,AX$68,"L"))+COUNTIFS(Database!$F:$I,CONCATENATE(AX$68,$B113,"L"))+COUNTIFS(Database!$F:$I,CONCATENATE($B113,AX$68,"W"))+COUNTIFS(Database!$F:$I,CONCATENATE(AX$68,$B113,"W"))),"-")</f>
        <v>-</v>
      </c>
      <c r="AY113" s="122">
        <f>IFERROR((COUNTIFS(Database!$F:$I,CONCATENATE($B113,AY$68,"W"))+COUNTIFS(Database!$F:$I,CONCATENATE(AY$68,$B113,"W")))/(COUNTIFS(Database!$F:$I,CONCATENATE($B113,AY$68,"L"))+COUNTIFS(Database!$F:$I,CONCATENATE(AY$68,$B113,"L"))+COUNTIFS(Database!$F:$I,CONCATENATE($B113,AY$68,"W"))+COUNTIFS(Database!$F:$I,CONCATENATE(AY$68,$B113,"W"))),"-")</f>
        <v>0.66666666666666663</v>
      </c>
    </row>
    <row r="114" spans="2:51" x14ac:dyDescent="0.25">
      <c r="B114" s="120" t="s">
        <v>24</v>
      </c>
      <c r="C114" s="122">
        <f>IFERROR((COUNTIFS(Database!$F:$I,CONCATENATE($B114,C$68,"W"))+COUNTIFS(Database!$F:$I,CONCATENATE(C$68,$B114,"W")))/(COUNTIFS(Database!$F:$I,CONCATENATE($B114,C$68,"L"))+COUNTIFS(Database!$F:$I,CONCATENATE(C$68,$B114,"L"))+COUNTIFS(Database!$F:$I,CONCATENATE($B114,C$68,"W"))+COUNTIFS(Database!$F:$I,CONCATENATE(C$68,$B114,"W"))),"-")</f>
        <v>0</v>
      </c>
      <c r="D114" s="122" t="str">
        <f>IFERROR((COUNTIFS(Database!$F:$I,CONCATENATE($B114,D$68,"W"))+COUNTIFS(Database!$F:$I,CONCATENATE(D$68,$B114,"W")))/(COUNTIFS(Database!$F:$I,CONCATENATE($B114,D$68,"L"))+COUNTIFS(Database!$F:$I,CONCATENATE(D$68,$B114,"L"))+COUNTIFS(Database!$F:$I,CONCATENATE($B114,D$68,"W"))+COUNTIFS(Database!$F:$I,CONCATENATE(D$68,$B114,"W"))),"-")</f>
        <v>-</v>
      </c>
      <c r="E114" s="122">
        <f>IFERROR((COUNTIFS(Database!$F:$I,CONCATENATE($B114,E$68,"W"))+COUNTIFS(Database!$F:$I,CONCATENATE(E$68,$B114,"W")))/(COUNTIFS(Database!$F:$I,CONCATENATE($B114,E$68,"L"))+COUNTIFS(Database!$F:$I,CONCATENATE(E$68,$B114,"L"))+COUNTIFS(Database!$F:$I,CONCATENATE($B114,E$68,"W"))+COUNTIFS(Database!$F:$I,CONCATENATE(E$68,$B114,"W"))),"-")</f>
        <v>1</v>
      </c>
      <c r="F114" s="122">
        <f>IFERROR((COUNTIFS(Database!$F:$I,CONCATENATE($B114,F$68,"W"))+COUNTIFS(Database!$F:$I,CONCATENATE(F$68,$B114,"W")))/(COUNTIFS(Database!$F:$I,CONCATENATE($B114,F$68,"L"))+COUNTIFS(Database!$F:$I,CONCATENATE(F$68,$B114,"L"))+COUNTIFS(Database!$F:$I,CONCATENATE($B114,F$68,"W"))+COUNTIFS(Database!$F:$I,CONCATENATE(F$68,$B114,"W"))),"-")</f>
        <v>0.33333333333333331</v>
      </c>
      <c r="G114" s="122" t="str">
        <f>IFERROR((COUNTIFS(Database!$F:$I,CONCATENATE($B114,G$68,"W"))+COUNTIFS(Database!$F:$I,CONCATENATE(G$68,$B114,"W")))/(COUNTIFS(Database!$F:$I,CONCATENATE($B114,G$68,"L"))+COUNTIFS(Database!$F:$I,CONCATENATE(G$68,$B114,"L"))+COUNTIFS(Database!$F:$I,CONCATENATE($B114,G$68,"W"))+COUNTIFS(Database!$F:$I,CONCATENATE(G$68,$B114,"W"))),"-")</f>
        <v>-</v>
      </c>
      <c r="H114" s="122" t="str">
        <f>IFERROR((COUNTIFS(Database!$F:$I,CONCATENATE($B114,H$68,"W"))+COUNTIFS(Database!$F:$I,CONCATENATE(H$68,$B114,"W")))/(COUNTIFS(Database!$F:$I,CONCATENATE($B114,H$68,"L"))+COUNTIFS(Database!$F:$I,CONCATENATE(H$68,$B114,"L"))+COUNTIFS(Database!$F:$I,CONCATENATE($B114,H$68,"W"))+COUNTIFS(Database!$F:$I,CONCATENATE(H$68,$B114,"W"))),"-")</f>
        <v>-</v>
      </c>
      <c r="I114" s="122" t="str">
        <f>IFERROR((COUNTIFS(Database!$F:$I,CONCATENATE($B114,I$68,"W"))+COUNTIFS(Database!$F:$I,CONCATENATE(I$68,$B114,"W")))/(COUNTIFS(Database!$F:$I,CONCATENATE($B114,I$68,"L"))+COUNTIFS(Database!$F:$I,CONCATENATE(I$68,$B114,"L"))+COUNTIFS(Database!$F:$I,CONCATENATE($B114,I$68,"W"))+COUNTIFS(Database!$F:$I,CONCATENATE(I$68,$B114,"W"))),"-")</f>
        <v>-</v>
      </c>
      <c r="J114" s="122" t="str">
        <f>IFERROR((COUNTIFS(Database!$F:$I,CONCATENATE($B114,J$68,"W"))+COUNTIFS(Database!$F:$I,CONCATENATE(J$68,$B114,"W")))/(COUNTIFS(Database!$F:$I,CONCATENATE($B114,J$68,"L"))+COUNTIFS(Database!$F:$I,CONCATENATE(J$68,$B114,"L"))+COUNTIFS(Database!$F:$I,CONCATENATE($B114,J$68,"W"))+COUNTIFS(Database!$F:$I,CONCATENATE(J$68,$B114,"W"))),"-")</f>
        <v>-</v>
      </c>
      <c r="K114" s="122">
        <f>IFERROR((COUNTIFS(Database!$F:$I,CONCATENATE($B114,K$68,"W"))+COUNTIFS(Database!$F:$I,CONCATENATE(K$68,$B114,"W")))/(COUNTIFS(Database!$F:$I,CONCATENATE($B114,K$68,"L"))+COUNTIFS(Database!$F:$I,CONCATENATE(K$68,$B114,"L"))+COUNTIFS(Database!$F:$I,CONCATENATE($B114,K$68,"W"))+COUNTIFS(Database!$F:$I,CONCATENATE(K$68,$B114,"W"))),"-")</f>
        <v>0</v>
      </c>
      <c r="L114" s="122" t="str">
        <f>IFERROR((COUNTIFS(Database!$F:$I,CONCATENATE($B114,L$68,"W"))+COUNTIFS(Database!$F:$I,CONCATENATE(L$68,$B114,"W")))/(COUNTIFS(Database!$F:$I,CONCATENATE($B114,L$68,"L"))+COUNTIFS(Database!$F:$I,CONCATENATE(L$68,$B114,"L"))+COUNTIFS(Database!$F:$I,CONCATENATE($B114,L$68,"W"))+COUNTIFS(Database!$F:$I,CONCATENATE(L$68,$B114,"W"))),"-")</f>
        <v>-</v>
      </c>
      <c r="M114" s="122" t="str">
        <f>IFERROR((COUNTIFS(Database!$F:$I,CONCATENATE($B114,M$68,"W"))+COUNTIFS(Database!$F:$I,CONCATENATE(M$68,$B114,"W")))/(COUNTIFS(Database!$F:$I,CONCATENATE($B114,M$68,"L"))+COUNTIFS(Database!$F:$I,CONCATENATE(M$68,$B114,"L"))+COUNTIFS(Database!$F:$I,CONCATENATE($B114,M$68,"W"))+COUNTIFS(Database!$F:$I,CONCATENATE(M$68,$B114,"W"))),"-")</f>
        <v>-</v>
      </c>
      <c r="N114" s="122" t="str">
        <f>IFERROR((COUNTIFS(Database!$F:$I,CONCATENATE($B114,N$68,"W"))+COUNTIFS(Database!$F:$I,CONCATENATE(N$68,$B114,"W")))/(COUNTIFS(Database!$F:$I,CONCATENATE($B114,N$68,"L"))+COUNTIFS(Database!$F:$I,CONCATENATE(N$68,$B114,"L"))+COUNTIFS(Database!$F:$I,CONCATENATE($B114,N$68,"W"))+COUNTIFS(Database!$F:$I,CONCATENATE(N$68,$B114,"W"))),"-")</f>
        <v>-</v>
      </c>
      <c r="O114" s="122">
        <f>IFERROR((COUNTIFS(Database!$F:$I,CONCATENATE($B114,O$68,"W"))+COUNTIFS(Database!$F:$I,CONCATENATE(O$68,$B114,"W")))/(COUNTIFS(Database!$F:$I,CONCATENATE($B114,O$68,"L"))+COUNTIFS(Database!$F:$I,CONCATENATE(O$68,$B114,"L"))+COUNTIFS(Database!$F:$I,CONCATENATE($B114,O$68,"W"))+COUNTIFS(Database!$F:$I,CONCATENATE(O$68,$B114,"W"))),"-")</f>
        <v>1</v>
      </c>
      <c r="P114" s="122" t="str">
        <f>IFERROR((COUNTIFS(Database!$F:$I,CONCATENATE($B114,P$68,"W"))+COUNTIFS(Database!$F:$I,CONCATENATE(P$68,$B114,"W")))/(COUNTIFS(Database!$F:$I,CONCATENATE($B114,P$68,"L"))+COUNTIFS(Database!$F:$I,CONCATENATE(P$68,$B114,"L"))+COUNTIFS(Database!$F:$I,CONCATENATE($B114,P$68,"W"))+COUNTIFS(Database!$F:$I,CONCATENATE(P$68,$B114,"W"))),"-")</f>
        <v>-</v>
      </c>
      <c r="Q114" s="122" t="str">
        <f>IFERROR((COUNTIFS(Database!$F:$I,CONCATENATE($B114,Q$68,"W"))+COUNTIFS(Database!$F:$I,CONCATENATE(Q$68,$B114,"W")))/(COUNTIFS(Database!$F:$I,CONCATENATE($B114,Q$68,"L"))+COUNTIFS(Database!$F:$I,CONCATENATE(Q$68,$B114,"L"))+COUNTIFS(Database!$F:$I,CONCATENATE($B114,Q$68,"W"))+COUNTIFS(Database!$F:$I,CONCATENATE(Q$68,$B114,"W"))),"-")</f>
        <v>-</v>
      </c>
      <c r="R114" s="122" t="str">
        <f>IFERROR((COUNTIFS(Database!$F:$I,CONCATENATE($B114,R$68,"W"))+COUNTIFS(Database!$F:$I,CONCATENATE(R$68,$B114,"W")))/(COUNTIFS(Database!$F:$I,CONCATENATE($B114,R$68,"L"))+COUNTIFS(Database!$F:$I,CONCATENATE(R$68,$B114,"L"))+COUNTIFS(Database!$F:$I,CONCATENATE($B114,R$68,"W"))+COUNTIFS(Database!$F:$I,CONCATENATE(R$68,$B114,"W"))),"-")</f>
        <v>-</v>
      </c>
      <c r="S114" s="122" t="str">
        <f>IFERROR((COUNTIFS(Database!$F:$I,CONCATENATE($B114,S$68,"W"))+COUNTIFS(Database!$F:$I,CONCATENATE(S$68,$B114,"W")))/(COUNTIFS(Database!$F:$I,CONCATENATE($B114,S$68,"L"))+COUNTIFS(Database!$F:$I,CONCATENATE(S$68,$B114,"L"))+COUNTIFS(Database!$F:$I,CONCATENATE($B114,S$68,"W"))+COUNTIFS(Database!$F:$I,CONCATENATE(S$68,$B114,"W"))),"-")</f>
        <v>-</v>
      </c>
      <c r="T114" s="122">
        <f>IFERROR((COUNTIFS(Database!$F:$I,CONCATENATE($B114,T$68,"W"))+COUNTIFS(Database!$F:$I,CONCATENATE(T$68,$B114,"W")))/(COUNTIFS(Database!$F:$I,CONCATENATE($B114,T$68,"L"))+COUNTIFS(Database!$F:$I,CONCATENATE(T$68,$B114,"L"))+COUNTIFS(Database!$F:$I,CONCATENATE($B114,T$68,"W"))+COUNTIFS(Database!$F:$I,CONCATENATE(T$68,$B114,"W"))),"-")</f>
        <v>0.5</v>
      </c>
      <c r="U114" s="122" t="str">
        <f>IFERROR((COUNTIFS(Database!$F:$I,CONCATENATE($B114,U$68,"W"))+COUNTIFS(Database!$F:$I,CONCATENATE(U$68,$B114,"W")))/(COUNTIFS(Database!$F:$I,CONCATENATE($B114,U$68,"L"))+COUNTIFS(Database!$F:$I,CONCATENATE(U$68,$B114,"L"))+COUNTIFS(Database!$F:$I,CONCATENATE($B114,U$68,"W"))+COUNTIFS(Database!$F:$I,CONCATENATE(U$68,$B114,"W"))),"-")</f>
        <v>-</v>
      </c>
      <c r="V114" s="122" t="str">
        <f>IFERROR((COUNTIFS(Database!$F:$I,CONCATENATE($B114,V$68,"W"))+COUNTIFS(Database!$F:$I,CONCATENATE(V$68,$B114,"W")))/(COUNTIFS(Database!$F:$I,CONCATENATE($B114,V$68,"L"))+COUNTIFS(Database!$F:$I,CONCATENATE(V$68,$B114,"L"))+COUNTIFS(Database!$F:$I,CONCATENATE($B114,V$68,"W"))+COUNTIFS(Database!$F:$I,CONCATENATE(V$68,$B114,"W"))),"-")</f>
        <v>-</v>
      </c>
      <c r="W114" s="122">
        <f>IFERROR((COUNTIFS(Database!$F:$I,CONCATENATE($B114,W$68,"W"))+COUNTIFS(Database!$F:$I,CONCATENATE(W$68,$B114,"W")))/(COUNTIFS(Database!$F:$I,CONCATENATE($B114,W$68,"L"))+COUNTIFS(Database!$F:$I,CONCATENATE(W$68,$B114,"L"))+COUNTIFS(Database!$F:$I,CONCATENATE($B114,W$68,"W"))+COUNTIFS(Database!$F:$I,CONCATENATE(W$68,$B114,"W"))),"-")</f>
        <v>0.33333333333333331</v>
      </c>
      <c r="X114" s="122">
        <f>IFERROR((COUNTIFS(Database!$F:$I,CONCATENATE($B114,X$68,"W"))+COUNTIFS(Database!$F:$I,CONCATENATE(X$68,$B114,"W")))/(COUNTIFS(Database!$F:$I,CONCATENATE($B114,X$68,"L"))+COUNTIFS(Database!$F:$I,CONCATENATE(X$68,$B114,"L"))+COUNTIFS(Database!$F:$I,CONCATENATE($B114,X$68,"W"))+COUNTIFS(Database!$F:$I,CONCATENATE(X$68,$B114,"W"))),"-")</f>
        <v>0</v>
      </c>
      <c r="Y114" s="122" t="str">
        <f>IFERROR((COUNTIFS(Database!$F:$I,CONCATENATE($B114,Y$68,"W"))+COUNTIFS(Database!$F:$I,CONCATENATE(Y$68,$B114,"W")))/(COUNTIFS(Database!$F:$I,CONCATENATE($B114,Y$68,"L"))+COUNTIFS(Database!$F:$I,CONCATENATE(Y$68,$B114,"L"))+COUNTIFS(Database!$F:$I,CONCATENATE($B114,Y$68,"W"))+COUNTIFS(Database!$F:$I,CONCATENATE(Y$68,$B114,"W"))),"-")</f>
        <v>-</v>
      </c>
      <c r="Z114" s="122">
        <f>IFERROR((COUNTIFS(Database!$F:$I,CONCATENATE($B114,Z$68,"W"))+COUNTIFS(Database!$F:$I,CONCATENATE(Z$68,$B114,"W")))/(COUNTIFS(Database!$F:$I,CONCATENATE($B114,Z$68,"L"))+COUNTIFS(Database!$F:$I,CONCATENATE(Z$68,$B114,"L"))+COUNTIFS(Database!$F:$I,CONCATENATE($B114,Z$68,"W"))+COUNTIFS(Database!$F:$I,CONCATENATE(Z$68,$B114,"W"))),"-")</f>
        <v>1</v>
      </c>
      <c r="AA114" s="122" t="str">
        <f>IFERROR((COUNTIFS(Database!$F:$I,CONCATENATE($B114,AA$68,"W"))+COUNTIFS(Database!$F:$I,CONCATENATE(AA$68,$B114,"W")))/(COUNTIFS(Database!$F:$I,CONCATENATE($B114,AA$68,"L"))+COUNTIFS(Database!$F:$I,CONCATENATE(AA$68,$B114,"L"))+COUNTIFS(Database!$F:$I,CONCATENATE($B114,AA$68,"W"))+COUNTIFS(Database!$F:$I,CONCATENATE(AA$68,$B114,"W"))),"-")</f>
        <v>-</v>
      </c>
      <c r="AB114" s="122">
        <f>IFERROR((COUNTIFS(Database!$F:$I,CONCATENATE($B114,AB$68,"W"))+COUNTIFS(Database!$F:$I,CONCATENATE(AB$68,$B114,"W")))/(COUNTIFS(Database!$F:$I,CONCATENATE($B114,AB$68,"L"))+COUNTIFS(Database!$F:$I,CONCATENATE(AB$68,$B114,"L"))+COUNTIFS(Database!$F:$I,CONCATENATE($B114,AB$68,"W"))+COUNTIFS(Database!$F:$I,CONCATENATE(AB$68,$B114,"W"))),"-")</f>
        <v>0</v>
      </c>
      <c r="AC114" s="122">
        <f>IFERROR((COUNTIFS(Database!$F:$I,CONCATENATE($B114,AC$68,"W"))+COUNTIFS(Database!$F:$I,CONCATENATE(AC$68,$B114,"W")))/(COUNTIFS(Database!$F:$I,CONCATENATE($B114,AC$68,"L"))+COUNTIFS(Database!$F:$I,CONCATENATE(AC$68,$B114,"L"))+COUNTIFS(Database!$F:$I,CONCATENATE($B114,AC$68,"W"))+COUNTIFS(Database!$F:$I,CONCATENATE(AC$68,$B114,"W"))),"-")</f>
        <v>0.5</v>
      </c>
      <c r="AD114" s="122" t="str">
        <f>IFERROR((COUNTIFS(Database!$F:$I,CONCATENATE($B114,AD$68,"W"))+COUNTIFS(Database!$F:$I,CONCATENATE(AD$68,$B114,"W")))/(COUNTIFS(Database!$F:$I,CONCATENATE($B114,AD$68,"L"))+COUNTIFS(Database!$F:$I,CONCATENATE(AD$68,$B114,"L"))+COUNTIFS(Database!$F:$I,CONCATENATE($B114,AD$68,"W"))+COUNTIFS(Database!$F:$I,CONCATENATE(AD$68,$B114,"W"))),"-")</f>
        <v>-</v>
      </c>
      <c r="AE114" s="122" t="str">
        <f>IFERROR((COUNTIFS(Database!$F:$I,CONCATENATE($B114,AE$68,"W"))+COUNTIFS(Database!$F:$I,CONCATENATE(AE$68,$B114,"W")))/(COUNTIFS(Database!$F:$I,CONCATENATE($B114,AE$68,"L"))+COUNTIFS(Database!$F:$I,CONCATENATE(AE$68,$B114,"L"))+COUNTIFS(Database!$F:$I,CONCATENATE($B114,AE$68,"W"))+COUNTIFS(Database!$F:$I,CONCATENATE(AE$68,$B114,"W"))),"-")</f>
        <v>-</v>
      </c>
      <c r="AF114" s="122" t="str">
        <f>IFERROR((COUNTIFS(Database!$F:$I,CONCATENATE($B114,AF$68,"W"))+COUNTIFS(Database!$F:$I,CONCATENATE(AF$68,$B114,"W")))/(COUNTIFS(Database!$F:$I,CONCATENATE($B114,AF$68,"L"))+COUNTIFS(Database!$F:$I,CONCATENATE(AF$68,$B114,"L"))+COUNTIFS(Database!$F:$I,CONCATENATE($B114,AF$68,"W"))+COUNTIFS(Database!$F:$I,CONCATENATE(AF$68,$B114,"W"))),"-")</f>
        <v>-</v>
      </c>
      <c r="AG114" s="122" t="str">
        <f>IFERROR((COUNTIFS(Database!$F:$I,CONCATENATE($B114,AG$68,"W"))+COUNTIFS(Database!$F:$I,CONCATENATE(AG$68,$B114,"W")))/(COUNTIFS(Database!$F:$I,CONCATENATE($B114,AG$68,"L"))+COUNTIFS(Database!$F:$I,CONCATENATE(AG$68,$B114,"L"))+COUNTIFS(Database!$F:$I,CONCATENATE($B114,AG$68,"W"))+COUNTIFS(Database!$F:$I,CONCATENATE(AG$68,$B114,"W"))),"-")</f>
        <v>-</v>
      </c>
      <c r="AH114" s="122" t="str">
        <f>IFERROR((COUNTIFS(Database!$F:$I,CONCATENATE($B114,AH$68,"W"))+COUNTIFS(Database!$F:$I,CONCATENATE(AH$68,$B114,"W")))/(COUNTIFS(Database!$F:$I,CONCATENATE($B114,AH$68,"L"))+COUNTIFS(Database!$F:$I,CONCATENATE(AH$68,$B114,"L"))+COUNTIFS(Database!$F:$I,CONCATENATE($B114,AH$68,"W"))+COUNTIFS(Database!$F:$I,CONCATENATE(AH$68,$B114,"W"))),"-")</f>
        <v>-</v>
      </c>
      <c r="AI114" s="122">
        <f>IFERROR((COUNTIFS(Database!$F:$I,CONCATENATE($B114,AI$68,"W"))+COUNTIFS(Database!$F:$I,CONCATENATE(AI$68,$B114,"W")))/(COUNTIFS(Database!$F:$I,CONCATENATE($B114,AI$68,"L"))+COUNTIFS(Database!$F:$I,CONCATENATE(AI$68,$B114,"L"))+COUNTIFS(Database!$F:$I,CONCATENATE($B114,AI$68,"W"))+COUNTIFS(Database!$F:$I,CONCATENATE(AI$68,$B114,"W"))),"-")</f>
        <v>0</v>
      </c>
      <c r="AJ114" s="122">
        <f>IFERROR((COUNTIFS(Database!$F:$I,CONCATENATE($B114,AJ$68,"W"))+COUNTIFS(Database!$F:$I,CONCATENATE(AJ$68,$B114,"W")))/(COUNTIFS(Database!$F:$I,CONCATENATE($B114,AJ$68,"L"))+COUNTIFS(Database!$F:$I,CONCATENATE(AJ$68,$B114,"L"))+COUNTIFS(Database!$F:$I,CONCATENATE($B114,AJ$68,"W"))+COUNTIFS(Database!$F:$I,CONCATENATE(AJ$68,$B114,"W"))),"-")</f>
        <v>0</v>
      </c>
      <c r="AK114" s="122">
        <f>IFERROR((COUNTIFS(Database!$F:$I,CONCATENATE($B114,AK$68,"W"))+COUNTIFS(Database!$F:$I,CONCATENATE(AK$68,$B114,"W")))/(COUNTIFS(Database!$F:$I,CONCATENATE($B114,AK$68,"L"))+COUNTIFS(Database!$F:$I,CONCATENATE(AK$68,$B114,"L"))+COUNTIFS(Database!$F:$I,CONCATENATE($B114,AK$68,"W"))+COUNTIFS(Database!$F:$I,CONCATENATE(AK$68,$B114,"W"))),"-")</f>
        <v>0</v>
      </c>
      <c r="AL114" s="122" t="str">
        <f>IFERROR((COUNTIFS(Database!$F:$I,CONCATENATE($B114,AL$68,"W"))+COUNTIFS(Database!$F:$I,CONCATENATE(AL$68,$B114,"W")))/(COUNTIFS(Database!$F:$I,CONCATENATE($B114,AL$68,"L"))+COUNTIFS(Database!$F:$I,CONCATENATE(AL$68,$B114,"L"))+COUNTIFS(Database!$F:$I,CONCATENATE($B114,AL$68,"W"))+COUNTIFS(Database!$F:$I,CONCATENATE(AL$68,$B114,"W"))),"-")</f>
        <v>-</v>
      </c>
      <c r="AM114" s="122" t="str">
        <f>IFERROR((COUNTIFS(Database!$F:$I,CONCATENATE($B114,AM$68,"W"))+COUNTIFS(Database!$F:$I,CONCATENATE(AM$68,$B114,"W")))/(COUNTIFS(Database!$F:$I,CONCATENATE($B114,AM$68,"L"))+COUNTIFS(Database!$F:$I,CONCATENATE(AM$68,$B114,"L"))+COUNTIFS(Database!$F:$I,CONCATENATE($B114,AM$68,"W"))+COUNTIFS(Database!$F:$I,CONCATENATE(AM$68,$B114,"W"))),"-")</f>
        <v>-</v>
      </c>
      <c r="AN114" s="122" t="str">
        <f>IFERROR((COUNTIFS(Database!$F:$I,CONCATENATE($B114,AN$68,"W"))+COUNTIFS(Database!$F:$I,CONCATENATE(AN$68,$B114,"W")))/(COUNTIFS(Database!$F:$I,CONCATENATE($B114,AN$68,"L"))+COUNTIFS(Database!$F:$I,CONCATENATE(AN$68,$B114,"L"))+COUNTIFS(Database!$F:$I,CONCATENATE($B114,AN$68,"W"))+COUNTIFS(Database!$F:$I,CONCATENATE(AN$68,$B114,"W"))),"-")</f>
        <v>-</v>
      </c>
      <c r="AO114" s="122">
        <f>IFERROR((COUNTIFS(Database!$F:$I,CONCATENATE($B114,AO$68,"W"))+COUNTIFS(Database!$F:$I,CONCATENATE(AO$68,$B114,"W")))/(COUNTIFS(Database!$F:$I,CONCATENATE($B114,AO$68,"L"))+COUNTIFS(Database!$F:$I,CONCATENATE(AO$68,$B114,"L"))+COUNTIFS(Database!$F:$I,CONCATENATE($B114,AO$68,"W"))+COUNTIFS(Database!$F:$I,CONCATENATE(AO$68,$B114,"W"))),"-")</f>
        <v>0</v>
      </c>
      <c r="AP114" s="122" t="str">
        <f>IFERROR((COUNTIFS(Database!$F:$I,CONCATENATE($B114,AP$68,"W"))+COUNTIFS(Database!$F:$I,CONCATENATE(AP$68,$B114,"W")))/(COUNTIFS(Database!$F:$I,CONCATENATE($B114,AP$68,"L"))+COUNTIFS(Database!$F:$I,CONCATENATE(AP$68,$B114,"L"))+COUNTIFS(Database!$F:$I,CONCATENATE($B114,AP$68,"W"))+COUNTIFS(Database!$F:$I,CONCATENATE(AP$68,$B114,"W"))),"-")</f>
        <v>-</v>
      </c>
      <c r="AQ114" s="122" t="str">
        <f>IFERROR((COUNTIFS(Database!$F:$I,CONCATENATE($B114,AQ$68,"W"))+COUNTIFS(Database!$F:$I,CONCATENATE(AQ$68,$B114,"W")))/(COUNTIFS(Database!$F:$I,CONCATENATE($B114,AQ$68,"L"))+COUNTIFS(Database!$F:$I,CONCATENATE(AQ$68,$B114,"L"))+COUNTIFS(Database!$F:$I,CONCATENATE($B114,AQ$68,"W"))+COUNTIFS(Database!$F:$I,CONCATENATE(AQ$68,$B114,"W"))),"-")</f>
        <v>-</v>
      </c>
      <c r="AR114" s="122" t="str">
        <f>IFERROR((COUNTIFS(Database!$F:$I,CONCATENATE($B114,AR$68,"W"))+COUNTIFS(Database!$F:$I,CONCATENATE(AR$68,$B114,"W")))/(COUNTIFS(Database!$F:$I,CONCATENATE($B114,AR$68,"L"))+COUNTIFS(Database!$F:$I,CONCATENATE(AR$68,$B114,"L"))+COUNTIFS(Database!$F:$I,CONCATENATE($B114,AR$68,"W"))+COUNTIFS(Database!$F:$I,CONCATENATE(AR$68,$B114,"W"))),"-")</f>
        <v>-</v>
      </c>
      <c r="AS114" s="122" t="str">
        <f>IFERROR((COUNTIFS(Database!$F:$I,CONCATENATE($B114,AS$68,"W"))+COUNTIFS(Database!$F:$I,CONCATENATE(AS$68,$B114,"W")))/(COUNTIFS(Database!$F:$I,CONCATENATE($B114,AS$68,"L"))+COUNTIFS(Database!$F:$I,CONCATENATE(AS$68,$B114,"L"))+COUNTIFS(Database!$F:$I,CONCATENATE($B114,AS$68,"W"))+COUNTIFS(Database!$F:$I,CONCATENATE(AS$68,$B114,"W"))),"-")</f>
        <v>-</v>
      </c>
      <c r="AT114" s="122" t="str">
        <f>IFERROR((COUNTIFS(Database!$F:$I,CONCATENATE($B114,AT$68,"W"))+COUNTIFS(Database!$F:$I,CONCATENATE(AT$68,$B114,"W")))/(COUNTIFS(Database!$F:$I,CONCATENATE($B114,AT$68,"L"))+COUNTIFS(Database!$F:$I,CONCATENATE(AT$68,$B114,"L"))+COUNTIFS(Database!$F:$I,CONCATENATE($B114,AT$68,"W"))+COUNTIFS(Database!$F:$I,CONCATENATE(AT$68,$B114,"W"))),"-")</f>
        <v>-</v>
      </c>
      <c r="AU114" s="122">
        <f>IFERROR((COUNTIFS(Database!$F:$I,CONCATENATE($B114,AU$68,"W"))+COUNTIFS(Database!$F:$I,CONCATENATE(AU$68,$B114,"W")))/(COUNTIFS(Database!$F:$I,CONCATENATE($B114,AU$68,"L"))+COUNTIFS(Database!$F:$I,CONCATENATE(AU$68,$B114,"L"))+COUNTIFS(Database!$F:$I,CONCATENATE($B114,AU$68,"W"))+COUNTIFS(Database!$F:$I,CONCATENATE(AU$68,$B114,"W"))),"-")</f>
        <v>1</v>
      </c>
      <c r="AV114" s="122" t="str">
        <f>IFERROR((COUNTIFS(Database!$F:$I,CONCATENATE($B114,AV$68,"W"))+COUNTIFS(Database!$F:$I,CONCATENATE(AV$68,$B114,"W")))/(COUNTIFS(Database!$F:$I,CONCATENATE($B114,AV$68,"L"))+COUNTIFS(Database!$F:$I,CONCATENATE(AV$68,$B114,"L"))+COUNTIFS(Database!$F:$I,CONCATENATE($B114,AV$68,"W"))+COUNTIFS(Database!$F:$I,CONCATENATE(AV$68,$B114,"W"))),"-")</f>
        <v>-</v>
      </c>
      <c r="AW114" s="122">
        <f>IFERROR((COUNTIFS(Database!$F:$I,CONCATENATE($B114,AW$68,"W"))+COUNTIFS(Database!$F:$I,CONCATENATE(AW$68,$B114,"W")))/(COUNTIFS(Database!$F:$I,CONCATENATE($B114,AW$68,"L"))+COUNTIFS(Database!$F:$I,CONCATENATE(AW$68,$B114,"L"))+COUNTIFS(Database!$F:$I,CONCATENATE($B114,AW$68,"W"))+COUNTIFS(Database!$F:$I,CONCATENATE(AW$68,$B114,"W"))),"-")</f>
        <v>1</v>
      </c>
      <c r="AX114" s="122" t="str">
        <f>IFERROR((COUNTIFS(Database!$F:$I,CONCATENATE($B114,AX$68,"W"))+COUNTIFS(Database!$F:$I,CONCATENATE(AX$68,$B114,"W")))/(COUNTIFS(Database!$F:$I,CONCATENATE($B114,AX$68,"L"))+COUNTIFS(Database!$F:$I,CONCATENATE(AX$68,$B114,"L"))+COUNTIFS(Database!$F:$I,CONCATENATE($B114,AX$68,"W"))+COUNTIFS(Database!$F:$I,CONCATENATE(AX$68,$B114,"W"))),"-")</f>
        <v>-</v>
      </c>
      <c r="AY114" s="122" t="str">
        <f>IFERROR((COUNTIFS(Database!$F:$I,CONCATENATE($B114,AY$68,"W"))+COUNTIFS(Database!$F:$I,CONCATENATE(AY$68,$B114,"W")))/(COUNTIFS(Database!$F:$I,CONCATENATE($B114,AY$68,"L"))+COUNTIFS(Database!$F:$I,CONCATENATE(AY$68,$B114,"L"))+COUNTIFS(Database!$F:$I,CONCATENATE($B114,AY$68,"W"))+COUNTIFS(Database!$F:$I,CONCATENATE(AY$68,$B114,"W"))),"-")</f>
        <v>-</v>
      </c>
    </row>
    <row r="115" spans="2:51" x14ac:dyDescent="0.25">
      <c r="B115" s="120" t="s">
        <v>31</v>
      </c>
      <c r="C115" s="122">
        <f>IFERROR((COUNTIFS(Database!$F:$I,CONCATENATE($B115,C$68,"W"))+COUNTIFS(Database!$F:$I,CONCATENATE(C$68,$B115,"W")))/(COUNTIFS(Database!$F:$I,CONCATENATE($B115,C$68,"L"))+COUNTIFS(Database!$F:$I,CONCATENATE(C$68,$B115,"L"))+COUNTIFS(Database!$F:$I,CONCATENATE($B115,C$68,"W"))+COUNTIFS(Database!$F:$I,CONCATENATE(C$68,$B115,"W"))),"-")</f>
        <v>0.75</v>
      </c>
      <c r="D115" s="122" t="str">
        <f>IFERROR((COUNTIFS(Database!$F:$I,CONCATENATE($B115,D$68,"W"))+COUNTIFS(Database!$F:$I,CONCATENATE(D$68,$B115,"W")))/(COUNTIFS(Database!$F:$I,CONCATENATE($B115,D$68,"L"))+COUNTIFS(Database!$F:$I,CONCATENATE(D$68,$B115,"L"))+COUNTIFS(Database!$F:$I,CONCATENATE($B115,D$68,"W"))+COUNTIFS(Database!$F:$I,CONCATENATE(D$68,$B115,"W"))),"-")</f>
        <v>-</v>
      </c>
      <c r="E115" s="122">
        <f>IFERROR((COUNTIFS(Database!$F:$I,CONCATENATE($B115,E$68,"W"))+COUNTIFS(Database!$F:$I,CONCATENATE(E$68,$B115,"W")))/(COUNTIFS(Database!$F:$I,CONCATENATE($B115,E$68,"L"))+COUNTIFS(Database!$F:$I,CONCATENATE(E$68,$B115,"L"))+COUNTIFS(Database!$F:$I,CONCATENATE($B115,E$68,"W"))+COUNTIFS(Database!$F:$I,CONCATENATE(E$68,$B115,"W"))),"-")</f>
        <v>0.83333333333333337</v>
      </c>
      <c r="F115" s="122">
        <f>IFERROR((COUNTIFS(Database!$F:$I,CONCATENATE($B115,F$68,"W"))+COUNTIFS(Database!$F:$I,CONCATENATE(F$68,$B115,"W")))/(COUNTIFS(Database!$F:$I,CONCATENATE($B115,F$68,"L"))+COUNTIFS(Database!$F:$I,CONCATENATE(F$68,$B115,"L"))+COUNTIFS(Database!$F:$I,CONCATENATE($B115,F$68,"W"))+COUNTIFS(Database!$F:$I,CONCATENATE(F$68,$B115,"W"))),"-")</f>
        <v>0.83333333333333337</v>
      </c>
      <c r="G115" s="122">
        <f>IFERROR((COUNTIFS(Database!$F:$I,CONCATENATE($B115,G$68,"W"))+COUNTIFS(Database!$F:$I,CONCATENATE(G$68,$B115,"W")))/(COUNTIFS(Database!$F:$I,CONCATENATE($B115,G$68,"L"))+COUNTIFS(Database!$F:$I,CONCATENATE(G$68,$B115,"L"))+COUNTIFS(Database!$F:$I,CONCATENATE($B115,G$68,"W"))+COUNTIFS(Database!$F:$I,CONCATENATE(G$68,$B115,"W"))),"-")</f>
        <v>1</v>
      </c>
      <c r="H115" s="122">
        <f>IFERROR((COUNTIFS(Database!$F:$I,CONCATENATE($B115,H$68,"W"))+COUNTIFS(Database!$F:$I,CONCATENATE(H$68,$B115,"W")))/(COUNTIFS(Database!$F:$I,CONCATENATE($B115,H$68,"L"))+COUNTIFS(Database!$F:$I,CONCATENATE(H$68,$B115,"L"))+COUNTIFS(Database!$F:$I,CONCATENATE($B115,H$68,"W"))+COUNTIFS(Database!$F:$I,CONCATENATE(H$68,$B115,"W"))),"-")</f>
        <v>1</v>
      </c>
      <c r="I115" s="122" t="str">
        <f>IFERROR((COUNTIFS(Database!$F:$I,CONCATENATE($B115,I$68,"W"))+COUNTIFS(Database!$F:$I,CONCATENATE(I$68,$B115,"W")))/(COUNTIFS(Database!$F:$I,CONCATENATE($B115,I$68,"L"))+COUNTIFS(Database!$F:$I,CONCATENATE(I$68,$B115,"L"))+COUNTIFS(Database!$F:$I,CONCATENATE($B115,I$68,"W"))+COUNTIFS(Database!$F:$I,CONCATENATE(I$68,$B115,"W"))),"-")</f>
        <v>-</v>
      </c>
      <c r="J115" s="122">
        <f>IFERROR((COUNTIFS(Database!$F:$I,CONCATENATE($B115,J$68,"W"))+COUNTIFS(Database!$F:$I,CONCATENATE(J$68,$B115,"W")))/(COUNTIFS(Database!$F:$I,CONCATENATE($B115,J$68,"L"))+COUNTIFS(Database!$F:$I,CONCATENATE(J$68,$B115,"L"))+COUNTIFS(Database!$F:$I,CONCATENATE($B115,J$68,"W"))+COUNTIFS(Database!$F:$I,CONCATENATE(J$68,$B115,"W"))),"-")</f>
        <v>1</v>
      </c>
      <c r="K115" s="122">
        <f>IFERROR((COUNTIFS(Database!$F:$I,CONCATENATE($B115,K$68,"W"))+COUNTIFS(Database!$F:$I,CONCATENATE(K$68,$B115,"W")))/(COUNTIFS(Database!$F:$I,CONCATENATE($B115,K$68,"L"))+COUNTIFS(Database!$F:$I,CONCATENATE(K$68,$B115,"L"))+COUNTIFS(Database!$F:$I,CONCATENATE($B115,K$68,"W"))+COUNTIFS(Database!$F:$I,CONCATENATE(K$68,$B115,"W"))),"-")</f>
        <v>0.66666666666666663</v>
      </c>
      <c r="L115" s="122">
        <f>IFERROR((COUNTIFS(Database!$F:$I,CONCATENATE($B115,L$68,"W"))+COUNTIFS(Database!$F:$I,CONCATENATE(L$68,$B115,"W")))/(COUNTIFS(Database!$F:$I,CONCATENATE($B115,L$68,"L"))+COUNTIFS(Database!$F:$I,CONCATENATE(L$68,$B115,"L"))+COUNTIFS(Database!$F:$I,CONCATENATE($B115,L$68,"W"))+COUNTIFS(Database!$F:$I,CONCATENATE(L$68,$B115,"W"))),"-")</f>
        <v>0</v>
      </c>
      <c r="M115" s="122" t="str">
        <f>IFERROR((COUNTIFS(Database!$F:$I,CONCATENATE($B115,M$68,"W"))+COUNTIFS(Database!$F:$I,CONCATENATE(M$68,$B115,"W")))/(COUNTIFS(Database!$F:$I,CONCATENATE($B115,M$68,"L"))+COUNTIFS(Database!$F:$I,CONCATENATE(M$68,$B115,"L"))+COUNTIFS(Database!$F:$I,CONCATENATE($B115,M$68,"W"))+COUNTIFS(Database!$F:$I,CONCATENATE(M$68,$B115,"W"))),"-")</f>
        <v>-</v>
      </c>
      <c r="N115" s="122" t="str">
        <f>IFERROR((COUNTIFS(Database!$F:$I,CONCATENATE($B115,N$68,"W"))+COUNTIFS(Database!$F:$I,CONCATENATE(N$68,$B115,"W")))/(COUNTIFS(Database!$F:$I,CONCATENATE($B115,N$68,"L"))+COUNTIFS(Database!$F:$I,CONCATENATE(N$68,$B115,"L"))+COUNTIFS(Database!$F:$I,CONCATENATE($B115,N$68,"W"))+COUNTIFS(Database!$F:$I,CONCATENATE(N$68,$B115,"W"))),"-")</f>
        <v>-</v>
      </c>
      <c r="O115" s="122">
        <f>IFERROR((COUNTIFS(Database!$F:$I,CONCATENATE($B115,O$68,"W"))+COUNTIFS(Database!$F:$I,CONCATENATE(O$68,$B115,"W")))/(COUNTIFS(Database!$F:$I,CONCATENATE($B115,O$68,"L"))+COUNTIFS(Database!$F:$I,CONCATENATE(O$68,$B115,"L"))+COUNTIFS(Database!$F:$I,CONCATENATE($B115,O$68,"W"))+COUNTIFS(Database!$F:$I,CONCATENATE(O$68,$B115,"W"))),"-")</f>
        <v>0.8</v>
      </c>
      <c r="P115" s="122">
        <f>IFERROR((COUNTIFS(Database!$F:$I,CONCATENATE($B115,P$68,"W"))+COUNTIFS(Database!$F:$I,CONCATENATE(P$68,$B115,"W")))/(COUNTIFS(Database!$F:$I,CONCATENATE($B115,P$68,"L"))+COUNTIFS(Database!$F:$I,CONCATENATE(P$68,$B115,"L"))+COUNTIFS(Database!$F:$I,CONCATENATE($B115,P$68,"W"))+COUNTIFS(Database!$F:$I,CONCATENATE(P$68,$B115,"W"))),"-")</f>
        <v>1</v>
      </c>
      <c r="Q115" s="122">
        <f>IFERROR((COUNTIFS(Database!$F:$I,CONCATENATE($B115,Q$68,"W"))+COUNTIFS(Database!$F:$I,CONCATENATE(Q$68,$B115,"W")))/(COUNTIFS(Database!$F:$I,CONCATENATE($B115,Q$68,"L"))+COUNTIFS(Database!$F:$I,CONCATENATE(Q$68,$B115,"L"))+COUNTIFS(Database!$F:$I,CONCATENATE($B115,Q$68,"W"))+COUNTIFS(Database!$F:$I,CONCATENATE(Q$68,$B115,"W"))),"-")</f>
        <v>1</v>
      </c>
      <c r="R115" s="122">
        <f>IFERROR((COUNTIFS(Database!$F:$I,CONCATENATE($B115,R$68,"W"))+COUNTIFS(Database!$F:$I,CONCATENATE(R$68,$B115,"W")))/(COUNTIFS(Database!$F:$I,CONCATENATE($B115,R$68,"L"))+COUNTIFS(Database!$F:$I,CONCATENATE(R$68,$B115,"L"))+COUNTIFS(Database!$F:$I,CONCATENATE($B115,R$68,"W"))+COUNTIFS(Database!$F:$I,CONCATENATE(R$68,$B115,"W"))),"-")</f>
        <v>1</v>
      </c>
      <c r="S115" s="122" t="str">
        <f>IFERROR((COUNTIFS(Database!$F:$I,CONCATENATE($B115,S$68,"W"))+COUNTIFS(Database!$F:$I,CONCATENATE(S$68,$B115,"W")))/(COUNTIFS(Database!$F:$I,CONCATENATE($B115,S$68,"L"))+COUNTIFS(Database!$F:$I,CONCATENATE(S$68,$B115,"L"))+COUNTIFS(Database!$F:$I,CONCATENATE($B115,S$68,"W"))+COUNTIFS(Database!$F:$I,CONCATENATE(S$68,$B115,"W"))),"-")</f>
        <v>-</v>
      </c>
      <c r="T115" s="122">
        <f>IFERROR((COUNTIFS(Database!$F:$I,CONCATENATE($B115,T$68,"W"))+COUNTIFS(Database!$F:$I,CONCATENATE(T$68,$B115,"W")))/(COUNTIFS(Database!$F:$I,CONCATENATE($B115,T$68,"L"))+COUNTIFS(Database!$F:$I,CONCATENATE(T$68,$B115,"L"))+COUNTIFS(Database!$F:$I,CONCATENATE($B115,T$68,"W"))+COUNTIFS(Database!$F:$I,CONCATENATE(T$68,$B115,"W"))),"-")</f>
        <v>1</v>
      </c>
      <c r="U115" s="122">
        <f>IFERROR((COUNTIFS(Database!$F:$I,CONCATENATE($B115,U$68,"W"))+COUNTIFS(Database!$F:$I,CONCATENATE(U$68,$B115,"W")))/(COUNTIFS(Database!$F:$I,CONCATENATE($B115,U$68,"L"))+COUNTIFS(Database!$F:$I,CONCATENATE(U$68,$B115,"L"))+COUNTIFS(Database!$F:$I,CONCATENATE($B115,U$68,"W"))+COUNTIFS(Database!$F:$I,CONCATENATE(U$68,$B115,"W"))),"-")</f>
        <v>0</v>
      </c>
      <c r="V115" s="122" t="str">
        <f>IFERROR((COUNTIFS(Database!$F:$I,CONCATENATE($B115,V$68,"W"))+COUNTIFS(Database!$F:$I,CONCATENATE(V$68,$B115,"W")))/(COUNTIFS(Database!$F:$I,CONCATENATE($B115,V$68,"L"))+COUNTIFS(Database!$F:$I,CONCATENATE(V$68,$B115,"L"))+COUNTIFS(Database!$F:$I,CONCATENATE($B115,V$68,"W"))+COUNTIFS(Database!$F:$I,CONCATENATE(V$68,$B115,"W"))),"-")</f>
        <v>-</v>
      </c>
      <c r="W115" s="122">
        <f>IFERROR((COUNTIFS(Database!$F:$I,CONCATENATE($B115,W$68,"W"))+COUNTIFS(Database!$F:$I,CONCATENATE(W$68,$B115,"W")))/(COUNTIFS(Database!$F:$I,CONCATENATE($B115,W$68,"L"))+COUNTIFS(Database!$F:$I,CONCATENATE(W$68,$B115,"L"))+COUNTIFS(Database!$F:$I,CONCATENATE($B115,W$68,"W"))+COUNTIFS(Database!$F:$I,CONCATENATE(W$68,$B115,"W"))),"-")</f>
        <v>1</v>
      </c>
      <c r="X115" s="122">
        <f>IFERROR((COUNTIFS(Database!$F:$I,CONCATENATE($B115,X$68,"W"))+COUNTIFS(Database!$F:$I,CONCATENATE(X$68,$B115,"W")))/(COUNTIFS(Database!$F:$I,CONCATENATE($B115,X$68,"L"))+COUNTIFS(Database!$F:$I,CONCATENATE(X$68,$B115,"L"))+COUNTIFS(Database!$F:$I,CONCATENATE($B115,X$68,"W"))+COUNTIFS(Database!$F:$I,CONCATENATE(X$68,$B115,"W"))),"-")</f>
        <v>1</v>
      </c>
      <c r="Y115" s="122">
        <f>IFERROR((COUNTIFS(Database!$F:$I,CONCATENATE($B115,Y$68,"W"))+COUNTIFS(Database!$F:$I,CONCATENATE(Y$68,$B115,"W")))/(COUNTIFS(Database!$F:$I,CONCATENATE($B115,Y$68,"L"))+COUNTIFS(Database!$F:$I,CONCATENATE(Y$68,$B115,"L"))+COUNTIFS(Database!$F:$I,CONCATENATE($B115,Y$68,"W"))+COUNTIFS(Database!$F:$I,CONCATENATE(Y$68,$B115,"W"))),"-")</f>
        <v>0.66666666666666663</v>
      </c>
      <c r="Z115" s="122">
        <f>IFERROR((COUNTIFS(Database!$F:$I,CONCATENATE($B115,Z$68,"W"))+COUNTIFS(Database!$F:$I,CONCATENATE(Z$68,$B115,"W")))/(COUNTIFS(Database!$F:$I,CONCATENATE($B115,Z$68,"L"))+COUNTIFS(Database!$F:$I,CONCATENATE(Z$68,$B115,"L"))+COUNTIFS(Database!$F:$I,CONCATENATE($B115,Z$68,"W"))+COUNTIFS(Database!$F:$I,CONCATENATE(Z$68,$B115,"W"))),"-")</f>
        <v>1</v>
      </c>
      <c r="AA115" s="122">
        <f>IFERROR((COUNTIFS(Database!$F:$I,CONCATENATE($B115,AA$68,"W"))+COUNTIFS(Database!$F:$I,CONCATENATE(AA$68,$B115,"W")))/(COUNTIFS(Database!$F:$I,CONCATENATE($B115,AA$68,"L"))+COUNTIFS(Database!$F:$I,CONCATENATE(AA$68,$B115,"L"))+COUNTIFS(Database!$F:$I,CONCATENATE($B115,AA$68,"W"))+COUNTIFS(Database!$F:$I,CONCATENATE(AA$68,$B115,"W"))),"-")</f>
        <v>1</v>
      </c>
      <c r="AB115" s="122">
        <f>IFERROR((COUNTIFS(Database!$F:$I,CONCATENATE($B115,AB$68,"W"))+COUNTIFS(Database!$F:$I,CONCATENATE(AB$68,$B115,"W")))/(COUNTIFS(Database!$F:$I,CONCATENATE($B115,AB$68,"L"))+COUNTIFS(Database!$F:$I,CONCATENATE(AB$68,$B115,"L"))+COUNTIFS(Database!$F:$I,CONCATENATE($B115,AB$68,"W"))+COUNTIFS(Database!$F:$I,CONCATENATE(AB$68,$B115,"W"))),"-")</f>
        <v>0.875</v>
      </c>
      <c r="AC115" s="122">
        <f>IFERROR((COUNTIFS(Database!$F:$I,CONCATENATE($B115,AC$68,"W"))+COUNTIFS(Database!$F:$I,CONCATENATE(AC$68,$B115,"W")))/(COUNTIFS(Database!$F:$I,CONCATENATE($B115,AC$68,"L"))+COUNTIFS(Database!$F:$I,CONCATENATE(AC$68,$B115,"L"))+COUNTIFS(Database!$F:$I,CONCATENATE($B115,AC$68,"W"))+COUNTIFS(Database!$F:$I,CONCATENATE(AC$68,$B115,"W"))),"-")</f>
        <v>0.77777777777777779</v>
      </c>
      <c r="AD115" s="122">
        <f>IFERROR((COUNTIFS(Database!$F:$I,CONCATENATE($B115,AD$68,"W"))+COUNTIFS(Database!$F:$I,CONCATENATE(AD$68,$B115,"W")))/(COUNTIFS(Database!$F:$I,CONCATENATE($B115,AD$68,"L"))+COUNTIFS(Database!$F:$I,CONCATENATE(AD$68,$B115,"L"))+COUNTIFS(Database!$F:$I,CONCATENATE($B115,AD$68,"W"))+COUNTIFS(Database!$F:$I,CONCATENATE(AD$68,$B115,"W"))),"-")</f>
        <v>1</v>
      </c>
      <c r="AE115" s="122">
        <f>IFERROR((COUNTIFS(Database!$F:$I,CONCATENATE($B115,AE$68,"W"))+COUNTIFS(Database!$F:$I,CONCATENATE(AE$68,$B115,"W")))/(COUNTIFS(Database!$F:$I,CONCATENATE($B115,AE$68,"L"))+COUNTIFS(Database!$F:$I,CONCATENATE(AE$68,$B115,"L"))+COUNTIFS(Database!$F:$I,CONCATENATE($B115,AE$68,"W"))+COUNTIFS(Database!$F:$I,CONCATENATE(AE$68,$B115,"W"))),"-")</f>
        <v>1</v>
      </c>
      <c r="AF115" s="122" t="str">
        <f>IFERROR((COUNTIFS(Database!$F:$I,CONCATENATE($B115,AF$68,"W"))+COUNTIFS(Database!$F:$I,CONCATENATE(AF$68,$B115,"W")))/(COUNTIFS(Database!$F:$I,CONCATENATE($B115,AF$68,"L"))+COUNTIFS(Database!$F:$I,CONCATENATE(AF$68,$B115,"L"))+COUNTIFS(Database!$F:$I,CONCATENATE($B115,AF$68,"W"))+COUNTIFS(Database!$F:$I,CONCATENATE(AF$68,$B115,"W"))),"-")</f>
        <v>-</v>
      </c>
      <c r="AG115" s="122" t="str">
        <f>IFERROR((COUNTIFS(Database!$F:$I,CONCATENATE($B115,AG$68,"W"))+COUNTIFS(Database!$F:$I,CONCATENATE(AG$68,$B115,"W")))/(COUNTIFS(Database!$F:$I,CONCATENATE($B115,AG$68,"L"))+COUNTIFS(Database!$F:$I,CONCATENATE(AG$68,$B115,"L"))+COUNTIFS(Database!$F:$I,CONCATENATE($B115,AG$68,"W"))+COUNTIFS(Database!$F:$I,CONCATENATE(AG$68,$B115,"W"))),"-")</f>
        <v>-</v>
      </c>
      <c r="AH115" s="122" t="str">
        <f>IFERROR((COUNTIFS(Database!$F:$I,CONCATENATE($B115,AH$68,"W"))+COUNTIFS(Database!$F:$I,CONCATENATE(AH$68,$B115,"W")))/(COUNTIFS(Database!$F:$I,CONCATENATE($B115,AH$68,"L"))+COUNTIFS(Database!$F:$I,CONCATENATE(AH$68,$B115,"L"))+COUNTIFS(Database!$F:$I,CONCATENATE($B115,AH$68,"W"))+COUNTIFS(Database!$F:$I,CONCATENATE(AH$68,$B115,"W"))),"-")</f>
        <v>-</v>
      </c>
      <c r="AI115" s="122">
        <f>IFERROR((COUNTIFS(Database!$F:$I,CONCATENATE($B115,AI$68,"W"))+COUNTIFS(Database!$F:$I,CONCATENATE(AI$68,$B115,"W")))/(COUNTIFS(Database!$F:$I,CONCATENATE($B115,AI$68,"L"))+COUNTIFS(Database!$F:$I,CONCATENATE(AI$68,$B115,"L"))+COUNTIFS(Database!$F:$I,CONCATENATE($B115,AI$68,"W"))+COUNTIFS(Database!$F:$I,CONCATENATE(AI$68,$B115,"W"))),"-")</f>
        <v>1</v>
      </c>
      <c r="AJ115" s="122">
        <f>IFERROR((COUNTIFS(Database!$F:$I,CONCATENATE($B115,AJ$68,"W"))+COUNTIFS(Database!$F:$I,CONCATENATE(AJ$68,$B115,"W")))/(COUNTIFS(Database!$F:$I,CONCATENATE($B115,AJ$68,"L"))+COUNTIFS(Database!$F:$I,CONCATENATE(AJ$68,$B115,"L"))+COUNTIFS(Database!$F:$I,CONCATENATE($B115,AJ$68,"W"))+COUNTIFS(Database!$F:$I,CONCATENATE(AJ$68,$B115,"W"))),"-")</f>
        <v>0.75</v>
      </c>
      <c r="AK115" s="122">
        <f>IFERROR((COUNTIFS(Database!$F:$I,CONCATENATE($B115,AK$68,"W"))+COUNTIFS(Database!$F:$I,CONCATENATE(AK$68,$B115,"W")))/(COUNTIFS(Database!$F:$I,CONCATENATE($B115,AK$68,"L"))+COUNTIFS(Database!$F:$I,CONCATENATE(AK$68,$B115,"L"))+COUNTIFS(Database!$F:$I,CONCATENATE($B115,AK$68,"W"))+COUNTIFS(Database!$F:$I,CONCATENATE(AK$68,$B115,"W"))),"-")</f>
        <v>0.75</v>
      </c>
      <c r="AL115" s="122">
        <f>IFERROR((COUNTIFS(Database!$F:$I,CONCATENATE($B115,AL$68,"W"))+COUNTIFS(Database!$F:$I,CONCATENATE(AL$68,$B115,"W")))/(COUNTIFS(Database!$F:$I,CONCATENATE($B115,AL$68,"L"))+COUNTIFS(Database!$F:$I,CONCATENATE(AL$68,$B115,"L"))+COUNTIFS(Database!$F:$I,CONCATENATE($B115,AL$68,"W"))+COUNTIFS(Database!$F:$I,CONCATENATE(AL$68,$B115,"W"))),"-")</f>
        <v>0.66666666666666663</v>
      </c>
      <c r="AM115" s="122" t="str">
        <f>IFERROR((COUNTIFS(Database!$F:$I,CONCATENATE($B115,AM$68,"W"))+COUNTIFS(Database!$F:$I,CONCATENATE(AM$68,$B115,"W")))/(COUNTIFS(Database!$F:$I,CONCATENATE($B115,AM$68,"L"))+COUNTIFS(Database!$F:$I,CONCATENATE(AM$68,$B115,"L"))+COUNTIFS(Database!$F:$I,CONCATENATE($B115,AM$68,"W"))+COUNTIFS(Database!$F:$I,CONCATENATE(AM$68,$B115,"W"))),"-")</f>
        <v>-</v>
      </c>
      <c r="AN115" s="122" t="str">
        <f>IFERROR((COUNTIFS(Database!$F:$I,CONCATENATE($B115,AN$68,"W"))+COUNTIFS(Database!$F:$I,CONCATENATE(AN$68,$B115,"W")))/(COUNTIFS(Database!$F:$I,CONCATENATE($B115,AN$68,"L"))+COUNTIFS(Database!$F:$I,CONCATENATE(AN$68,$B115,"L"))+COUNTIFS(Database!$F:$I,CONCATENATE($B115,AN$68,"W"))+COUNTIFS(Database!$F:$I,CONCATENATE(AN$68,$B115,"W"))),"-")</f>
        <v>-</v>
      </c>
      <c r="AO115" s="122">
        <f>IFERROR((COUNTIFS(Database!$F:$I,CONCATENATE($B115,AO$68,"W"))+COUNTIFS(Database!$F:$I,CONCATENATE(AO$68,$B115,"W")))/(COUNTIFS(Database!$F:$I,CONCATENATE($B115,AO$68,"L"))+COUNTIFS(Database!$F:$I,CONCATENATE(AO$68,$B115,"L"))+COUNTIFS(Database!$F:$I,CONCATENATE($B115,AO$68,"W"))+COUNTIFS(Database!$F:$I,CONCATENATE(AO$68,$B115,"W"))),"-")</f>
        <v>0.5</v>
      </c>
      <c r="AP115" s="122">
        <f>IFERROR((COUNTIFS(Database!$F:$I,CONCATENATE($B115,AP$68,"W"))+COUNTIFS(Database!$F:$I,CONCATENATE(AP$68,$B115,"W")))/(COUNTIFS(Database!$F:$I,CONCATENATE($B115,AP$68,"L"))+COUNTIFS(Database!$F:$I,CONCATENATE(AP$68,$B115,"L"))+COUNTIFS(Database!$F:$I,CONCATENATE($B115,AP$68,"W"))+COUNTIFS(Database!$F:$I,CONCATENATE(AP$68,$B115,"W"))),"-")</f>
        <v>1</v>
      </c>
      <c r="AQ115" s="122" t="str">
        <f>IFERROR((COUNTIFS(Database!$F:$I,CONCATENATE($B115,AQ$68,"W"))+COUNTIFS(Database!$F:$I,CONCATENATE(AQ$68,$B115,"W")))/(COUNTIFS(Database!$F:$I,CONCATENATE($B115,AQ$68,"L"))+COUNTIFS(Database!$F:$I,CONCATENATE(AQ$68,$B115,"L"))+COUNTIFS(Database!$F:$I,CONCATENATE($B115,AQ$68,"W"))+COUNTIFS(Database!$F:$I,CONCATENATE(AQ$68,$B115,"W"))),"-")</f>
        <v>-</v>
      </c>
      <c r="AR115" s="122">
        <f>IFERROR((COUNTIFS(Database!$F:$I,CONCATENATE($B115,AR$68,"W"))+COUNTIFS(Database!$F:$I,CONCATENATE(AR$68,$B115,"W")))/(COUNTIFS(Database!$F:$I,CONCATENATE($B115,AR$68,"L"))+COUNTIFS(Database!$F:$I,CONCATENATE(AR$68,$B115,"L"))+COUNTIFS(Database!$F:$I,CONCATENATE($B115,AR$68,"W"))+COUNTIFS(Database!$F:$I,CONCATENATE(AR$68,$B115,"W"))),"-")</f>
        <v>1</v>
      </c>
      <c r="AS115" s="122" t="str">
        <f>IFERROR((COUNTIFS(Database!$F:$I,CONCATENATE($B115,AS$68,"W"))+COUNTIFS(Database!$F:$I,CONCATENATE(AS$68,$B115,"W")))/(COUNTIFS(Database!$F:$I,CONCATENATE($B115,AS$68,"L"))+COUNTIFS(Database!$F:$I,CONCATENATE(AS$68,$B115,"L"))+COUNTIFS(Database!$F:$I,CONCATENATE($B115,AS$68,"W"))+COUNTIFS(Database!$F:$I,CONCATENATE(AS$68,$B115,"W"))),"-")</f>
        <v>-</v>
      </c>
      <c r="AT115" s="122" t="str">
        <f>IFERROR((COUNTIFS(Database!$F:$I,CONCATENATE($B115,AT$68,"W"))+COUNTIFS(Database!$F:$I,CONCATENATE(AT$68,$B115,"W")))/(COUNTIFS(Database!$F:$I,CONCATENATE($B115,AT$68,"L"))+COUNTIFS(Database!$F:$I,CONCATENATE(AT$68,$B115,"L"))+COUNTIFS(Database!$F:$I,CONCATENATE($B115,AT$68,"W"))+COUNTIFS(Database!$F:$I,CONCATENATE(AT$68,$B115,"W"))),"-")</f>
        <v>-</v>
      </c>
      <c r="AU115" s="122">
        <f>IFERROR((COUNTIFS(Database!$F:$I,CONCATENATE($B115,AU$68,"W"))+COUNTIFS(Database!$F:$I,CONCATENATE(AU$68,$B115,"W")))/(COUNTIFS(Database!$F:$I,CONCATENATE($B115,AU$68,"L"))+COUNTIFS(Database!$F:$I,CONCATENATE(AU$68,$B115,"L"))+COUNTIFS(Database!$F:$I,CONCATENATE($B115,AU$68,"W"))+COUNTIFS(Database!$F:$I,CONCATENATE(AU$68,$B115,"W"))),"-")</f>
        <v>1</v>
      </c>
      <c r="AV115" s="122">
        <f>IFERROR((COUNTIFS(Database!$F:$I,CONCATENATE($B115,AV$68,"W"))+COUNTIFS(Database!$F:$I,CONCATENATE(AV$68,$B115,"W")))/(COUNTIFS(Database!$F:$I,CONCATENATE($B115,AV$68,"L"))+COUNTIFS(Database!$F:$I,CONCATENATE(AV$68,$B115,"L"))+COUNTIFS(Database!$F:$I,CONCATENATE($B115,AV$68,"W"))+COUNTIFS(Database!$F:$I,CONCATENATE(AV$68,$B115,"W"))),"-")</f>
        <v>1</v>
      </c>
      <c r="AW115" s="122" t="str">
        <f>IFERROR((COUNTIFS(Database!$F:$I,CONCATENATE($B115,AW$68,"W"))+COUNTIFS(Database!$F:$I,CONCATENATE(AW$68,$B115,"W")))/(COUNTIFS(Database!$F:$I,CONCATENATE($B115,AW$68,"L"))+COUNTIFS(Database!$F:$I,CONCATENATE(AW$68,$B115,"L"))+COUNTIFS(Database!$F:$I,CONCATENATE($B115,AW$68,"W"))+COUNTIFS(Database!$F:$I,CONCATENATE(AW$68,$B115,"W"))),"-")</f>
        <v>-</v>
      </c>
      <c r="AX115" s="122" t="str">
        <f>IFERROR((COUNTIFS(Database!$F:$I,CONCATENATE($B115,AX$68,"W"))+COUNTIFS(Database!$F:$I,CONCATENATE(AX$68,$B115,"W")))/(COUNTIFS(Database!$F:$I,CONCATENATE($B115,AX$68,"L"))+COUNTIFS(Database!$F:$I,CONCATENATE(AX$68,$B115,"L"))+COUNTIFS(Database!$F:$I,CONCATENATE($B115,AX$68,"W"))+COUNTIFS(Database!$F:$I,CONCATENATE(AX$68,$B115,"W"))),"-")</f>
        <v>-</v>
      </c>
      <c r="AY115" s="122">
        <f>IFERROR((COUNTIFS(Database!$F:$I,CONCATENATE($B115,AY$68,"W"))+COUNTIFS(Database!$F:$I,CONCATENATE(AY$68,$B115,"W")))/(COUNTIFS(Database!$F:$I,CONCATENATE($B115,AY$68,"L"))+COUNTIFS(Database!$F:$I,CONCATENATE(AY$68,$B115,"L"))+COUNTIFS(Database!$F:$I,CONCATENATE($B115,AY$68,"W"))+COUNTIFS(Database!$F:$I,CONCATENATE(AY$68,$B115,"W"))),"-")</f>
        <v>0.66666666666666663</v>
      </c>
    </row>
    <row r="116" spans="2:51" x14ac:dyDescent="0.25">
      <c r="B116" s="120" t="s">
        <v>27</v>
      </c>
      <c r="C116" s="122">
        <f>IFERROR((COUNTIFS(Database!$F:$I,CONCATENATE($B116,C$68,"W"))+COUNTIFS(Database!$F:$I,CONCATENATE(C$68,$B116,"W")))/(COUNTIFS(Database!$F:$I,CONCATENATE($B116,C$68,"L"))+COUNTIFS(Database!$F:$I,CONCATENATE(C$68,$B116,"L"))+COUNTIFS(Database!$F:$I,CONCATENATE($B116,C$68,"W"))+COUNTIFS(Database!$F:$I,CONCATENATE(C$68,$B116,"W"))),"-")</f>
        <v>0</v>
      </c>
      <c r="D116" s="122">
        <f>IFERROR((COUNTIFS(Database!$F:$I,CONCATENATE($B116,D$68,"W"))+COUNTIFS(Database!$F:$I,CONCATENATE(D$68,$B116,"W")))/(COUNTIFS(Database!$F:$I,CONCATENATE($B116,D$68,"L"))+COUNTIFS(Database!$F:$I,CONCATENATE(D$68,$B116,"L"))+COUNTIFS(Database!$F:$I,CONCATENATE($B116,D$68,"W"))+COUNTIFS(Database!$F:$I,CONCATENATE(D$68,$B116,"W"))),"-")</f>
        <v>1</v>
      </c>
      <c r="E116" s="122">
        <f>IFERROR((COUNTIFS(Database!$F:$I,CONCATENATE($B116,E$68,"W"))+COUNTIFS(Database!$F:$I,CONCATENATE(E$68,$B116,"W")))/(COUNTIFS(Database!$F:$I,CONCATENATE($B116,E$68,"L"))+COUNTIFS(Database!$F:$I,CONCATENATE(E$68,$B116,"L"))+COUNTIFS(Database!$F:$I,CONCATENATE($B116,E$68,"W"))+COUNTIFS(Database!$F:$I,CONCATENATE(E$68,$B116,"W"))),"-")</f>
        <v>0.66666666666666663</v>
      </c>
      <c r="F116" s="122" t="str">
        <f>IFERROR((COUNTIFS(Database!$F:$I,CONCATENATE($B116,F$68,"W"))+COUNTIFS(Database!$F:$I,CONCATENATE(F$68,$B116,"W")))/(COUNTIFS(Database!$F:$I,CONCATENATE($B116,F$68,"L"))+COUNTIFS(Database!$F:$I,CONCATENATE(F$68,$B116,"L"))+COUNTIFS(Database!$F:$I,CONCATENATE($B116,F$68,"W"))+COUNTIFS(Database!$F:$I,CONCATENATE(F$68,$B116,"W"))),"-")</f>
        <v>-</v>
      </c>
      <c r="G116" s="122" t="str">
        <f>IFERROR((COUNTIFS(Database!$F:$I,CONCATENATE($B116,G$68,"W"))+COUNTIFS(Database!$F:$I,CONCATENATE(G$68,$B116,"W")))/(COUNTIFS(Database!$F:$I,CONCATENATE($B116,G$68,"L"))+COUNTIFS(Database!$F:$I,CONCATENATE(G$68,$B116,"L"))+COUNTIFS(Database!$F:$I,CONCATENATE($B116,G$68,"W"))+COUNTIFS(Database!$F:$I,CONCATENATE(G$68,$B116,"W"))),"-")</f>
        <v>-</v>
      </c>
      <c r="H116" s="122" t="str">
        <f>IFERROR((COUNTIFS(Database!$F:$I,CONCATENATE($B116,H$68,"W"))+COUNTIFS(Database!$F:$I,CONCATENATE(H$68,$B116,"W")))/(COUNTIFS(Database!$F:$I,CONCATENATE($B116,H$68,"L"))+COUNTIFS(Database!$F:$I,CONCATENATE(H$68,$B116,"L"))+COUNTIFS(Database!$F:$I,CONCATENATE($B116,H$68,"W"))+COUNTIFS(Database!$F:$I,CONCATENATE(H$68,$B116,"W"))),"-")</f>
        <v>-</v>
      </c>
      <c r="I116" s="122">
        <f>IFERROR((COUNTIFS(Database!$F:$I,CONCATENATE($B116,I$68,"W"))+COUNTIFS(Database!$F:$I,CONCATENATE(I$68,$B116,"W")))/(COUNTIFS(Database!$F:$I,CONCATENATE($B116,I$68,"L"))+COUNTIFS(Database!$F:$I,CONCATENATE(I$68,$B116,"L"))+COUNTIFS(Database!$F:$I,CONCATENATE($B116,I$68,"W"))+COUNTIFS(Database!$F:$I,CONCATENATE(I$68,$B116,"W"))),"-")</f>
        <v>0</v>
      </c>
      <c r="J116" s="122" t="str">
        <f>IFERROR((COUNTIFS(Database!$F:$I,CONCATENATE($B116,J$68,"W"))+COUNTIFS(Database!$F:$I,CONCATENATE(J$68,$B116,"W")))/(COUNTIFS(Database!$F:$I,CONCATENATE($B116,J$68,"L"))+COUNTIFS(Database!$F:$I,CONCATENATE(J$68,$B116,"L"))+COUNTIFS(Database!$F:$I,CONCATENATE($B116,J$68,"W"))+COUNTIFS(Database!$F:$I,CONCATENATE(J$68,$B116,"W"))),"-")</f>
        <v>-</v>
      </c>
      <c r="K116" s="122">
        <f>IFERROR((COUNTIFS(Database!$F:$I,CONCATENATE($B116,K$68,"W"))+COUNTIFS(Database!$F:$I,CONCATENATE(K$68,$B116,"W")))/(COUNTIFS(Database!$F:$I,CONCATENATE($B116,K$68,"L"))+COUNTIFS(Database!$F:$I,CONCATENATE(K$68,$B116,"L"))+COUNTIFS(Database!$F:$I,CONCATENATE($B116,K$68,"W"))+COUNTIFS(Database!$F:$I,CONCATENATE(K$68,$B116,"W"))),"-")</f>
        <v>1</v>
      </c>
      <c r="L116" s="122" t="str">
        <f>IFERROR((COUNTIFS(Database!$F:$I,CONCATENATE($B116,L$68,"W"))+COUNTIFS(Database!$F:$I,CONCATENATE(L$68,$B116,"W")))/(COUNTIFS(Database!$F:$I,CONCATENATE($B116,L$68,"L"))+COUNTIFS(Database!$F:$I,CONCATENATE(L$68,$B116,"L"))+COUNTIFS(Database!$F:$I,CONCATENATE($B116,L$68,"W"))+COUNTIFS(Database!$F:$I,CONCATENATE(L$68,$B116,"W"))),"-")</f>
        <v>-</v>
      </c>
      <c r="M116" s="122" t="str">
        <f>IFERROR((COUNTIFS(Database!$F:$I,CONCATENATE($B116,M$68,"W"))+COUNTIFS(Database!$F:$I,CONCATENATE(M$68,$B116,"W")))/(COUNTIFS(Database!$F:$I,CONCATENATE($B116,M$68,"L"))+COUNTIFS(Database!$F:$I,CONCATENATE(M$68,$B116,"L"))+COUNTIFS(Database!$F:$I,CONCATENATE($B116,M$68,"W"))+COUNTIFS(Database!$F:$I,CONCATENATE(M$68,$B116,"W"))),"-")</f>
        <v>-</v>
      </c>
      <c r="N116" s="122" t="str">
        <f>IFERROR((COUNTIFS(Database!$F:$I,CONCATENATE($B116,N$68,"W"))+COUNTIFS(Database!$F:$I,CONCATENATE(N$68,$B116,"W")))/(COUNTIFS(Database!$F:$I,CONCATENATE($B116,N$68,"L"))+COUNTIFS(Database!$F:$I,CONCATENATE(N$68,$B116,"L"))+COUNTIFS(Database!$F:$I,CONCATENATE($B116,N$68,"W"))+COUNTIFS(Database!$F:$I,CONCATENATE(N$68,$B116,"W"))),"-")</f>
        <v>-</v>
      </c>
      <c r="O116" s="122">
        <f>IFERROR((COUNTIFS(Database!$F:$I,CONCATENATE($B116,O$68,"W"))+COUNTIFS(Database!$F:$I,CONCATENATE(O$68,$B116,"W")))/(COUNTIFS(Database!$F:$I,CONCATENATE($B116,O$68,"L"))+COUNTIFS(Database!$F:$I,CONCATENATE(O$68,$B116,"L"))+COUNTIFS(Database!$F:$I,CONCATENATE($B116,O$68,"W"))+COUNTIFS(Database!$F:$I,CONCATENATE(O$68,$B116,"W"))),"-")</f>
        <v>0</v>
      </c>
      <c r="P116" s="122" t="str">
        <f>IFERROR((COUNTIFS(Database!$F:$I,CONCATENATE($B116,P$68,"W"))+COUNTIFS(Database!$F:$I,CONCATENATE(P$68,$B116,"W")))/(COUNTIFS(Database!$F:$I,CONCATENATE($B116,P$68,"L"))+COUNTIFS(Database!$F:$I,CONCATENATE(P$68,$B116,"L"))+COUNTIFS(Database!$F:$I,CONCATENATE($B116,P$68,"W"))+COUNTIFS(Database!$F:$I,CONCATENATE(P$68,$B116,"W"))),"-")</f>
        <v>-</v>
      </c>
      <c r="Q116" s="122" t="str">
        <f>IFERROR((COUNTIFS(Database!$F:$I,CONCATENATE($B116,Q$68,"W"))+COUNTIFS(Database!$F:$I,CONCATENATE(Q$68,$B116,"W")))/(COUNTIFS(Database!$F:$I,CONCATENATE($B116,Q$68,"L"))+COUNTIFS(Database!$F:$I,CONCATENATE(Q$68,$B116,"L"))+COUNTIFS(Database!$F:$I,CONCATENATE($B116,Q$68,"W"))+COUNTIFS(Database!$F:$I,CONCATENATE(Q$68,$B116,"W"))),"-")</f>
        <v>-</v>
      </c>
      <c r="R116" s="122" t="str">
        <f>IFERROR((COUNTIFS(Database!$F:$I,CONCATENATE($B116,R$68,"W"))+COUNTIFS(Database!$F:$I,CONCATENATE(R$68,$B116,"W")))/(COUNTIFS(Database!$F:$I,CONCATENATE($B116,R$68,"L"))+COUNTIFS(Database!$F:$I,CONCATENATE(R$68,$B116,"L"))+COUNTIFS(Database!$F:$I,CONCATENATE($B116,R$68,"W"))+COUNTIFS(Database!$F:$I,CONCATENATE(R$68,$B116,"W"))),"-")</f>
        <v>-</v>
      </c>
      <c r="S116" s="122" t="str">
        <f>IFERROR((COUNTIFS(Database!$F:$I,CONCATENATE($B116,S$68,"W"))+COUNTIFS(Database!$F:$I,CONCATENATE(S$68,$B116,"W")))/(COUNTIFS(Database!$F:$I,CONCATENATE($B116,S$68,"L"))+COUNTIFS(Database!$F:$I,CONCATENATE(S$68,$B116,"L"))+COUNTIFS(Database!$F:$I,CONCATENATE($B116,S$68,"W"))+COUNTIFS(Database!$F:$I,CONCATENATE(S$68,$B116,"W"))),"-")</f>
        <v>-</v>
      </c>
      <c r="T116" s="122" t="str">
        <f>IFERROR((COUNTIFS(Database!$F:$I,CONCATENATE($B116,T$68,"W"))+COUNTIFS(Database!$F:$I,CONCATENATE(T$68,$B116,"W")))/(COUNTIFS(Database!$F:$I,CONCATENATE($B116,T$68,"L"))+COUNTIFS(Database!$F:$I,CONCATENATE(T$68,$B116,"L"))+COUNTIFS(Database!$F:$I,CONCATENATE($B116,T$68,"W"))+COUNTIFS(Database!$F:$I,CONCATENATE(T$68,$B116,"W"))),"-")</f>
        <v>-</v>
      </c>
      <c r="U116" s="122" t="str">
        <f>IFERROR((COUNTIFS(Database!$F:$I,CONCATENATE($B116,U$68,"W"))+COUNTIFS(Database!$F:$I,CONCATENATE(U$68,$B116,"W")))/(COUNTIFS(Database!$F:$I,CONCATENATE($B116,U$68,"L"))+COUNTIFS(Database!$F:$I,CONCATENATE(U$68,$B116,"L"))+COUNTIFS(Database!$F:$I,CONCATENATE($B116,U$68,"W"))+COUNTIFS(Database!$F:$I,CONCATENATE(U$68,$B116,"W"))),"-")</f>
        <v>-</v>
      </c>
      <c r="V116" s="122">
        <f>IFERROR((COUNTIFS(Database!$F:$I,CONCATENATE($B116,V$68,"W"))+COUNTIFS(Database!$F:$I,CONCATENATE(V$68,$B116,"W")))/(COUNTIFS(Database!$F:$I,CONCATENATE($B116,V$68,"L"))+COUNTIFS(Database!$F:$I,CONCATENATE(V$68,$B116,"L"))+COUNTIFS(Database!$F:$I,CONCATENATE($B116,V$68,"W"))+COUNTIFS(Database!$F:$I,CONCATENATE(V$68,$B116,"W"))),"-")</f>
        <v>0</v>
      </c>
      <c r="W116" s="122">
        <f>IFERROR((COUNTIFS(Database!$F:$I,CONCATENATE($B116,W$68,"W"))+COUNTIFS(Database!$F:$I,CONCATENATE(W$68,$B116,"W")))/(COUNTIFS(Database!$F:$I,CONCATENATE($B116,W$68,"L"))+COUNTIFS(Database!$F:$I,CONCATENATE(W$68,$B116,"L"))+COUNTIFS(Database!$F:$I,CONCATENATE($B116,W$68,"W"))+COUNTIFS(Database!$F:$I,CONCATENATE(W$68,$B116,"W"))),"-")</f>
        <v>0.5</v>
      </c>
      <c r="X116" s="122" t="str">
        <f>IFERROR((COUNTIFS(Database!$F:$I,CONCATENATE($B116,X$68,"W"))+COUNTIFS(Database!$F:$I,CONCATENATE(X$68,$B116,"W")))/(COUNTIFS(Database!$F:$I,CONCATENATE($B116,X$68,"L"))+COUNTIFS(Database!$F:$I,CONCATENATE(X$68,$B116,"L"))+COUNTIFS(Database!$F:$I,CONCATENATE($B116,X$68,"W"))+COUNTIFS(Database!$F:$I,CONCATENATE(X$68,$B116,"W"))),"-")</f>
        <v>-</v>
      </c>
      <c r="Y116" s="122" t="str">
        <f>IFERROR((COUNTIFS(Database!$F:$I,CONCATENATE($B116,Y$68,"W"))+COUNTIFS(Database!$F:$I,CONCATENATE(Y$68,$B116,"W")))/(COUNTIFS(Database!$F:$I,CONCATENATE($B116,Y$68,"L"))+COUNTIFS(Database!$F:$I,CONCATENATE(Y$68,$B116,"L"))+COUNTIFS(Database!$F:$I,CONCATENATE($B116,Y$68,"W"))+COUNTIFS(Database!$F:$I,CONCATENATE(Y$68,$B116,"W"))),"-")</f>
        <v>-</v>
      </c>
      <c r="Z116" s="122" t="str">
        <f>IFERROR((COUNTIFS(Database!$F:$I,CONCATENATE($B116,Z$68,"W"))+COUNTIFS(Database!$F:$I,CONCATENATE(Z$68,$B116,"W")))/(COUNTIFS(Database!$F:$I,CONCATENATE($B116,Z$68,"L"))+COUNTIFS(Database!$F:$I,CONCATENATE(Z$68,$B116,"L"))+COUNTIFS(Database!$F:$I,CONCATENATE($B116,Z$68,"W"))+COUNTIFS(Database!$F:$I,CONCATENATE(Z$68,$B116,"W"))),"-")</f>
        <v>-</v>
      </c>
      <c r="AA116" s="122" t="str">
        <f>IFERROR((COUNTIFS(Database!$F:$I,CONCATENATE($B116,AA$68,"W"))+COUNTIFS(Database!$F:$I,CONCATENATE(AA$68,$B116,"W")))/(COUNTIFS(Database!$F:$I,CONCATENATE($B116,AA$68,"L"))+COUNTIFS(Database!$F:$I,CONCATENATE(AA$68,$B116,"L"))+COUNTIFS(Database!$F:$I,CONCATENATE($B116,AA$68,"W"))+COUNTIFS(Database!$F:$I,CONCATENATE(AA$68,$B116,"W"))),"-")</f>
        <v>-</v>
      </c>
      <c r="AB116" s="122">
        <f>IFERROR((COUNTIFS(Database!$F:$I,CONCATENATE($B116,AB$68,"W"))+COUNTIFS(Database!$F:$I,CONCATENATE(AB$68,$B116,"W")))/(COUNTIFS(Database!$F:$I,CONCATENATE($B116,AB$68,"L"))+COUNTIFS(Database!$F:$I,CONCATENATE(AB$68,$B116,"L"))+COUNTIFS(Database!$F:$I,CONCATENATE($B116,AB$68,"W"))+COUNTIFS(Database!$F:$I,CONCATENATE(AB$68,$B116,"W"))),"-")</f>
        <v>0</v>
      </c>
      <c r="AC116" s="122">
        <f>IFERROR((COUNTIFS(Database!$F:$I,CONCATENATE($B116,AC$68,"W"))+COUNTIFS(Database!$F:$I,CONCATENATE(AC$68,$B116,"W")))/(COUNTIFS(Database!$F:$I,CONCATENATE($B116,AC$68,"L"))+COUNTIFS(Database!$F:$I,CONCATENATE(AC$68,$B116,"L"))+COUNTIFS(Database!$F:$I,CONCATENATE($B116,AC$68,"W"))+COUNTIFS(Database!$F:$I,CONCATENATE(AC$68,$B116,"W"))),"-")</f>
        <v>0</v>
      </c>
      <c r="AD116" s="122" t="str">
        <f>IFERROR((COUNTIFS(Database!$F:$I,CONCATENATE($B116,AD$68,"W"))+COUNTIFS(Database!$F:$I,CONCATENATE(AD$68,$B116,"W")))/(COUNTIFS(Database!$F:$I,CONCATENATE($B116,AD$68,"L"))+COUNTIFS(Database!$F:$I,CONCATENATE(AD$68,$B116,"L"))+COUNTIFS(Database!$F:$I,CONCATENATE($B116,AD$68,"W"))+COUNTIFS(Database!$F:$I,CONCATENATE(AD$68,$B116,"W"))),"-")</f>
        <v>-</v>
      </c>
      <c r="AE116" s="122" t="str">
        <f>IFERROR((COUNTIFS(Database!$F:$I,CONCATENATE($B116,AE$68,"W"))+COUNTIFS(Database!$F:$I,CONCATENATE(AE$68,$B116,"W")))/(COUNTIFS(Database!$F:$I,CONCATENATE($B116,AE$68,"L"))+COUNTIFS(Database!$F:$I,CONCATENATE(AE$68,$B116,"L"))+COUNTIFS(Database!$F:$I,CONCATENATE($B116,AE$68,"W"))+COUNTIFS(Database!$F:$I,CONCATENATE(AE$68,$B116,"W"))),"-")</f>
        <v>-</v>
      </c>
      <c r="AF116" s="122" t="str">
        <f>IFERROR((COUNTIFS(Database!$F:$I,CONCATENATE($B116,AF$68,"W"))+COUNTIFS(Database!$F:$I,CONCATENATE(AF$68,$B116,"W")))/(COUNTIFS(Database!$F:$I,CONCATENATE($B116,AF$68,"L"))+COUNTIFS(Database!$F:$I,CONCATENATE(AF$68,$B116,"L"))+COUNTIFS(Database!$F:$I,CONCATENATE($B116,AF$68,"W"))+COUNTIFS(Database!$F:$I,CONCATENATE(AF$68,$B116,"W"))),"-")</f>
        <v>-</v>
      </c>
      <c r="AG116" s="122">
        <f>IFERROR((COUNTIFS(Database!$F:$I,CONCATENATE($B116,AG$68,"W"))+COUNTIFS(Database!$F:$I,CONCATENATE(AG$68,$B116,"W")))/(COUNTIFS(Database!$F:$I,CONCATENATE($B116,AG$68,"L"))+COUNTIFS(Database!$F:$I,CONCATENATE(AG$68,$B116,"L"))+COUNTIFS(Database!$F:$I,CONCATENATE($B116,AG$68,"W"))+COUNTIFS(Database!$F:$I,CONCATENATE(AG$68,$B116,"W"))),"-")</f>
        <v>0</v>
      </c>
      <c r="AH116" s="122" t="str">
        <f>IFERROR((COUNTIFS(Database!$F:$I,CONCATENATE($B116,AH$68,"W"))+COUNTIFS(Database!$F:$I,CONCATENATE(AH$68,$B116,"W")))/(COUNTIFS(Database!$F:$I,CONCATENATE($B116,AH$68,"L"))+COUNTIFS(Database!$F:$I,CONCATENATE(AH$68,$B116,"L"))+COUNTIFS(Database!$F:$I,CONCATENATE($B116,AH$68,"W"))+COUNTIFS(Database!$F:$I,CONCATENATE(AH$68,$B116,"W"))),"-")</f>
        <v>-</v>
      </c>
      <c r="AI116" s="122">
        <f>IFERROR((COUNTIFS(Database!$F:$I,CONCATENATE($B116,AI$68,"W"))+COUNTIFS(Database!$F:$I,CONCATENATE(AI$68,$B116,"W")))/(COUNTIFS(Database!$F:$I,CONCATENATE($B116,AI$68,"L"))+COUNTIFS(Database!$F:$I,CONCATENATE(AI$68,$B116,"L"))+COUNTIFS(Database!$F:$I,CONCATENATE($B116,AI$68,"W"))+COUNTIFS(Database!$F:$I,CONCATENATE(AI$68,$B116,"W"))),"-")</f>
        <v>1</v>
      </c>
      <c r="AJ116" s="122" t="str">
        <f>IFERROR((COUNTIFS(Database!$F:$I,CONCATENATE($B116,AJ$68,"W"))+COUNTIFS(Database!$F:$I,CONCATENATE(AJ$68,$B116,"W")))/(COUNTIFS(Database!$F:$I,CONCATENATE($B116,AJ$68,"L"))+COUNTIFS(Database!$F:$I,CONCATENATE(AJ$68,$B116,"L"))+COUNTIFS(Database!$F:$I,CONCATENATE($B116,AJ$68,"W"))+COUNTIFS(Database!$F:$I,CONCATENATE(AJ$68,$B116,"W"))),"-")</f>
        <v>-</v>
      </c>
      <c r="AK116" s="122" t="str">
        <f>IFERROR((COUNTIFS(Database!$F:$I,CONCATENATE($B116,AK$68,"W"))+COUNTIFS(Database!$F:$I,CONCATENATE(AK$68,$B116,"W")))/(COUNTIFS(Database!$F:$I,CONCATENATE($B116,AK$68,"L"))+COUNTIFS(Database!$F:$I,CONCATENATE(AK$68,$B116,"L"))+COUNTIFS(Database!$F:$I,CONCATENATE($B116,AK$68,"W"))+COUNTIFS(Database!$F:$I,CONCATENATE(AK$68,$B116,"W"))),"-")</f>
        <v>-</v>
      </c>
      <c r="AL116" s="122" t="str">
        <f>IFERROR((COUNTIFS(Database!$F:$I,CONCATENATE($B116,AL$68,"W"))+COUNTIFS(Database!$F:$I,CONCATENATE(AL$68,$B116,"W")))/(COUNTIFS(Database!$F:$I,CONCATENATE($B116,AL$68,"L"))+COUNTIFS(Database!$F:$I,CONCATENATE(AL$68,$B116,"L"))+COUNTIFS(Database!$F:$I,CONCATENATE($B116,AL$68,"W"))+COUNTIFS(Database!$F:$I,CONCATENATE(AL$68,$B116,"W"))),"-")</f>
        <v>-</v>
      </c>
      <c r="AM116" s="122" t="str">
        <f>IFERROR((COUNTIFS(Database!$F:$I,CONCATENATE($B116,AM$68,"W"))+COUNTIFS(Database!$F:$I,CONCATENATE(AM$68,$B116,"W")))/(COUNTIFS(Database!$F:$I,CONCATENATE($B116,AM$68,"L"))+COUNTIFS(Database!$F:$I,CONCATENATE(AM$68,$B116,"L"))+COUNTIFS(Database!$F:$I,CONCATENATE($B116,AM$68,"W"))+COUNTIFS(Database!$F:$I,CONCATENATE(AM$68,$B116,"W"))),"-")</f>
        <v>-</v>
      </c>
      <c r="AN116" s="122" t="str">
        <f>IFERROR((COUNTIFS(Database!$F:$I,CONCATENATE($B116,AN$68,"W"))+COUNTIFS(Database!$F:$I,CONCATENATE(AN$68,$B116,"W")))/(COUNTIFS(Database!$F:$I,CONCATENATE($B116,AN$68,"L"))+COUNTIFS(Database!$F:$I,CONCATENATE(AN$68,$B116,"L"))+COUNTIFS(Database!$F:$I,CONCATENATE($B116,AN$68,"W"))+COUNTIFS(Database!$F:$I,CONCATENATE(AN$68,$B116,"W"))),"-")</f>
        <v>-</v>
      </c>
      <c r="AO116" s="122">
        <f>IFERROR((COUNTIFS(Database!$F:$I,CONCATENATE($B116,AO$68,"W"))+COUNTIFS(Database!$F:$I,CONCATENATE(AO$68,$B116,"W")))/(COUNTIFS(Database!$F:$I,CONCATENATE($B116,AO$68,"L"))+COUNTIFS(Database!$F:$I,CONCATENATE(AO$68,$B116,"L"))+COUNTIFS(Database!$F:$I,CONCATENATE($B116,AO$68,"W"))+COUNTIFS(Database!$F:$I,CONCATENATE(AO$68,$B116,"W"))),"-")</f>
        <v>1</v>
      </c>
      <c r="AP116" s="122" t="str">
        <f>IFERROR((COUNTIFS(Database!$F:$I,CONCATENATE($B116,AP$68,"W"))+COUNTIFS(Database!$F:$I,CONCATENATE(AP$68,$B116,"W")))/(COUNTIFS(Database!$F:$I,CONCATENATE($B116,AP$68,"L"))+COUNTIFS(Database!$F:$I,CONCATENATE(AP$68,$B116,"L"))+COUNTIFS(Database!$F:$I,CONCATENATE($B116,AP$68,"W"))+COUNTIFS(Database!$F:$I,CONCATENATE(AP$68,$B116,"W"))),"-")</f>
        <v>-</v>
      </c>
      <c r="AQ116" s="122">
        <f>IFERROR((COUNTIFS(Database!$F:$I,CONCATENATE($B116,AQ$68,"W"))+COUNTIFS(Database!$F:$I,CONCATENATE(AQ$68,$B116,"W")))/(COUNTIFS(Database!$F:$I,CONCATENATE($B116,AQ$68,"L"))+COUNTIFS(Database!$F:$I,CONCATENATE(AQ$68,$B116,"L"))+COUNTIFS(Database!$F:$I,CONCATENATE($B116,AQ$68,"W"))+COUNTIFS(Database!$F:$I,CONCATENATE(AQ$68,$B116,"W"))),"-")</f>
        <v>0.5</v>
      </c>
      <c r="AR116" s="122" t="str">
        <f>IFERROR((COUNTIFS(Database!$F:$I,CONCATENATE($B116,AR$68,"W"))+COUNTIFS(Database!$F:$I,CONCATENATE(AR$68,$B116,"W")))/(COUNTIFS(Database!$F:$I,CONCATENATE($B116,AR$68,"L"))+COUNTIFS(Database!$F:$I,CONCATENATE(AR$68,$B116,"L"))+COUNTIFS(Database!$F:$I,CONCATENATE($B116,AR$68,"W"))+COUNTIFS(Database!$F:$I,CONCATENATE(AR$68,$B116,"W"))),"-")</f>
        <v>-</v>
      </c>
      <c r="AS116" s="122" t="str">
        <f>IFERROR((COUNTIFS(Database!$F:$I,CONCATENATE($B116,AS$68,"W"))+COUNTIFS(Database!$F:$I,CONCATENATE(AS$68,$B116,"W")))/(COUNTIFS(Database!$F:$I,CONCATENATE($B116,AS$68,"L"))+COUNTIFS(Database!$F:$I,CONCATENATE(AS$68,$B116,"L"))+COUNTIFS(Database!$F:$I,CONCATENATE($B116,AS$68,"W"))+COUNTIFS(Database!$F:$I,CONCATENATE(AS$68,$B116,"W"))),"-")</f>
        <v>-</v>
      </c>
      <c r="AT116" s="122" t="str">
        <f>IFERROR((COUNTIFS(Database!$F:$I,CONCATENATE($B116,AT$68,"W"))+COUNTIFS(Database!$F:$I,CONCATENATE(AT$68,$B116,"W")))/(COUNTIFS(Database!$F:$I,CONCATENATE($B116,AT$68,"L"))+COUNTIFS(Database!$F:$I,CONCATENATE(AT$68,$B116,"L"))+COUNTIFS(Database!$F:$I,CONCATENATE($B116,AT$68,"W"))+COUNTIFS(Database!$F:$I,CONCATENATE(AT$68,$B116,"W"))),"-")</f>
        <v>-</v>
      </c>
      <c r="AU116" s="122" t="str">
        <f>IFERROR((COUNTIFS(Database!$F:$I,CONCATENATE($B116,AU$68,"W"))+COUNTIFS(Database!$F:$I,CONCATENATE(AU$68,$B116,"W")))/(COUNTIFS(Database!$F:$I,CONCATENATE($B116,AU$68,"L"))+COUNTIFS(Database!$F:$I,CONCATENATE(AU$68,$B116,"L"))+COUNTIFS(Database!$F:$I,CONCATENATE($B116,AU$68,"W"))+COUNTIFS(Database!$F:$I,CONCATENATE(AU$68,$B116,"W"))),"-")</f>
        <v>-</v>
      </c>
      <c r="AV116" s="122" t="str">
        <f>IFERROR((COUNTIFS(Database!$F:$I,CONCATENATE($B116,AV$68,"W"))+COUNTIFS(Database!$F:$I,CONCATENATE(AV$68,$B116,"W")))/(COUNTIFS(Database!$F:$I,CONCATENATE($B116,AV$68,"L"))+COUNTIFS(Database!$F:$I,CONCATENATE(AV$68,$B116,"L"))+COUNTIFS(Database!$F:$I,CONCATENATE($B116,AV$68,"W"))+COUNTIFS(Database!$F:$I,CONCATENATE(AV$68,$B116,"W"))),"-")</f>
        <v>-</v>
      </c>
      <c r="AW116" s="122" t="str">
        <f>IFERROR((COUNTIFS(Database!$F:$I,CONCATENATE($B116,AW$68,"W"))+COUNTIFS(Database!$F:$I,CONCATENATE(AW$68,$B116,"W")))/(COUNTIFS(Database!$F:$I,CONCATENATE($B116,AW$68,"L"))+COUNTIFS(Database!$F:$I,CONCATENATE(AW$68,$B116,"L"))+COUNTIFS(Database!$F:$I,CONCATENATE($B116,AW$68,"W"))+COUNTIFS(Database!$F:$I,CONCATENATE(AW$68,$B116,"W"))),"-")</f>
        <v>-</v>
      </c>
      <c r="AX116" s="122" t="str">
        <f>IFERROR((COUNTIFS(Database!$F:$I,CONCATENATE($B116,AX$68,"W"))+COUNTIFS(Database!$F:$I,CONCATENATE(AX$68,$B116,"W")))/(COUNTIFS(Database!$F:$I,CONCATENATE($B116,AX$68,"L"))+COUNTIFS(Database!$F:$I,CONCATENATE(AX$68,$B116,"L"))+COUNTIFS(Database!$F:$I,CONCATENATE($B116,AX$68,"W"))+COUNTIFS(Database!$F:$I,CONCATENATE(AX$68,$B116,"W"))),"-")</f>
        <v>-</v>
      </c>
      <c r="AY116" s="122">
        <f>IFERROR((COUNTIFS(Database!$F:$I,CONCATENATE($B116,AY$68,"W"))+COUNTIFS(Database!$F:$I,CONCATENATE(AY$68,$B116,"W")))/(COUNTIFS(Database!$F:$I,CONCATENATE($B116,AY$68,"L"))+COUNTIFS(Database!$F:$I,CONCATENATE(AY$68,$B116,"L"))+COUNTIFS(Database!$F:$I,CONCATENATE($B116,AY$68,"W"))+COUNTIFS(Database!$F:$I,CONCATENATE(AY$68,$B116,"W"))),"-")</f>
        <v>0</v>
      </c>
    </row>
    <row r="117" spans="2:51" x14ac:dyDescent="0.25">
      <c r="B117" s="120" t="s">
        <v>36</v>
      </c>
      <c r="C117" s="122">
        <f>IFERROR((COUNTIFS(Database!$F:$I,CONCATENATE($B117,C$68,"W"))+COUNTIFS(Database!$F:$I,CONCATENATE(C$68,$B117,"W")))/(COUNTIFS(Database!$F:$I,CONCATENATE($B117,C$68,"L"))+COUNTIFS(Database!$F:$I,CONCATENATE(C$68,$B117,"L"))+COUNTIFS(Database!$F:$I,CONCATENATE($B117,C$68,"W"))+COUNTIFS(Database!$F:$I,CONCATENATE(C$68,$B117,"W"))),"-")</f>
        <v>0.4</v>
      </c>
      <c r="D117" s="122" t="str">
        <f>IFERROR((COUNTIFS(Database!$F:$I,CONCATENATE($B117,D$68,"W"))+COUNTIFS(Database!$F:$I,CONCATENATE(D$68,$B117,"W")))/(COUNTIFS(Database!$F:$I,CONCATENATE($B117,D$68,"L"))+COUNTIFS(Database!$F:$I,CONCATENATE(D$68,$B117,"L"))+COUNTIFS(Database!$F:$I,CONCATENATE($B117,D$68,"W"))+COUNTIFS(Database!$F:$I,CONCATENATE(D$68,$B117,"W"))),"-")</f>
        <v>-</v>
      </c>
      <c r="E117" s="122">
        <f>IFERROR((COUNTIFS(Database!$F:$I,CONCATENATE($B117,E$68,"W"))+COUNTIFS(Database!$F:$I,CONCATENATE(E$68,$B117,"W")))/(COUNTIFS(Database!$F:$I,CONCATENATE($B117,E$68,"L"))+COUNTIFS(Database!$F:$I,CONCATENATE(E$68,$B117,"L"))+COUNTIFS(Database!$F:$I,CONCATENATE($B117,E$68,"W"))+COUNTIFS(Database!$F:$I,CONCATENATE(E$68,$B117,"W"))),"-")</f>
        <v>0.83333333333333337</v>
      </c>
      <c r="F117" s="122">
        <f>IFERROR((COUNTIFS(Database!$F:$I,CONCATENATE($B117,F$68,"W"))+COUNTIFS(Database!$F:$I,CONCATENATE(F$68,$B117,"W")))/(COUNTIFS(Database!$F:$I,CONCATENATE($B117,F$68,"L"))+COUNTIFS(Database!$F:$I,CONCATENATE(F$68,$B117,"L"))+COUNTIFS(Database!$F:$I,CONCATENATE($B117,F$68,"W"))+COUNTIFS(Database!$F:$I,CONCATENATE(F$68,$B117,"W"))),"-")</f>
        <v>0.5</v>
      </c>
      <c r="G117" s="122">
        <f>IFERROR((COUNTIFS(Database!$F:$I,CONCATENATE($B117,G$68,"W"))+COUNTIFS(Database!$F:$I,CONCATENATE(G$68,$B117,"W")))/(COUNTIFS(Database!$F:$I,CONCATENATE($B117,G$68,"L"))+COUNTIFS(Database!$F:$I,CONCATENATE(G$68,$B117,"L"))+COUNTIFS(Database!$F:$I,CONCATENATE($B117,G$68,"W"))+COUNTIFS(Database!$F:$I,CONCATENATE(G$68,$B117,"W"))),"-")</f>
        <v>1</v>
      </c>
      <c r="H117" s="122" t="str">
        <f>IFERROR((COUNTIFS(Database!$F:$I,CONCATENATE($B117,H$68,"W"))+COUNTIFS(Database!$F:$I,CONCATENATE(H$68,$B117,"W")))/(COUNTIFS(Database!$F:$I,CONCATENATE($B117,H$68,"L"))+COUNTIFS(Database!$F:$I,CONCATENATE(H$68,$B117,"L"))+COUNTIFS(Database!$F:$I,CONCATENATE($B117,H$68,"W"))+COUNTIFS(Database!$F:$I,CONCATENATE(H$68,$B117,"W"))),"-")</f>
        <v>-</v>
      </c>
      <c r="I117" s="122">
        <f>IFERROR((COUNTIFS(Database!$F:$I,CONCATENATE($B117,I$68,"W"))+COUNTIFS(Database!$F:$I,CONCATENATE(I$68,$B117,"W")))/(COUNTIFS(Database!$F:$I,CONCATENATE($B117,I$68,"L"))+COUNTIFS(Database!$F:$I,CONCATENATE(I$68,$B117,"L"))+COUNTIFS(Database!$F:$I,CONCATENATE($B117,I$68,"W"))+COUNTIFS(Database!$F:$I,CONCATENATE(I$68,$B117,"W"))),"-")</f>
        <v>0.5</v>
      </c>
      <c r="J117" s="122">
        <f>IFERROR((COUNTIFS(Database!$F:$I,CONCATENATE($B117,J$68,"W"))+COUNTIFS(Database!$F:$I,CONCATENATE(J$68,$B117,"W")))/(COUNTIFS(Database!$F:$I,CONCATENATE($B117,J$68,"L"))+COUNTIFS(Database!$F:$I,CONCATENATE(J$68,$B117,"L"))+COUNTIFS(Database!$F:$I,CONCATENATE($B117,J$68,"W"))+COUNTIFS(Database!$F:$I,CONCATENATE(J$68,$B117,"W"))),"-")</f>
        <v>0</v>
      </c>
      <c r="K117" s="122">
        <f>IFERROR((COUNTIFS(Database!$F:$I,CONCATENATE($B117,K$68,"W"))+COUNTIFS(Database!$F:$I,CONCATENATE(K$68,$B117,"W")))/(COUNTIFS(Database!$F:$I,CONCATENATE($B117,K$68,"L"))+COUNTIFS(Database!$F:$I,CONCATENATE(K$68,$B117,"L"))+COUNTIFS(Database!$F:$I,CONCATENATE($B117,K$68,"W"))+COUNTIFS(Database!$F:$I,CONCATENATE(K$68,$B117,"W"))),"-")</f>
        <v>0.6</v>
      </c>
      <c r="L117" s="122">
        <f>IFERROR((COUNTIFS(Database!$F:$I,CONCATENATE($B117,L$68,"W"))+COUNTIFS(Database!$F:$I,CONCATENATE(L$68,$B117,"W")))/(COUNTIFS(Database!$F:$I,CONCATENATE($B117,L$68,"L"))+COUNTIFS(Database!$F:$I,CONCATENATE(L$68,$B117,"L"))+COUNTIFS(Database!$F:$I,CONCATENATE($B117,L$68,"W"))+COUNTIFS(Database!$F:$I,CONCATENATE(L$68,$B117,"W"))),"-")</f>
        <v>1</v>
      </c>
      <c r="M117" s="122" t="str">
        <f>IFERROR((COUNTIFS(Database!$F:$I,CONCATENATE($B117,M$68,"W"))+COUNTIFS(Database!$F:$I,CONCATENATE(M$68,$B117,"W")))/(COUNTIFS(Database!$F:$I,CONCATENATE($B117,M$68,"L"))+COUNTIFS(Database!$F:$I,CONCATENATE(M$68,$B117,"L"))+COUNTIFS(Database!$F:$I,CONCATENATE($B117,M$68,"W"))+COUNTIFS(Database!$F:$I,CONCATENATE(M$68,$B117,"W"))),"-")</f>
        <v>-</v>
      </c>
      <c r="N117" s="122">
        <f>IFERROR((COUNTIFS(Database!$F:$I,CONCATENATE($B117,N$68,"W"))+COUNTIFS(Database!$F:$I,CONCATENATE(N$68,$B117,"W")))/(COUNTIFS(Database!$F:$I,CONCATENATE($B117,N$68,"L"))+COUNTIFS(Database!$F:$I,CONCATENATE(N$68,$B117,"L"))+COUNTIFS(Database!$F:$I,CONCATENATE($B117,N$68,"W"))+COUNTIFS(Database!$F:$I,CONCATENATE(N$68,$B117,"W"))),"-")</f>
        <v>0.33333333333333331</v>
      </c>
      <c r="O117" s="122">
        <f>IFERROR((COUNTIFS(Database!$F:$I,CONCATENATE($B117,O$68,"W"))+COUNTIFS(Database!$F:$I,CONCATENATE(O$68,$B117,"W")))/(COUNTIFS(Database!$F:$I,CONCATENATE($B117,O$68,"L"))+COUNTIFS(Database!$F:$I,CONCATENATE(O$68,$B117,"L"))+COUNTIFS(Database!$F:$I,CONCATENATE($B117,O$68,"W"))+COUNTIFS(Database!$F:$I,CONCATENATE(O$68,$B117,"W"))),"-")</f>
        <v>0.55555555555555558</v>
      </c>
      <c r="P117" s="122">
        <f>IFERROR((COUNTIFS(Database!$F:$I,CONCATENATE($B117,P$68,"W"))+COUNTIFS(Database!$F:$I,CONCATENATE(P$68,$B117,"W")))/(COUNTIFS(Database!$F:$I,CONCATENATE($B117,P$68,"L"))+COUNTIFS(Database!$F:$I,CONCATENATE(P$68,$B117,"L"))+COUNTIFS(Database!$F:$I,CONCATENATE($B117,P$68,"W"))+COUNTIFS(Database!$F:$I,CONCATENATE(P$68,$B117,"W"))),"-")</f>
        <v>1</v>
      </c>
      <c r="Q117" s="122" t="str">
        <f>IFERROR((COUNTIFS(Database!$F:$I,CONCATENATE($B117,Q$68,"W"))+COUNTIFS(Database!$F:$I,CONCATENATE(Q$68,$B117,"W")))/(COUNTIFS(Database!$F:$I,CONCATENATE($B117,Q$68,"L"))+COUNTIFS(Database!$F:$I,CONCATENATE(Q$68,$B117,"L"))+COUNTIFS(Database!$F:$I,CONCATENATE($B117,Q$68,"W"))+COUNTIFS(Database!$F:$I,CONCATENATE(Q$68,$B117,"W"))),"-")</f>
        <v>-</v>
      </c>
      <c r="R117" s="122" t="str">
        <f>IFERROR((COUNTIFS(Database!$F:$I,CONCATENATE($B117,R$68,"W"))+COUNTIFS(Database!$F:$I,CONCATENATE(R$68,$B117,"W")))/(COUNTIFS(Database!$F:$I,CONCATENATE($B117,R$68,"L"))+COUNTIFS(Database!$F:$I,CONCATENATE(R$68,$B117,"L"))+COUNTIFS(Database!$F:$I,CONCATENATE($B117,R$68,"W"))+COUNTIFS(Database!$F:$I,CONCATENATE(R$68,$B117,"W"))),"-")</f>
        <v>-</v>
      </c>
      <c r="S117" s="122">
        <f>IFERROR((COUNTIFS(Database!$F:$I,CONCATENATE($B117,S$68,"W"))+COUNTIFS(Database!$F:$I,CONCATENATE(S$68,$B117,"W")))/(COUNTIFS(Database!$F:$I,CONCATENATE($B117,S$68,"L"))+COUNTIFS(Database!$F:$I,CONCATENATE(S$68,$B117,"L"))+COUNTIFS(Database!$F:$I,CONCATENATE($B117,S$68,"W"))+COUNTIFS(Database!$F:$I,CONCATENATE(S$68,$B117,"W"))),"-")</f>
        <v>1</v>
      </c>
      <c r="T117" s="122">
        <f>IFERROR((COUNTIFS(Database!$F:$I,CONCATENATE($B117,T$68,"W"))+COUNTIFS(Database!$F:$I,CONCATENATE(T$68,$B117,"W")))/(COUNTIFS(Database!$F:$I,CONCATENATE($B117,T$68,"L"))+COUNTIFS(Database!$F:$I,CONCATENATE(T$68,$B117,"L"))+COUNTIFS(Database!$F:$I,CONCATENATE($B117,T$68,"W"))+COUNTIFS(Database!$F:$I,CONCATENATE(T$68,$B117,"W"))),"-")</f>
        <v>1</v>
      </c>
      <c r="U117" s="122" t="str">
        <f>IFERROR((COUNTIFS(Database!$F:$I,CONCATENATE($B117,U$68,"W"))+COUNTIFS(Database!$F:$I,CONCATENATE(U$68,$B117,"W")))/(COUNTIFS(Database!$F:$I,CONCATENATE($B117,U$68,"L"))+COUNTIFS(Database!$F:$I,CONCATENATE(U$68,$B117,"L"))+COUNTIFS(Database!$F:$I,CONCATENATE($B117,U$68,"W"))+COUNTIFS(Database!$F:$I,CONCATENATE(U$68,$B117,"W"))),"-")</f>
        <v>-</v>
      </c>
      <c r="V117" s="122">
        <f>IFERROR((COUNTIFS(Database!$F:$I,CONCATENATE($B117,V$68,"W"))+COUNTIFS(Database!$F:$I,CONCATENATE(V$68,$B117,"W")))/(COUNTIFS(Database!$F:$I,CONCATENATE($B117,V$68,"L"))+COUNTIFS(Database!$F:$I,CONCATENATE(V$68,$B117,"L"))+COUNTIFS(Database!$F:$I,CONCATENATE($B117,V$68,"W"))+COUNTIFS(Database!$F:$I,CONCATENATE(V$68,$B117,"W"))),"-")</f>
        <v>0</v>
      </c>
      <c r="W117" s="122">
        <f>IFERROR((COUNTIFS(Database!$F:$I,CONCATENATE($B117,W$68,"W"))+COUNTIFS(Database!$F:$I,CONCATENATE(W$68,$B117,"W")))/(COUNTIFS(Database!$F:$I,CONCATENATE($B117,W$68,"L"))+COUNTIFS(Database!$F:$I,CONCATENATE(W$68,$B117,"L"))+COUNTIFS(Database!$F:$I,CONCATENATE($B117,W$68,"W"))+COUNTIFS(Database!$F:$I,CONCATENATE(W$68,$B117,"W"))),"-")</f>
        <v>0.5</v>
      </c>
      <c r="X117" s="122" t="str">
        <f>IFERROR((COUNTIFS(Database!$F:$I,CONCATENATE($B117,X$68,"W"))+COUNTIFS(Database!$F:$I,CONCATENATE(X$68,$B117,"W")))/(COUNTIFS(Database!$F:$I,CONCATENATE($B117,X$68,"L"))+COUNTIFS(Database!$F:$I,CONCATENATE(X$68,$B117,"L"))+COUNTIFS(Database!$F:$I,CONCATENATE($B117,X$68,"W"))+COUNTIFS(Database!$F:$I,CONCATENATE(X$68,$B117,"W"))),"-")</f>
        <v>-</v>
      </c>
      <c r="Y117" s="122">
        <f>IFERROR((COUNTIFS(Database!$F:$I,CONCATENATE($B117,Y$68,"W"))+COUNTIFS(Database!$F:$I,CONCATENATE(Y$68,$B117,"W")))/(COUNTIFS(Database!$F:$I,CONCATENATE($B117,Y$68,"L"))+COUNTIFS(Database!$F:$I,CONCATENATE(Y$68,$B117,"L"))+COUNTIFS(Database!$F:$I,CONCATENATE($B117,Y$68,"W"))+COUNTIFS(Database!$F:$I,CONCATENATE(Y$68,$B117,"W"))),"-")</f>
        <v>0.5</v>
      </c>
      <c r="Z117" s="122">
        <f>IFERROR((COUNTIFS(Database!$F:$I,CONCATENATE($B117,Z$68,"W"))+COUNTIFS(Database!$F:$I,CONCATENATE(Z$68,$B117,"W")))/(COUNTIFS(Database!$F:$I,CONCATENATE($B117,Z$68,"L"))+COUNTIFS(Database!$F:$I,CONCATENATE(Z$68,$B117,"L"))+COUNTIFS(Database!$F:$I,CONCATENATE($B117,Z$68,"W"))+COUNTIFS(Database!$F:$I,CONCATENATE(Z$68,$B117,"W"))),"-")</f>
        <v>0</v>
      </c>
      <c r="AA117" s="122">
        <f>IFERROR((COUNTIFS(Database!$F:$I,CONCATENATE($B117,AA$68,"W"))+COUNTIFS(Database!$F:$I,CONCATENATE(AA$68,$B117,"W")))/(COUNTIFS(Database!$F:$I,CONCATENATE($B117,AA$68,"L"))+COUNTIFS(Database!$F:$I,CONCATENATE(AA$68,$B117,"L"))+COUNTIFS(Database!$F:$I,CONCATENATE($B117,AA$68,"W"))+COUNTIFS(Database!$F:$I,CONCATENATE(AA$68,$B117,"W"))),"-")</f>
        <v>1</v>
      </c>
      <c r="AB117" s="122">
        <f>IFERROR((COUNTIFS(Database!$F:$I,CONCATENATE($B117,AB$68,"W"))+COUNTIFS(Database!$F:$I,CONCATENATE(AB$68,$B117,"W")))/(COUNTIFS(Database!$F:$I,CONCATENATE($B117,AB$68,"L"))+COUNTIFS(Database!$F:$I,CONCATENATE(AB$68,$B117,"L"))+COUNTIFS(Database!$F:$I,CONCATENATE($B117,AB$68,"W"))+COUNTIFS(Database!$F:$I,CONCATENATE(AB$68,$B117,"W"))),"-")</f>
        <v>0.66666666666666663</v>
      </c>
      <c r="AC117" s="122">
        <f>IFERROR((COUNTIFS(Database!$F:$I,CONCATENATE($B117,AC$68,"W"))+COUNTIFS(Database!$F:$I,CONCATENATE(AC$68,$B117,"W")))/(COUNTIFS(Database!$F:$I,CONCATENATE($B117,AC$68,"L"))+COUNTIFS(Database!$F:$I,CONCATENATE(AC$68,$B117,"L"))+COUNTIFS(Database!$F:$I,CONCATENATE($B117,AC$68,"W"))+COUNTIFS(Database!$F:$I,CONCATENATE(AC$68,$B117,"W"))),"-")</f>
        <v>0.5</v>
      </c>
      <c r="AD117" s="122">
        <f>IFERROR((COUNTIFS(Database!$F:$I,CONCATENATE($B117,AD$68,"W"))+COUNTIFS(Database!$F:$I,CONCATENATE(AD$68,$B117,"W")))/(COUNTIFS(Database!$F:$I,CONCATENATE($B117,AD$68,"L"))+COUNTIFS(Database!$F:$I,CONCATENATE(AD$68,$B117,"L"))+COUNTIFS(Database!$F:$I,CONCATENATE($B117,AD$68,"W"))+COUNTIFS(Database!$F:$I,CONCATENATE(AD$68,$B117,"W"))),"-")</f>
        <v>0.25</v>
      </c>
      <c r="AE117" s="122" t="str">
        <f>IFERROR((COUNTIFS(Database!$F:$I,CONCATENATE($B117,AE$68,"W"))+COUNTIFS(Database!$F:$I,CONCATENATE(AE$68,$B117,"W")))/(COUNTIFS(Database!$F:$I,CONCATENATE($B117,AE$68,"L"))+COUNTIFS(Database!$F:$I,CONCATENATE(AE$68,$B117,"L"))+COUNTIFS(Database!$F:$I,CONCATENATE($B117,AE$68,"W"))+COUNTIFS(Database!$F:$I,CONCATENATE(AE$68,$B117,"W"))),"-")</f>
        <v>-</v>
      </c>
      <c r="AF117" s="122" t="str">
        <f>IFERROR((COUNTIFS(Database!$F:$I,CONCATENATE($B117,AF$68,"W"))+COUNTIFS(Database!$F:$I,CONCATENATE(AF$68,$B117,"W")))/(COUNTIFS(Database!$F:$I,CONCATENATE($B117,AF$68,"L"))+COUNTIFS(Database!$F:$I,CONCATENATE(AF$68,$B117,"L"))+COUNTIFS(Database!$F:$I,CONCATENATE($B117,AF$68,"W"))+COUNTIFS(Database!$F:$I,CONCATENATE(AF$68,$B117,"W"))),"-")</f>
        <v>-</v>
      </c>
      <c r="AG117" s="122" t="str">
        <f>IFERROR((COUNTIFS(Database!$F:$I,CONCATENATE($B117,AG$68,"W"))+COUNTIFS(Database!$F:$I,CONCATENATE(AG$68,$B117,"W")))/(COUNTIFS(Database!$F:$I,CONCATENATE($B117,AG$68,"L"))+COUNTIFS(Database!$F:$I,CONCATENATE(AG$68,$B117,"L"))+COUNTIFS(Database!$F:$I,CONCATENATE($B117,AG$68,"W"))+COUNTIFS(Database!$F:$I,CONCATENATE(AG$68,$B117,"W"))),"-")</f>
        <v>-</v>
      </c>
      <c r="AH117" s="122" t="str">
        <f>IFERROR((COUNTIFS(Database!$F:$I,CONCATENATE($B117,AH$68,"W"))+COUNTIFS(Database!$F:$I,CONCATENATE(AH$68,$B117,"W")))/(COUNTIFS(Database!$F:$I,CONCATENATE($B117,AH$68,"L"))+COUNTIFS(Database!$F:$I,CONCATENATE(AH$68,$B117,"L"))+COUNTIFS(Database!$F:$I,CONCATENATE($B117,AH$68,"W"))+COUNTIFS(Database!$F:$I,CONCATENATE(AH$68,$B117,"W"))),"-")</f>
        <v>-</v>
      </c>
      <c r="AI117" s="122">
        <f>IFERROR((COUNTIFS(Database!$F:$I,CONCATENATE($B117,AI$68,"W"))+COUNTIFS(Database!$F:$I,CONCATENATE(AI$68,$B117,"W")))/(COUNTIFS(Database!$F:$I,CONCATENATE($B117,AI$68,"L"))+COUNTIFS(Database!$F:$I,CONCATENATE(AI$68,$B117,"L"))+COUNTIFS(Database!$F:$I,CONCATENATE($B117,AI$68,"W"))+COUNTIFS(Database!$F:$I,CONCATENATE(AI$68,$B117,"W"))),"-")</f>
        <v>0</v>
      </c>
      <c r="AJ117" s="122" t="str">
        <f>IFERROR((COUNTIFS(Database!$F:$I,CONCATENATE($B117,AJ$68,"W"))+COUNTIFS(Database!$F:$I,CONCATENATE(AJ$68,$B117,"W")))/(COUNTIFS(Database!$F:$I,CONCATENATE($B117,AJ$68,"L"))+COUNTIFS(Database!$F:$I,CONCATENATE(AJ$68,$B117,"L"))+COUNTIFS(Database!$F:$I,CONCATENATE($B117,AJ$68,"W"))+COUNTIFS(Database!$F:$I,CONCATENATE(AJ$68,$B117,"W"))),"-")</f>
        <v>-</v>
      </c>
      <c r="AK117" s="122">
        <f>IFERROR((COUNTIFS(Database!$F:$I,CONCATENATE($B117,AK$68,"W"))+COUNTIFS(Database!$F:$I,CONCATENATE(AK$68,$B117,"W")))/(COUNTIFS(Database!$F:$I,CONCATENATE($B117,AK$68,"L"))+COUNTIFS(Database!$F:$I,CONCATENATE(AK$68,$B117,"L"))+COUNTIFS(Database!$F:$I,CONCATENATE($B117,AK$68,"W"))+COUNTIFS(Database!$F:$I,CONCATENATE(AK$68,$B117,"W"))),"-")</f>
        <v>0.5714285714285714</v>
      </c>
      <c r="AL117" s="122">
        <f>IFERROR((COUNTIFS(Database!$F:$I,CONCATENATE($B117,AL$68,"W"))+COUNTIFS(Database!$F:$I,CONCATENATE(AL$68,$B117,"W")))/(COUNTIFS(Database!$F:$I,CONCATENATE($B117,AL$68,"L"))+COUNTIFS(Database!$F:$I,CONCATENATE(AL$68,$B117,"L"))+COUNTIFS(Database!$F:$I,CONCATENATE($B117,AL$68,"W"))+COUNTIFS(Database!$F:$I,CONCATENATE(AL$68,$B117,"W"))),"-")</f>
        <v>0.33333333333333331</v>
      </c>
      <c r="AM117" s="122">
        <f>IFERROR((COUNTIFS(Database!$F:$I,CONCATENATE($B117,AM$68,"W"))+COUNTIFS(Database!$F:$I,CONCATENATE(AM$68,$B117,"W")))/(COUNTIFS(Database!$F:$I,CONCATENATE($B117,AM$68,"L"))+COUNTIFS(Database!$F:$I,CONCATENATE(AM$68,$B117,"L"))+COUNTIFS(Database!$F:$I,CONCATENATE($B117,AM$68,"W"))+COUNTIFS(Database!$F:$I,CONCATENATE(AM$68,$B117,"W"))),"-")</f>
        <v>0</v>
      </c>
      <c r="AN117" s="122" t="str">
        <f>IFERROR((COUNTIFS(Database!$F:$I,CONCATENATE($B117,AN$68,"W"))+COUNTIFS(Database!$F:$I,CONCATENATE(AN$68,$B117,"W")))/(COUNTIFS(Database!$F:$I,CONCATENATE($B117,AN$68,"L"))+COUNTIFS(Database!$F:$I,CONCATENATE(AN$68,$B117,"L"))+COUNTIFS(Database!$F:$I,CONCATENATE($B117,AN$68,"W"))+COUNTIFS(Database!$F:$I,CONCATENATE(AN$68,$B117,"W"))),"-")</f>
        <v>-</v>
      </c>
      <c r="AO117" s="122">
        <f>IFERROR((COUNTIFS(Database!$F:$I,CONCATENATE($B117,AO$68,"W"))+COUNTIFS(Database!$F:$I,CONCATENATE(AO$68,$B117,"W")))/(COUNTIFS(Database!$F:$I,CONCATENATE($B117,AO$68,"L"))+COUNTIFS(Database!$F:$I,CONCATENATE(AO$68,$B117,"L"))+COUNTIFS(Database!$F:$I,CONCATENATE($B117,AO$68,"W"))+COUNTIFS(Database!$F:$I,CONCATENATE(AO$68,$B117,"W"))),"-")</f>
        <v>0.6</v>
      </c>
      <c r="AP117" s="122" t="str">
        <f>IFERROR((COUNTIFS(Database!$F:$I,CONCATENATE($B117,AP$68,"W"))+COUNTIFS(Database!$F:$I,CONCATENATE(AP$68,$B117,"W")))/(COUNTIFS(Database!$F:$I,CONCATENATE($B117,AP$68,"L"))+COUNTIFS(Database!$F:$I,CONCATENATE(AP$68,$B117,"L"))+COUNTIFS(Database!$F:$I,CONCATENATE($B117,AP$68,"W"))+COUNTIFS(Database!$F:$I,CONCATENATE(AP$68,$B117,"W"))),"-")</f>
        <v>-</v>
      </c>
      <c r="AQ117" s="122">
        <f>IFERROR((COUNTIFS(Database!$F:$I,CONCATENATE($B117,AQ$68,"W"))+COUNTIFS(Database!$F:$I,CONCATENATE(AQ$68,$B117,"W")))/(COUNTIFS(Database!$F:$I,CONCATENATE($B117,AQ$68,"L"))+COUNTIFS(Database!$F:$I,CONCATENATE(AQ$68,$B117,"L"))+COUNTIFS(Database!$F:$I,CONCATENATE($B117,AQ$68,"W"))+COUNTIFS(Database!$F:$I,CONCATENATE(AQ$68,$B117,"W"))),"-")</f>
        <v>0</v>
      </c>
      <c r="AR117" s="122">
        <f>IFERROR((COUNTIFS(Database!$F:$I,CONCATENATE($B117,AR$68,"W"))+COUNTIFS(Database!$F:$I,CONCATENATE(AR$68,$B117,"W")))/(COUNTIFS(Database!$F:$I,CONCATENATE($B117,AR$68,"L"))+COUNTIFS(Database!$F:$I,CONCATENATE(AR$68,$B117,"L"))+COUNTIFS(Database!$F:$I,CONCATENATE($B117,AR$68,"W"))+COUNTIFS(Database!$F:$I,CONCATENATE(AR$68,$B117,"W"))),"-")</f>
        <v>0.5</v>
      </c>
      <c r="AS117" s="122">
        <f>IFERROR((COUNTIFS(Database!$F:$I,CONCATENATE($B117,AS$68,"W"))+COUNTIFS(Database!$F:$I,CONCATENATE(AS$68,$B117,"W")))/(COUNTIFS(Database!$F:$I,CONCATENATE($B117,AS$68,"L"))+COUNTIFS(Database!$F:$I,CONCATENATE(AS$68,$B117,"L"))+COUNTIFS(Database!$F:$I,CONCATENATE($B117,AS$68,"W"))+COUNTIFS(Database!$F:$I,CONCATENATE(AS$68,$B117,"W"))),"-")</f>
        <v>0</v>
      </c>
      <c r="AT117" s="122" t="str">
        <f>IFERROR((COUNTIFS(Database!$F:$I,CONCATENATE($B117,AT$68,"W"))+COUNTIFS(Database!$F:$I,CONCATENATE(AT$68,$B117,"W")))/(COUNTIFS(Database!$F:$I,CONCATENATE($B117,AT$68,"L"))+COUNTIFS(Database!$F:$I,CONCATENATE(AT$68,$B117,"L"))+COUNTIFS(Database!$F:$I,CONCATENATE($B117,AT$68,"W"))+COUNTIFS(Database!$F:$I,CONCATENATE(AT$68,$B117,"W"))),"-")</f>
        <v>-</v>
      </c>
      <c r="AU117" s="122">
        <f>IFERROR((COUNTIFS(Database!$F:$I,CONCATENATE($B117,AU$68,"W"))+COUNTIFS(Database!$F:$I,CONCATENATE(AU$68,$B117,"W")))/(COUNTIFS(Database!$F:$I,CONCATENATE($B117,AU$68,"L"))+COUNTIFS(Database!$F:$I,CONCATENATE(AU$68,$B117,"L"))+COUNTIFS(Database!$F:$I,CONCATENATE($B117,AU$68,"W"))+COUNTIFS(Database!$F:$I,CONCATENATE(AU$68,$B117,"W"))),"-")</f>
        <v>0.66666666666666663</v>
      </c>
      <c r="AV117" s="122" t="str">
        <f>IFERROR((COUNTIFS(Database!$F:$I,CONCATENATE($B117,AV$68,"W"))+COUNTIFS(Database!$F:$I,CONCATENATE(AV$68,$B117,"W")))/(COUNTIFS(Database!$F:$I,CONCATENATE($B117,AV$68,"L"))+COUNTIFS(Database!$F:$I,CONCATENATE(AV$68,$B117,"L"))+COUNTIFS(Database!$F:$I,CONCATENATE($B117,AV$68,"W"))+COUNTIFS(Database!$F:$I,CONCATENATE(AV$68,$B117,"W"))),"-")</f>
        <v>-</v>
      </c>
      <c r="AW117" s="122">
        <f>IFERROR((COUNTIFS(Database!$F:$I,CONCATENATE($B117,AW$68,"W"))+COUNTIFS(Database!$F:$I,CONCATENATE(AW$68,$B117,"W")))/(COUNTIFS(Database!$F:$I,CONCATENATE($B117,AW$68,"L"))+COUNTIFS(Database!$F:$I,CONCATENATE(AW$68,$B117,"L"))+COUNTIFS(Database!$F:$I,CONCATENATE($B117,AW$68,"W"))+COUNTIFS(Database!$F:$I,CONCATENATE(AW$68,$B117,"W"))),"-")</f>
        <v>0.66666666666666663</v>
      </c>
      <c r="AX117" s="122">
        <f>IFERROR((COUNTIFS(Database!$F:$I,CONCATENATE($B117,AX$68,"W"))+COUNTIFS(Database!$F:$I,CONCATENATE(AX$68,$B117,"W")))/(COUNTIFS(Database!$F:$I,CONCATENATE($B117,AX$68,"L"))+COUNTIFS(Database!$F:$I,CONCATENATE(AX$68,$B117,"L"))+COUNTIFS(Database!$F:$I,CONCATENATE($B117,AX$68,"W"))+COUNTIFS(Database!$F:$I,CONCATENATE(AX$68,$B117,"W"))),"-")</f>
        <v>0</v>
      </c>
      <c r="AY117" s="122" t="str">
        <f>IFERROR((COUNTIFS(Database!$F:$I,CONCATENATE($B117,AY$68,"W"))+COUNTIFS(Database!$F:$I,CONCATENATE(AY$68,$B117,"W")))/(COUNTIFS(Database!$F:$I,CONCATENATE($B117,AY$68,"L"))+COUNTIFS(Database!$F:$I,CONCATENATE(AY$68,$B117,"L"))+COUNTIFS(Database!$F:$I,CONCATENATE($B117,AY$68,"W"))+COUNTIFS(Database!$F:$I,CONCATENATE(AY$68,$B117,"W"))),"-")</f>
        <v>-</v>
      </c>
    </row>
  </sheetData>
  <sortState xmlns:xlrd2="http://schemas.microsoft.com/office/spreadsheetml/2017/richdata2" ref="B4:BA52">
    <sortCondition ref="B4:B52"/>
  </sortState>
  <mergeCells count="2">
    <mergeCell ref="C67:AY67"/>
    <mergeCell ref="C15:AY15"/>
  </mergeCells>
  <conditionalFormatting sqref="C19:C65 D24:D65 D18:D19 D17:AX17 E18:AX65 AY17:AY65">
    <cfRule type="expression" dxfId="35" priority="699">
      <formula>AND(C69&gt;=34%,C69&lt;50%)</formula>
    </cfRule>
    <cfRule type="expression" dxfId="34" priority="700">
      <formula>AND(C69&gt;17%,C69&lt;34%)</formula>
    </cfRule>
    <cfRule type="expression" dxfId="33" priority="701">
      <formula>C69&lt;=17%</formula>
    </cfRule>
    <cfRule type="expression" dxfId="32" priority="702">
      <formula>AND(C69&gt;=50%,C69&lt;=67%)</formula>
    </cfRule>
    <cfRule type="expression" dxfId="31" priority="703">
      <formula>AND(C69&gt;=67%,C69&lt;83%)</formula>
    </cfRule>
    <cfRule type="expression" dxfId="30" priority="704">
      <formula>C69&gt;=83%</formula>
    </cfRule>
  </conditionalFormatting>
  <conditionalFormatting sqref="D17:D19 C18:C65 D24:D65 E17:AY65">
    <cfRule type="cellIs" priority="502" stopIfTrue="1" operator="lessThan">
      <formula>3</formula>
    </cfRule>
  </conditionalFormatting>
  <conditionalFormatting sqref="D17:D19 C18:C65 D24:D65 E17:AY65">
    <cfRule type="expression" dxfId="29" priority="503">
      <formula>AND(C69&gt;=34%,C69&lt;50%)</formula>
    </cfRule>
    <cfRule type="expression" dxfId="28" priority="504">
      <formula>AND(C69&gt;17%,C69&lt;34%)</formula>
    </cfRule>
    <cfRule type="expression" dxfId="27" priority="505">
      <formula>C69&lt;=17%</formula>
    </cfRule>
    <cfRule type="expression" dxfId="26" priority="506">
      <formula>AND(C69&gt;=50%,C69&lt;=67%)</formula>
    </cfRule>
    <cfRule type="expression" dxfId="25" priority="507">
      <formula>AND(C69&gt;=67%,C69&lt;83%)</formula>
    </cfRule>
    <cfRule type="expression" dxfId="24" priority="508">
      <formula>C69&gt;=83%</formula>
    </cfRule>
  </conditionalFormatting>
  <conditionalFormatting sqref="D20">
    <cfRule type="cellIs" priority="474" stopIfTrue="1" operator="lessThan">
      <formula>3</formula>
    </cfRule>
  </conditionalFormatting>
  <conditionalFormatting sqref="D20">
    <cfRule type="expression" dxfId="23" priority="475">
      <formula>AND(D72&gt;=34%,D72&lt;50%)</formula>
    </cfRule>
    <cfRule type="expression" dxfId="22" priority="476">
      <formula>AND(D72&gt;17%,D72&lt;34%)</formula>
    </cfRule>
    <cfRule type="expression" dxfId="21" priority="477">
      <formula>D72&lt;=17%</formula>
    </cfRule>
    <cfRule type="expression" dxfId="20" priority="478">
      <formula>AND(D72&gt;=50%,D72&lt;=67%)</formula>
    </cfRule>
    <cfRule type="expression" dxfId="19" priority="479">
      <formula>AND(D72&gt;=67%,D72&lt;83%)</formula>
    </cfRule>
    <cfRule type="expression" dxfId="18" priority="480">
      <formula>D72&gt;=83%</formula>
    </cfRule>
  </conditionalFormatting>
  <conditionalFormatting sqref="D21 E17:AY65">
    <cfRule type="cellIs" priority="453" stopIfTrue="1" operator="lessThan">
      <formula>3</formula>
    </cfRule>
  </conditionalFormatting>
  <conditionalFormatting sqref="D21">
    <cfRule type="expression" dxfId="17" priority="454">
      <formula>AND(D73&gt;=34%,D73&lt;50%)</formula>
    </cfRule>
    <cfRule type="expression" dxfId="16" priority="455">
      <formula>AND(D73&gt;17%,D73&lt;34%)</formula>
    </cfRule>
    <cfRule type="expression" dxfId="15" priority="456">
      <formula>D73&lt;=17%</formula>
    </cfRule>
    <cfRule type="expression" dxfId="14" priority="457">
      <formula>AND(D73&gt;=50%,D73&lt;=67%)</formula>
    </cfRule>
    <cfRule type="expression" dxfId="13" priority="458">
      <formula>AND(D73&gt;=67%,D73&lt;83%)</formula>
    </cfRule>
    <cfRule type="expression" dxfId="12" priority="459">
      <formula>D73&gt;=83%</formula>
    </cfRule>
  </conditionalFormatting>
  <conditionalFormatting sqref="D22">
    <cfRule type="cellIs" priority="446" stopIfTrue="1" operator="lessThan">
      <formula>3</formula>
    </cfRule>
  </conditionalFormatting>
  <conditionalFormatting sqref="D22">
    <cfRule type="expression" dxfId="11" priority="447">
      <formula>AND(D74&gt;=34%,D74&lt;50%)</formula>
    </cfRule>
    <cfRule type="expression" dxfId="10" priority="448">
      <formula>AND(D74&gt;17%,D74&lt;34%)</formula>
    </cfRule>
    <cfRule type="expression" dxfId="9" priority="449">
      <formula>D74&lt;=17%</formula>
    </cfRule>
    <cfRule type="expression" dxfId="8" priority="450">
      <formula>AND(D74&gt;=50%,D74&lt;=67%)</formula>
    </cfRule>
    <cfRule type="expression" dxfId="7" priority="451">
      <formula>AND(D74&gt;=67%,D74&lt;83%)</formula>
    </cfRule>
    <cfRule type="expression" dxfId="6" priority="452">
      <formula>D74&gt;=83%</formula>
    </cfRule>
  </conditionalFormatting>
  <conditionalFormatting sqref="D23">
    <cfRule type="cellIs" priority="439" stopIfTrue="1" operator="lessThan">
      <formula>3</formula>
    </cfRule>
  </conditionalFormatting>
  <conditionalFormatting sqref="D23">
    <cfRule type="expression" dxfId="5" priority="440">
      <formula>AND(D75&gt;=34%,D75&lt;50%)</formula>
    </cfRule>
    <cfRule type="expression" dxfId="4" priority="441">
      <formula>AND(D75&gt;17%,D75&lt;34%)</formula>
    </cfRule>
    <cfRule type="expression" dxfId="3" priority="442">
      <formula>D75&lt;=17%</formula>
    </cfRule>
    <cfRule type="expression" dxfId="2" priority="443">
      <formula>AND(D75&gt;=50%,D75&lt;=67%)</formula>
    </cfRule>
    <cfRule type="expression" dxfId="1" priority="444">
      <formula>AND(D75&gt;=67%,D75&lt;83%)</formula>
    </cfRule>
    <cfRule type="expression" dxfId="0" priority="445">
      <formula>D75&gt;=83%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FCE7A-55CC-42DF-9F3F-06EFCA60A6A2}">
  <sheetPr codeName="Sheet6"/>
  <dimension ref="B2:R37"/>
  <sheetViews>
    <sheetView showGridLines="0" workbookViewId="0">
      <selection activeCell="C10" sqref="C10"/>
    </sheetView>
  </sheetViews>
  <sheetFormatPr defaultRowHeight="13.6" x14ac:dyDescent="0.25"/>
  <cols>
    <col min="1" max="1" width="1" customWidth="1"/>
    <col min="2" max="2" width="3.28515625" customWidth="1"/>
    <col min="3" max="3" width="2.7109375" customWidth="1"/>
    <col min="4" max="4" width="4.5703125" customWidth="1"/>
  </cols>
  <sheetData>
    <row r="2" spans="2:18" x14ac:dyDescent="0.25">
      <c r="B2" s="103" t="s">
        <v>94</v>
      </c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</row>
    <row r="3" spans="2:18" x14ac:dyDescent="0.25">
      <c r="B3" t="s">
        <v>95</v>
      </c>
      <c r="C3" t="s">
        <v>96</v>
      </c>
    </row>
    <row r="4" spans="2:18" x14ac:dyDescent="0.25">
      <c r="B4" t="s">
        <v>97</v>
      </c>
      <c r="C4" t="s">
        <v>98</v>
      </c>
    </row>
    <row r="5" spans="2:18" ht="3.25" customHeight="1" x14ac:dyDescent="0.25">
      <c r="B5" s="104"/>
      <c r="C5" s="104"/>
      <c r="D5" s="104"/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4"/>
      <c r="R5" s="104"/>
    </row>
    <row r="6" spans="2:18" x14ac:dyDescent="0.25">
      <c r="B6" t="s">
        <v>99</v>
      </c>
      <c r="C6" t="s">
        <v>100</v>
      </c>
    </row>
    <row r="7" spans="2:18" x14ac:dyDescent="0.25">
      <c r="B7" t="s">
        <v>101</v>
      </c>
      <c r="C7" t="s">
        <v>102</v>
      </c>
    </row>
    <row r="8" spans="2:18" x14ac:dyDescent="0.25">
      <c r="B8" t="s">
        <v>103</v>
      </c>
      <c r="C8" t="s">
        <v>104</v>
      </c>
    </row>
    <row r="9" spans="2:18" ht="3.25" customHeight="1" x14ac:dyDescent="0.25">
      <c r="B9" s="104"/>
      <c r="C9" s="104"/>
      <c r="D9" s="104"/>
      <c r="E9" s="104"/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4"/>
      <c r="R9" s="104"/>
    </row>
    <row r="10" spans="2:18" x14ac:dyDescent="0.25">
      <c r="B10" t="s">
        <v>105</v>
      </c>
      <c r="C10" s="105" t="s">
        <v>106</v>
      </c>
    </row>
    <row r="11" spans="2:18" x14ac:dyDescent="0.25">
      <c r="B11" t="s">
        <v>107</v>
      </c>
      <c r="C11" t="s">
        <v>108</v>
      </c>
    </row>
    <row r="12" spans="2:18" x14ac:dyDescent="0.25">
      <c r="C12" t="s">
        <v>109</v>
      </c>
      <c r="D12" t="s">
        <v>110</v>
      </c>
    </row>
    <row r="13" spans="2:18" x14ac:dyDescent="0.25">
      <c r="C13" t="s">
        <v>111</v>
      </c>
      <c r="D13" t="s">
        <v>112</v>
      </c>
    </row>
    <row r="14" spans="2:18" x14ac:dyDescent="0.25">
      <c r="D14" t="s">
        <v>113</v>
      </c>
      <c r="E14" t="s">
        <v>114</v>
      </c>
    </row>
    <row r="15" spans="2:18" x14ac:dyDescent="0.25">
      <c r="C15" t="s">
        <v>115</v>
      </c>
      <c r="D15" t="s">
        <v>116</v>
      </c>
    </row>
    <row r="16" spans="2:18" x14ac:dyDescent="0.25">
      <c r="C16" t="s">
        <v>117</v>
      </c>
      <c r="D16" t="s">
        <v>118</v>
      </c>
    </row>
    <row r="17" spans="2:18" x14ac:dyDescent="0.25">
      <c r="D17" t="s">
        <v>119</v>
      </c>
      <c r="E17" t="s">
        <v>120</v>
      </c>
    </row>
    <row r="18" spans="2:18" ht="3.25" customHeight="1" x14ac:dyDescent="0.25">
      <c r="B18" s="104"/>
      <c r="C18" s="104"/>
      <c r="D18" s="104"/>
      <c r="E18" s="104"/>
      <c r="F18" s="104"/>
      <c r="G18" s="104"/>
      <c r="H18" s="104"/>
      <c r="I18" s="104"/>
      <c r="J18" s="104"/>
      <c r="K18" s="104"/>
      <c r="L18" s="104"/>
      <c r="M18" s="104"/>
      <c r="N18" s="104"/>
      <c r="O18" s="104"/>
      <c r="P18" s="104"/>
      <c r="Q18" s="104"/>
      <c r="R18" s="104"/>
    </row>
    <row r="19" spans="2:18" x14ac:dyDescent="0.25">
      <c r="B19" t="s">
        <v>121</v>
      </c>
      <c r="C19" t="s">
        <v>122</v>
      </c>
    </row>
    <row r="20" spans="2:18" x14ac:dyDescent="0.25">
      <c r="B20" t="s">
        <v>123</v>
      </c>
      <c r="C20" t="s">
        <v>124</v>
      </c>
    </row>
    <row r="22" spans="2:18" x14ac:dyDescent="0.25">
      <c r="B22" s="103" t="s">
        <v>125</v>
      </c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</row>
    <row r="23" spans="2:18" x14ac:dyDescent="0.25">
      <c r="B23" t="s">
        <v>95</v>
      </c>
      <c r="C23" t="s">
        <v>96</v>
      </c>
    </row>
    <row r="24" spans="2:18" x14ac:dyDescent="0.25">
      <c r="B24" t="s">
        <v>97</v>
      </c>
      <c r="C24" t="s">
        <v>126</v>
      </c>
    </row>
    <row r="25" spans="2:18" x14ac:dyDescent="0.25">
      <c r="B25" t="s">
        <v>99</v>
      </c>
      <c r="C25" t="s">
        <v>127</v>
      </c>
    </row>
    <row r="26" spans="2:18" ht="3.25" customHeight="1" x14ac:dyDescent="0.25"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</row>
    <row r="27" spans="2:18" x14ac:dyDescent="0.25">
      <c r="B27" t="s">
        <v>101</v>
      </c>
      <c r="C27" t="s">
        <v>128</v>
      </c>
    </row>
    <row r="28" spans="2:18" x14ac:dyDescent="0.25">
      <c r="C28" t="s">
        <v>103</v>
      </c>
      <c r="D28" t="s">
        <v>129</v>
      </c>
    </row>
    <row r="29" spans="2:18" x14ac:dyDescent="0.25">
      <c r="D29" t="s">
        <v>130</v>
      </c>
      <c r="E29" t="s">
        <v>131</v>
      </c>
    </row>
    <row r="30" spans="2:18" x14ac:dyDescent="0.25">
      <c r="D30" t="s">
        <v>132</v>
      </c>
      <c r="E30" t="s">
        <v>133</v>
      </c>
    </row>
    <row r="31" spans="2:18" ht="3.25" customHeight="1" x14ac:dyDescent="0.25">
      <c r="B31" s="104"/>
      <c r="C31" s="104"/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</row>
    <row r="32" spans="2:18" x14ac:dyDescent="0.25">
      <c r="B32" t="s">
        <v>105</v>
      </c>
      <c r="C32" t="s">
        <v>134</v>
      </c>
    </row>
    <row r="33" spans="2:18" x14ac:dyDescent="0.25">
      <c r="B33" t="s">
        <v>107</v>
      </c>
      <c r="C33" t="s">
        <v>135</v>
      </c>
    </row>
    <row r="34" spans="2:18" x14ac:dyDescent="0.25">
      <c r="B34" t="s">
        <v>109</v>
      </c>
      <c r="C34" t="s">
        <v>136</v>
      </c>
    </row>
    <row r="36" spans="2:18" x14ac:dyDescent="0.25">
      <c r="B36" s="103" t="s">
        <v>137</v>
      </c>
      <c r="C36" s="103"/>
      <c r="D36" s="103"/>
      <c r="E36" s="103"/>
      <c r="F36" s="103"/>
      <c r="G36" s="103"/>
      <c r="H36" s="103"/>
      <c r="I36" s="103"/>
      <c r="J36" s="103"/>
      <c r="K36" s="103"/>
      <c r="L36" s="103"/>
      <c r="M36" s="103"/>
      <c r="N36" s="103"/>
      <c r="O36" s="103"/>
      <c r="P36" s="103"/>
      <c r="Q36" s="103"/>
      <c r="R36" s="103"/>
    </row>
    <row r="37" spans="2:18" x14ac:dyDescent="0.25">
      <c r="B37" t="s">
        <v>95</v>
      </c>
      <c r="C37" t="s">
        <v>138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7CEBA7809231D4B816978E073287E4B" ma:contentTypeVersion="17" ma:contentTypeDescription="Een nieuw document maken." ma:contentTypeScope="" ma:versionID="54fb8844030d5df8f64c3d36964a6835">
  <xsd:schema xmlns:xsd="http://www.w3.org/2001/XMLSchema" xmlns:xs="http://www.w3.org/2001/XMLSchema" xmlns:p="http://schemas.microsoft.com/office/2006/metadata/properties" xmlns:ns3="1e37f7ec-310d-414d-943c-7a8d197b5417" xmlns:ns4="1d39c657-143a-437b-9dde-eec124d98ab8" targetNamespace="http://schemas.microsoft.com/office/2006/metadata/properties" ma:root="true" ma:fieldsID="b8cedc53d71adebf441b0f76da3946d4" ns3:_="" ns4:_="">
    <xsd:import namespace="1e37f7ec-310d-414d-943c-7a8d197b5417"/>
    <xsd:import namespace="1d39c657-143a-437b-9dde-eec124d98ab8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MediaServiceDateTaken" minOccurs="0"/>
                <xsd:element ref="ns4:_activity" minOccurs="0"/>
                <xsd:element ref="ns4:MediaServiceObjectDetectorVersions" minOccurs="0"/>
                <xsd:element ref="ns4:MediaServiceSystemTags" minOccurs="0"/>
                <xsd:element ref="ns4:MediaServiceLocation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37f7ec-310d-414d-943c-7a8d197b541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Hint-hash delen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39c657-143a-437b-9dde-eec124d98ab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_activity" ma:index="20" nillable="true" ma:displayName="_activity" ma:hidden="true" ma:internalName="_activity">
      <xsd:simpleType>
        <xsd:restriction base="dms:Note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1d39c657-143a-437b-9dde-eec124d98ab8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6788BF3-333D-4FE0-8E05-9D7ECB7DA81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e37f7ec-310d-414d-943c-7a8d197b5417"/>
    <ds:schemaRef ds:uri="1d39c657-143a-437b-9dde-eec124d98ab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68647CB-8DB5-4C25-8DAA-E12BB77CF066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1d39c657-143a-437b-9dde-eec124d98ab8"/>
    <ds:schemaRef ds:uri="1e37f7ec-310d-414d-943c-7a8d197b5417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C91C9CF-6976-424A-848A-E8CCB73876E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Stats</vt:lpstr>
      <vt:lpstr>Database</vt:lpstr>
      <vt:lpstr>Teams Split</vt:lpstr>
      <vt:lpstr>Teams Split | Tournament</vt:lpstr>
      <vt:lpstr>Chemistry</vt:lpstr>
      <vt:lpstr>How to Run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Tozelli</dc:creator>
  <cp:keywords/>
  <dc:description/>
  <cp:lastModifiedBy>Luca Giordano</cp:lastModifiedBy>
  <cp:revision/>
  <dcterms:created xsi:type="dcterms:W3CDTF">2020-02-26T18:12:53Z</dcterms:created>
  <dcterms:modified xsi:type="dcterms:W3CDTF">2025-01-21T12:23:58Z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9540963-e559-4020-8a90-fe8a502c2801_Enabled">
    <vt:lpwstr>true</vt:lpwstr>
  </property>
  <property fmtid="{D5CDD505-2E9C-101B-9397-08002B2CF9AE}" pid="3" name="MSIP_Label_19540963-e559-4020-8a90-fe8a502c2801_SetDate">
    <vt:lpwstr>2024-02-22T10:24:49Z</vt:lpwstr>
  </property>
  <property fmtid="{D5CDD505-2E9C-101B-9397-08002B2CF9AE}" pid="4" name="MSIP_Label_19540963-e559-4020-8a90-fe8a502c2801_Method">
    <vt:lpwstr>Standard</vt:lpwstr>
  </property>
  <property fmtid="{D5CDD505-2E9C-101B-9397-08002B2CF9AE}" pid="5" name="MSIP_Label_19540963-e559-4020-8a90-fe8a502c2801_Name">
    <vt:lpwstr>19540963-e559-4020-8a90-fe8a502c2801</vt:lpwstr>
  </property>
  <property fmtid="{D5CDD505-2E9C-101B-9397-08002B2CF9AE}" pid="6" name="MSIP_Label_19540963-e559-4020-8a90-fe8a502c2801_SiteId">
    <vt:lpwstr>f25493ae-1c98-41d7-8a33-0be75f5fe603</vt:lpwstr>
  </property>
  <property fmtid="{D5CDD505-2E9C-101B-9397-08002B2CF9AE}" pid="7" name="MSIP_Label_19540963-e559-4020-8a90-fe8a502c2801_ActionId">
    <vt:lpwstr>f4a9ec33-1ee6-41eb-97a2-38bb2827d4f7</vt:lpwstr>
  </property>
  <property fmtid="{D5CDD505-2E9C-101B-9397-08002B2CF9AE}" pid="8" name="MSIP_Label_19540963-e559-4020-8a90-fe8a502c2801_ContentBits">
    <vt:lpwstr>0</vt:lpwstr>
  </property>
  <property fmtid="{D5CDD505-2E9C-101B-9397-08002B2CF9AE}" pid="9" name="ContentTypeId">
    <vt:lpwstr>0x01010097CEBA7809231D4B816978E073287E4B</vt:lpwstr>
  </property>
</Properties>
</file>